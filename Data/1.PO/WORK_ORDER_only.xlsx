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[$-1009]mmmm\ d\,\ yyyy;@"/>
    <numFmt numFmtId="168" formatCode="[$-409]d\-mmm;@"/>
    <numFmt numFmtId="169" formatCode="dd/mm/yyyy;@"/>
    <numFmt numFmtId="170" formatCode="yyyy/mm/d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4"/>
  <sheetViews>
    <sheetView workbookViewId="0"/>
  </sheetViews>
  <sheetData>
    <row r="1">
      <c r="A1" t="str">
        <v>TRAVELER</v>
      </c>
      <c r="B1" t="str">
        <v>PART #</v>
      </c>
      <c r="C1" t="str">
        <v>POT</v>
      </c>
      <c r="D1" t="str">
        <v>MACHINE</v>
      </c>
      <c r="E1" t="str">
        <v>WEIGHT</v>
      </c>
      <c r="F1" t="str">
        <v>PIECES</v>
      </c>
      <c r="G1" t="str">
        <v>PO</v>
      </c>
      <c r="H1" t="str">
        <v>DATE</v>
      </c>
      <c r="I1" t="str">
        <v>LOT NO.</v>
      </c>
      <c r="J1" t="str">
        <v>NOTE</v>
      </c>
      <c r="K1" t="str">
        <v>SHIPPED</v>
      </c>
      <c r="L1" t="str">
        <v>PS</v>
      </c>
    </row>
    <row r="2">
      <c r="A2">
        <v>701126</v>
      </c>
      <c r="B2" t="str">
        <v>11612078-B</v>
      </c>
      <c r="C2">
        <v>669</v>
      </c>
      <c r="D2" t="str">
        <v>MC74</v>
      </c>
      <c r="E2">
        <v>1355</v>
      </c>
      <c r="F2">
        <v>77000</v>
      </c>
      <c r="G2">
        <v>188424</v>
      </c>
      <c r="H2" s="1">
        <v>46114</v>
      </c>
      <c r="I2" t="str">
        <v>6-091-39-B</v>
      </c>
      <c r="K2">
        <f>IF(ISERROR(MATCH(WORKORDER[[#This Row],[TRAVELER]],Table1[TRAVELER],0)),K2,"Shipped")</f>
        <v>0</v>
      </c>
      <c r="L2">
        <f>+IF(ISERROR(MATCH(WORKORDER[[#This Row],[TRAVELER]],Table1[TRAVELER],0)),L2,'PACKING SLIP'!$F$5)</f>
        <v>0</v>
      </c>
    </row>
    <row r="3">
      <c r="A3">
        <v>701127</v>
      </c>
      <c r="B3" t="str">
        <v>11612078-B</v>
      </c>
      <c r="C3">
        <v>1576</v>
      </c>
      <c r="D3" t="str">
        <v>MC74</v>
      </c>
      <c r="E3">
        <v>1320</v>
      </c>
      <c r="F3">
        <v>75000</v>
      </c>
      <c r="G3">
        <v>188424</v>
      </c>
      <c r="H3" s="1">
        <v>46114</v>
      </c>
      <c r="I3" t="str">
        <v>6-091-39-C</v>
      </c>
      <c r="K3">
        <f>IF(ISERROR(MATCH(WORKORDER[[#This Row],[TRAVELER]],Table1[TRAVELER],0)),K3,"Shipped")</f>
        <v>0</v>
      </c>
      <c r="L3">
        <f>+IF(ISERROR(MATCH(WORKORDER[[#This Row],[TRAVELER]],Table1[TRAVELER],0)),L3,'PACKING SLIP'!$F$5)</f>
        <v>0</v>
      </c>
    </row>
    <row r="4">
      <c r="A4">
        <v>701128</v>
      </c>
      <c r="B4" t="str">
        <v>11612078-B</v>
      </c>
      <c r="C4">
        <v>556</v>
      </c>
      <c r="D4" t="str">
        <v>MC74</v>
      </c>
      <c r="E4">
        <v>1232</v>
      </c>
      <c r="F4">
        <v>70000</v>
      </c>
      <c r="G4">
        <v>188424</v>
      </c>
      <c r="H4" s="1">
        <v>46114</v>
      </c>
      <c r="I4" t="str">
        <v>6-092-10-A</v>
      </c>
      <c r="K4">
        <f>IF(ISERROR(MATCH(WORKORDER[[#This Row],[TRAVELER]],Table1[TRAVELER],0)),K4,"Shipped")</f>
        <v>0</v>
      </c>
      <c r="L4">
        <f>+IF(ISERROR(MATCH(WORKORDER[[#This Row],[TRAVELER]],Table1[TRAVELER],0)),L4,'PACKING SLIP'!$F$5)</f>
        <v>0</v>
      </c>
    </row>
    <row r="5">
      <c r="A5">
        <v>702495</v>
      </c>
      <c r="B5" t="str">
        <v>11612078-B</v>
      </c>
      <c r="C5">
        <v>1347</v>
      </c>
      <c r="D5" t="str">
        <v>MC74</v>
      </c>
      <c r="E5">
        <v>1320</v>
      </c>
      <c r="F5">
        <v>75000</v>
      </c>
      <c r="G5">
        <v>188424</v>
      </c>
      <c r="H5" s="1">
        <v>46114</v>
      </c>
      <c r="I5" t="str">
        <v>6-092-10-C</v>
      </c>
      <c r="K5">
        <f>IF(ISERROR(MATCH(WORKORDER[[#This Row],[TRAVELER]],Table1[TRAVELER],0)),K5,"Shipped")</f>
        <v>0</v>
      </c>
      <c r="L5">
        <f>+IF(ISERROR(MATCH(WORKORDER[[#This Row],[TRAVELER]],Table1[TRAVELER],0)),L5,'PACKING SLIP'!$F$5)</f>
        <v>0</v>
      </c>
    </row>
    <row r="6">
      <c r="A6">
        <v>703118</v>
      </c>
      <c r="B6" t="str">
        <v>11612078-B</v>
      </c>
      <c r="C6">
        <v>308</v>
      </c>
      <c r="D6" t="str">
        <v>MC74</v>
      </c>
      <c r="G6">
        <v>189099</v>
      </c>
      <c r="H6" s="1">
        <v>46140</v>
      </c>
      <c r="I6" t="str">
        <v>6-118-19-B</v>
      </c>
      <c r="K6">
        <f>IF(ISERROR(MATCH(WORKORDER[[#This Row],[TRAVELER]],Table1[TRAVELER],0)),K6,"Shipped")</f>
        <v>0</v>
      </c>
      <c r="L6">
        <f>+IF(ISERROR(MATCH(WORKORDER[[#This Row],[TRAVELER]],Table1[TRAVELER],0)),L6,'PACKING SLIP'!$F$5)</f>
        <v>0</v>
      </c>
    </row>
    <row r="7">
      <c r="A7">
        <v>704553</v>
      </c>
      <c r="B7" t="str">
        <v>11612078-B</v>
      </c>
      <c r="C7">
        <v>1418</v>
      </c>
      <c r="D7" t="str">
        <v>MC74</v>
      </c>
      <c r="E7">
        <v>1162</v>
      </c>
      <c r="F7">
        <v>66000</v>
      </c>
      <c r="G7">
        <v>189099</v>
      </c>
      <c r="H7" s="1">
        <v>46140</v>
      </c>
      <c r="I7" t="str">
        <v>6-118-22-B</v>
      </c>
      <c r="K7">
        <f>IF(ISERROR(MATCH(WORKORDER[[#This Row],[TRAVELER]],Table1[TRAVELER],0)),K7,"Shipped")</f>
        <v>0</v>
      </c>
      <c r="L7">
        <f>+IF(ISERROR(MATCH(WORKORDER[[#This Row],[TRAVELER]],Table1[TRAVELER],0)),L7,'PACKING SLIP'!$F$5)</f>
        <v>0</v>
      </c>
    </row>
    <row r="8">
      <c r="A8">
        <v>705989</v>
      </c>
      <c r="B8" t="str">
        <v>11612078-B</v>
      </c>
      <c r="C8">
        <v>537</v>
      </c>
      <c r="D8" t="str">
        <v>MC74</v>
      </c>
      <c r="E8">
        <v>1197</v>
      </c>
      <c r="F8">
        <v>68000</v>
      </c>
      <c r="G8">
        <v>190152</v>
      </c>
      <c r="H8" s="1">
        <v>46176</v>
      </c>
      <c r="I8" t="str">
        <v>6-152-60-B</v>
      </c>
      <c r="K8">
        <f>IF(ISERROR(MATCH(WORKORDER[[#This Row],[TRAVELER]],Table1[TRAVELER],0)),K8,"Shipped")</f>
        <v>0</v>
      </c>
      <c r="L8">
        <f>+IF(ISERROR(MATCH(WORKORDER[[#This Row],[TRAVELER]],Table1[TRAVELER],0)),L8,'PACKING SLIP'!$F$5)</f>
        <v>0</v>
      </c>
    </row>
    <row r="9">
      <c r="A9">
        <v>706808</v>
      </c>
      <c r="B9" t="str">
        <v>11612078-B</v>
      </c>
      <c r="C9">
        <v>327</v>
      </c>
      <c r="D9" t="str">
        <v>MC74</v>
      </c>
      <c r="E9">
        <v>1338</v>
      </c>
      <c r="F9">
        <v>76000</v>
      </c>
      <c r="G9">
        <v>190152</v>
      </c>
      <c r="H9" s="1">
        <v>46176</v>
      </c>
      <c r="I9" t="str">
        <v>6-152-59-C</v>
      </c>
      <c r="K9">
        <f>IF(ISERROR(MATCH(WORKORDER[[#This Row],[TRAVELER]],Table1[TRAVELER],0)),K9,"Shipped")</f>
        <v>0</v>
      </c>
      <c r="L9">
        <f>+IF(ISERROR(MATCH(WORKORDER[[#This Row],[TRAVELER]],Table1[TRAVELER],0)),L9,'PACKING SLIP'!$F$5)</f>
        <v>0</v>
      </c>
    </row>
    <row r="10">
      <c r="A10">
        <v>710203</v>
      </c>
      <c r="B10" t="str">
        <v>W20-1028-010</v>
      </c>
      <c r="C10">
        <v>531</v>
      </c>
      <c r="D10" t="str">
        <v>TB</v>
      </c>
      <c r="E10">
        <v>1312</v>
      </c>
      <c r="F10">
        <v>64000</v>
      </c>
      <c r="G10">
        <v>190179</v>
      </c>
      <c r="H10" s="1">
        <v>46177</v>
      </c>
      <c r="I10" t="str">
        <v>SORT&amp;RETURN</v>
      </c>
      <c r="J10" t="str">
        <v>SORT FOR DAMAGED LOCKING-DMF FORM</v>
      </c>
      <c r="K10">
        <f>IF(ISERROR(MATCH(WORKORDER[[#This Row],[TRAVELER]],Table1[TRAVELER],0)),K10,"Shipped")</f>
        <v>0</v>
      </c>
      <c r="L10">
        <f>+IF(ISERROR(MATCH(WORKORDER[[#This Row],[TRAVELER]],Table1[TRAVELER],0)),L10,'PACKING SLIP'!$F$5)</f>
        <v>0</v>
      </c>
    </row>
    <row r="11">
      <c r="A11">
        <v>710204</v>
      </c>
      <c r="B11" t="str">
        <v>W20-1028-010</v>
      </c>
      <c r="C11">
        <v>805</v>
      </c>
      <c r="D11" t="str">
        <v>TB</v>
      </c>
      <c r="E11">
        <v>1435</v>
      </c>
      <c r="F11">
        <v>70000</v>
      </c>
      <c r="G11">
        <v>190179</v>
      </c>
      <c r="H11" s="1">
        <v>46177</v>
      </c>
      <c r="I11" t="str">
        <v>SORT&amp;RETURN</v>
      </c>
      <c r="J11" t="str">
        <v>SORT FOR DAMAGED LOCKING-DMF FORM</v>
      </c>
      <c r="K11">
        <f>IF(ISERROR(MATCH(WORKORDER[[#This Row],[TRAVELER]],Table1[TRAVELER],0)),K11,"Shipped")</f>
        <v>0</v>
      </c>
      <c r="L11">
        <f>+IF(ISERROR(MATCH(WORKORDER[[#This Row],[TRAVELER]],Table1[TRAVELER],0)),L11,'PACKING SLIP'!$F$5)</f>
        <v>0</v>
      </c>
    </row>
    <row r="12">
      <c r="A12">
        <v>710209</v>
      </c>
      <c r="B12" t="str">
        <v>W20-1028-010</v>
      </c>
      <c r="C12">
        <v>24</v>
      </c>
      <c r="D12" t="str">
        <v>TB</v>
      </c>
      <c r="E12">
        <v>1128</v>
      </c>
      <c r="F12">
        <v>55000</v>
      </c>
      <c r="G12">
        <v>190179</v>
      </c>
      <c r="H12" s="1">
        <v>46177</v>
      </c>
      <c r="I12" t="str">
        <v>SORT&amp;RETURN</v>
      </c>
      <c r="J12" t="str">
        <v>SORT FOR DAMAGED LOCKING-DMF FORM</v>
      </c>
      <c r="K12">
        <f>IF(ISERROR(MATCH(WORKORDER[[#This Row],[TRAVELER]],Table1[TRAVELER],0)),K12,"Shipped")</f>
        <v>0</v>
      </c>
      <c r="L12">
        <f>+IF(ISERROR(MATCH(WORKORDER[[#This Row],[TRAVELER]],Table1[TRAVELER],0)),L12,'PACKING SLIP'!$F$5)</f>
        <v>0</v>
      </c>
    </row>
    <row r="13">
      <c r="A13">
        <v>705986</v>
      </c>
      <c r="B13" t="str">
        <v>11612078-B</v>
      </c>
      <c r="C13">
        <v>134</v>
      </c>
      <c r="D13" t="str">
        <v>MC74</v>
      </c>
      <c r="E13">
        <v>1232</v>
      </c>
      <c r="F13">
        <v>70000</v>
      </c>
      <c r="G13">
        <v>190436</v>
      </c>
      <c r="H13" s="1">
        <v>46185</v>
      </c>
      <c r="I13" t="str">
        <v>6-163-19-B</v>
      </c>
      <c r="K13">
        <f>IF(ISERROR(MATCH(WORKORDER[[#This Row],[TRAVELER]],Table1[TRAVELER],0)),K13,"Shipped")</f>
        <v>0</v>
      </c>
      <c r="L13">
        <f>+IF(ISERROR(MATCH(WORKORDER[[#This Row],[TRAVELER]],Table1[TRAVELER],0)),L13,'PACKING SLIP'!$F$5)</f>
        <v>0</v>
      </c>
    </row>
    <row r="14">
      <c r="A14">
        <v>705988</v>
      </c>
      <c r="B14" t="str">
        <v>11612078-B</v>
      </c>
      <c r="C14">
        <v>287</v>
      </c>
      <c r="D14" t="str">
        <v>MC74</v>
      </c>
      <c r="E14">
        <v>1285</v>
      </c>
      <c r="F14">
        <v>73000</v>
      </c>
      <c r="G14">
        <v>190436</v>
      </c>
      <c r="H14" s="1">
        <v>46185</v>
      </c>
      <c r="I14" t="str">
        <v>6-163-21-A</v>
      </c>
      <c r="K14" t="str">
        <f>IF(ISERROR(MATCH(WORKORDER[[#This Row],[TRAVELER]],Table1[TRAVELER],0)),K14,"Shipped")</f>
        <v>Shipped</v>
      </c>
      <c r="L14">
        <f>+IF(ISERROR(MATCH(WORKORDER[[#This Row],[TRAVELER]],Table1[TRAVELER],0)),L14,'PACKING SLIP'!$F$5)</f>
        <v>30098</v>
      </c>
    </row>
    <row r="15">
      <c r="A15">
        <v>706811</v>
      </c>
      <c r="B15" t="str">
        <v>11612078-B</v>
      </c>
      <c r="C15">
        <v>1026</v>
      </c>
      <c r="E15">
        <v>1162</v>
      </c>
      <c r="F15">
        <v>66000</v>
      </c>
      <c r="G15">
        <v>190436</v>
      </c>
      <c r="H15" s="1">
        <v>46185</v>
      </c>
      <c r="I15" t="str">
        <v>6-163-20-A</v>
      </c>
      <c r="K15" t="str">
        <v>Shipped</v>
      </c>
      <c r="L15" t="str">
        <v>29577/30018</v>
      </c>
    </row>
    <row r="16">
      <c r="A16">
        <v>707330</v>
      </c>
      <c r="B16" t="str">
        <v>11612078-B</v>
      </c>
      <c r="C16">
        <v>216</v>
      </c>
      <c r="D16" t="str">
        <v>MC74</v>
      </c>
      <c r="E16">
        <v>1408</v>
      </c>
      <c r="F16">
        <v>80000</v>
      </c>
      <c r="G16">
        <v>190436</v>
      </c>
      <c r="H16" s="1">
        <v>46185</v>
      </c>
      <c r="I16" t="str">
        <v>6-163-19-A</v>
      </c>
      <c r="K16" t="str">
        <v>Shipped</v>
      </c>
      <c r="L16">
        <v>29577</v>
      </c>
    </row>
    <row r="17">
      <c r="A17">
        <v>706921</v>
      </c>
      <c r="B17" t="str">
        <v>11612078-B</v>
      </c>
      <c r="C17">
        <v>227</v>
      </c>
      <c r="D17" t="str">
        <v>MC74</v>
      </c>
      <c r="E17">
        <v>1197</v>
      </c>
      <c r="F17">
        <v>68000</v>
      </c>
      <c r="G17">
        <v>190921</v>
      </c>
      <c r="H17" s="1">
        <v>46203</v>
      </c>
      <c r="I17" t="str">
        <v>6-181-35-A</v>
      </c>
      <c r="K17" t="str">
        <v>Shipped</v>
      </c>
      <c r="L17">
        <v>29555</v>
      </c>
    </row>
    <row r="18">
      <c r="A18">
        <v>707331</v>
      </c>
      <c r="B18" t="str">
        <v>11612078-B</v>
      </c>
      <c r="C18">
        <v>131</v>
      </c>
      <c r="D18" t="str">
        <v>MC74</v>
      </c>
      <c r="E18">
        <v>1232</v>
      </c>
      <c r="F18">
        <v>70000</v>
      </c>
      <c r="G18">
        <v>190976</v>
      </c>
      <c r="H18" s="1">
        <v>46205</v>
      </c>
      <c r="I18" t="str">
        <v>6-181-34-C</v>
      </c>
      <c r="K18">
        <f>IF(ISERROR(MATCH(WORKORDER[[#This Row],[TRAVELER]],Table1[TRAVELER],0)),K18,"Shipped")</f>
        <v>0</v>
      </c>
      <c r="L18">
        <f>+IF(ISERROR(MATCH(WORKORDER[[#This Row],[TRAVELER]],Table1[TRAVELER],0)),L18,'PACKING SLIP'!$F$5)</f>
        <v>0</v>
      </c>
    </row>
    <row r="19">
      <c r="A19">
        <v>707332</v>
      </c>
      <c r="B19" t="str">
        <v>11612078-B</v>
      </c>
      <c r="C19">
        <v>1622</v>
      </c>
      <c r="D19" t="str">
        <v>MC74</v>
      </c>
      <c r="E19">
        <v>1320</v>
      </c>
      <c r="F19">
        <v>75000</v>
      </c>
      <c r="G19">
        <v>190976</v>
      </c>
      <c r="H19" s="1">
        <v>46205</v>
      </c>
      <c r="I19" t="str">
        <v>6-181-36-A</v>
      </c>
      <c r="K19">
        <f>IF(ISERROR(MATCH(WORKORDER[[#This Row],[TRAVELER]],Table1[TRAVELER],0)),K19,"Shipped")</f>
        <v>0</v>
      </c>
      <c r="L19">
        <f>+IF(ISERROR(MATCH(WORKORDER[[#This Row],[TRAVELER]],Table1[TRAVELER],0)),L19,'PACKING SLIP'!$F$5)</f>
        <v>0</v>
      </c>
    </row>
    <row r="20">
      <c r="A20">
        <v>708161</v>
      </c>
      <c r="B20" t="str">
        <v>11612078-B</v>
      </c>
      <c r="C20">
        <v>152</v>
      </c>
      <c r="D20" t="str">
        <v>MC74</v>
      </c>
      <c r="E20">
        <v>1250</v>
      </c>
      <c r="F20">
        <v>71000</v>
      </c>
      <c r="G20">
        <v>190976</v>
      </c>
      <c r="H20" s="1">
        <v>46205</v>
      </c>
      <c r="I20" t="str">
        <v>6-181-36-B</v>
      </c>
      <c r="K20">
        <f>IF(ISERROR(MATCH(WORKORDER[[#This Row],[TRAVELER]],Table1[TRAVELER],0)),K20,"Shipped")</f>
        <v>0</v>
      </c>
      <c r="L20">
        <f>+IF(ISERROR(MATCH(WORKORDER[[#This Row],[TRAVELER]],Table1[TRAVELER],0)),L20,'PACKING SLIP'!$F$5)</f>
        <v>0</v>
      </c>
    </row>
    <row r="21">
      <c r="A21">
        <v>708434</v>
      </c>
      <c r="B21" t="str">
        <v>11612078-B</v>
      </c>
      <c r="C21">
        <v>700</v>
      </c>
      <c r="D21" t="str">
        <v>MC74</v>
      </c>
      <c r="E21">
        <v>1338</v>
      </c>
      <c r="F21">
        <v>76000</v>
      </c>
      <c r="G21">
        <v>190976</v>
      </c>
      <c r="H21" s="1">
        <v>46205</v>
      </c>
      <c r="I21" t="str">
        <v>6-181-36-A</v>
      </c>
      <c r="K21">
        <f>IF(ISERROR(MATCH(WORKORDER[[#This Row],[TRAVELER]],Table1[TRAVELER],0)),K21,"Shipped")</f>
        <v>0</v>
      </c>
      <c r="L21">
        <f>+IF(ISERROR(MATCH(WORKORDER[[#This Row],[TRAVELER]],Table1[TRAVELER],0)),L21,'PACKING SLIP'!$F$5)</f>
        <v>0</v>
      </c>
    </row>
    <row r="22">
      <c r="A22">
        <v>709058</v>
      </c>
      <c r="B22" t="str">
        <v>11612078-B</v>
      </c>
      <c r="C22">
        <v>503</v>
      </c>
      <c r="D22" t="str">
        <v>MC74</v>
      </c>
      <c r="E22">
        <v>1267</v>
      </c>
      <c r="F22">
        <v>72000</v>
      </c>
      <c r="G22">
        <v>190976</v>
      </c>
      <c r="H22" s="1">
        <v>46205</v>
      </c>
      <c r="I22" t="str">
        <v>6-181-37-C</v>
      </c>
      <c r="K22">
        <f>IF(ISERROR(MATCH(WORKORDER[[#This Row],[TRAVELER]],Table1[TRAVELER],0)),K22,"Shipped")</f>
        <v>0</v>
      </c>
      <c r="L22">
        <f>+IF(ISERROR(MATCH(WORKORDER[[#This Row],[TRAVELER]],Table1[TRAVELER],0)),L22,'PACKING SLIP'!$F$5)</f>
        <v>0</v>
      </c>
    </row>
    <row r="23">
      <c r="A23">
        <v>705865</v>
      </c>
      <c r="B23" t="str">
        <v>11516078-CA-IN</v>
      </c>
      <c r="C23">
        <v>726</v>
      </c>
      <c r="E23">
        <v>1238</v>
      </c>
      <c r="F23">
        <v>26000</v>
      </c>
      <c r="G23">
        <v>191398</v>
      </c>
      <c r="H23" s="1">
        <v>46220</v>
      </c>
      <c r="I23" t="str">
        <v>TRAVELERRECEIVED</v>
      </c>
      <c r="J23" t="str">
        <v>DOUBLE SORT ON TABLE FOR DAMAGE LOCKING</v>
      </c>
      <c r="K23" t="str">
        <v>Shipped</v>
      </c>
      <c r="L23">
        <v>29977</v>
      </c>
    </row>
    <row r="24">
      <c r="A24">
        <v>713725</v>
      </c>
      <c r="B24" t="str">
        <v>NU5108-00</v>
      </c>
      <c r="C24">
        <v>1058</v>
      </c>
      <c r="G24">
        <v>191424</v>
      </c>
      <c r="H24" s="1">
        <v>46220</v>
      </c>
      <c r="I24" t="str">
        <v>SORT&amp;RETURN</v>
      </c>
      <c r="J24" t="str">
        <v>SORT FOR MISSING LOCKNG</v>
      </c>
      <c r="K24" t="str">
        <v>Shipped</v>
      </c>
      <c r="L24">
        <v>29980</v>
      </c>
    </row>
    <row r="25">
      <c r="A25">
        <v>712993</v>
      </c>
      <c r="B25" t="str">
        <v>11546545-IN-PN</v>
      </c>
      <c r="C25">
        <v>1444</v>
      </c>
      <c r="E25">
        <v>228</v>
      </c>
      <c r="F25">
        <v>17520</v>
      </c>
      <c r="G25">
        <v>191443</v>
      </c>
      <c r="H25" s="1">
        <v>46223</v>
      </c>
      <c r="K25" t="str">
        <v>Shipped</v>
      </c>
      <c r="L25">
        <v>29977</v>
      </c>
    </row>
    <row r="26">
      <c r="A26">
        <v>704978</v>
      </c>
      <c r="B26" t="str">
        <v>11549168-CA-IN</v>
      </c>
      <c r="C26">
        <v>742</v>
      </c>
      <c r="E26">
        <v>1179</v>
      </c>
      <c r="F26">
        <v>44000</v>
      </c>
      <c r="G26">
        <v>192613</v>
      </c>
      <c r="H26" s="1">
        <v>46230</v>
      </c>
      <c r="I26" t="str">
        <v>TRAVELERRECEIVED</v>
      </c>
      <c r="K26" t="str">
        <v>Shipped</v>
      </c>
      <c r="L26">
        <v>29979</v>
      </c>
    </row>
    <row r="27">
      <c r="A27">
        <v>707998</v>
      </c>
      <c r="B27" t="str">
        <v>11549168-CA-IN</v>
      </c>
      <c r="C27">
        <v>533</v>
      </c>
      <c r="E27">
        <v>1126</v>
      </c>
      <c r="F27">
        <v>42000</v>
      </c>
      <c r="G27">
        <v>192613</v>
      </c>
      <c r="H27" s="1">
        <v>46230</v>
      </c>
      <c r="I27" t="str">
        <v>TRAVELERRECEIVED</v>
      </c>
      <c r="K27" t="str">
        <v>Shipped</v>
      </c>
      <c r="L27">
        <v>29987</v>
      </c>
    </row>
    <row r="28">
      <c r="A28">
        <v>710402</v>
      </c>
      <c r="B28" t="str">
        <v>11549168-CA-IN</v>
      </c>
      <c r="C28">
        <v>797</v>
      </c>
      <c r="E28">
        <v>1206</v>
      </c>
      <c r="F28">
        <v>45000</v>
      </c>
      <c r="G28">
        <v>192613</v>
      </c>
      <c r="H28" s="1">
        <v>46230</v>
      </c>
      <c r="I28" t="str">
        <v>TRAVELERRECEIVED</v>
      </c>
      <c r="K28" t="str">
        <v>Shipped</v>
      </c>
      <c r="L28">
        <v>29994</v>
      </c>
    </row>
    <row r="29">
      <c r="A29">
        <v>710691</v>
      </c>
      <c r="B29" t="str">
        <v>11549168-CA-IN</v>
      </c>
      <c r="C29">
        <v>883</v>
      </c>
      <c r="E29">
        <v>1072</v>
      </c>
      <c r="F29">
        <v>40000</v>
      </c>
      <c r="G29">
        <v>192629</v>
      </c>
      <c r="H29" s="1">
        <v>46230</v>
      </c>
      <c r="I29" t="str">
        <v>TRAVELERRECEIVED</v>
      </c>
      <c r="K29">
        <f>IF(ISERROR(MATCH(WORKORDER[[#This Row],[TRAVELER]],Table1[TRAVELER],0)),K29,"Shipped")</f>
        <v>0</v>
      </c>
      <c r="L29">
        <f>+IF(ISERROR(MATCH(WORKORDER[[#This Row],[TRAVELER]],Table1[TRAVELER],0)),L29,'PACKING SLIP'!$F$5)</f>
        <v>0</v>
      </c>
    </row>
    <row r="30">
      <c r="A30">
        <v>712370</v>
      </c>
      <c r="B30" t="str">
        <v>11549168-CA-IN</v>
      </c>
      <c r="C30">
        <v>63</v>
      </c>
      <c r="E30">
        <v>1206</v>
      </c>
      <c r="F30">
        <v>45000</v>
      </c>
      <c r="G30">
        <v>192629</v>
      </c>
      <c r="H30" s="1">
        <v>46230</v>
      </c>
      <c r="I30" t="str">
        <v>TRAVELERRECEIVED</v>
      </c>
      <c r="K30" t="str">
        <v>Shipped</v>
      </c>
      <c r="L30">
        <v>29991</v>
      </c>
    </row>
    <row r="31">
      <c r="A31">
        <v>710148</v>
      </c>
      <c r="B31" t="str">
        <v>11612078-B</v>
      </c>
      <c r="C31">
        <v>80</v>
      </c>
      <c r="D31" t="str">
        <v>MC74</v>
      </c>
      <c r="E31">
        <v>1232</v>
      </c>
      <c r="F31">
        <v>70000</v>
      </c>
      <c r="G31">
        <v>192639</v>
      </c>
      <c r="H31" s="1">
        <v>46230</v>
      </c>
      <c r="I31" t="str">
        <v>6-208-46-A</v>
      </c>
      <c r="K31" t="str">
        <v>Shipped</v>
      </c>
      <c r="L31">
        <v>29801</v>
      </c>
    </row>
    <row r="32">
      <c r="A32">
        <v>710151</v>
      </c>
      <c r="B32" t="str">
        <v>11612078-B</v>
      </c>
      <c r="C32">
        <v>1670</v>
      </c>
      <c r="D32" t="str">
        <v>MC74</v>
      </c>
      <c r="E32">
        <v>1338</v>
      </c>
      <c r="F32">
        <v>76000</v>
      </c>
      <c r="G32">
        <v>192639</v>
      </c>
      <c r="H32" s="1">
        <v>46230</v>
      </c>
      <c r="I32" t="str">
        <v>6-208-45-A</v>
      </c>
      <c r="K32" t="str">
        <v>Shipped</v>
      </c>
      <c r="L32">
        <v>29801</v>
      </c>
    </row>
    <row r="33">
      <c r="A33">
        <v>708162</v>
      </c>
      <c r="B33" t="str">
        <v>11612078-B</v>
      </c>
      <c r="C33">
        <v>1624</v>
      </c>
      <c r="D33" t="str">
        <v>MC74</v>
      </c>
      <c r="E33">
        <v>1197</v>
      </c>
      <c r="F33">
        <v>68000</v>
      </c>
      <c r="G33">
        <v>192681</v>
      </c>
      <c r="H33" s="1">
        <v>46231</v>
      </c>
      <c r="I33" t="str">
        <v>6-208-46-B</v>
      </c>
      <c r="K33" t="str">
        <v>Shipped</v>
      </c>
      <c r="L33">
        <v>29801</v>
      </c>
    </row>
    <row r="34">
      <c r="A34">
        <v>709057</v>
      </c>
      <c r="B34" t="str">
        <v>11612078-B</v>
      </c>
      <c r="C34">
        <v>386</v>
      </c>
      <c r="E34">
        <v>1267</v>
      </c>
      <c r="F34">
        <v>72000</v>
      </c>
      <c r="G34">
        <v>192681</v>
      </c>
      <c r="H34" s="1">
        <v>46231</v>
      </c>
      <c r="I34" t="str">
        <v>6-208-45-C</v>
      </c>
      <c r="K34" t="str">
        <v>Shipped</v>
      </c>
      <c r="L34" t="str">
        <v>29801/30008</v>
      </c>
    </row>
    <row r="35">
      <c r="A35">
        <v>710154</v>
      </c>
      <c r="B35" t="str">
        <v>11612078-B</v>
      </c>
      <c r="C35">
        <v>779</v>
      </c>
      <c r="D35" t="str">
        <v>MC74</v>
      </c>
      <c r="E35">
        <v>1320</v>
      </c>
      <c r="F35">
        <v>75000</v>
      </c>
      <c r="G35">
        <v>192681</v>
      </c>
      <c r="H35" s="1">
        <v>46231</v>
      </c>
      <c r="I35" t="str">
        <v>6-208-45-B</v>
      </c>
      <c r="K35" t="str">
        <v>Shipped</v>
      </c>
      <c r="L35">
        <v>29801</v>
      </c>
    </row>
    <row r="36">
      <c r="A36">
        <v>710172</v>
      </c>
      <c r="B36" t="str">
        <v>11612078-B</v>
      </c>
      <c r="C36">
        <v>754</v>
      </c>
      <c r="D36" t="str">
        <v>MC74</v>
      </c>
      <c r="E36">
        <v>1250</v>
      </c>
      <c r="F36">
        <v>71000</v>
      </c>
      <c r="G36">
        <v>192681</v>
      </c>
      <c r="H36" s="1">
        <v>46231</v>
      </c>
      <c r="I36" t="str">
        <v>6-208-46-C</v>
      </c>
      <c r="K36" t="str">
        <v>Shipped</v>
      </c>
      <c r="L36">
        <v>29801</v>
      </c>
    </row>
    <row r="37">
      <c r="A37">
        <v>710173</v>
      </c>
      <c r="B37" t="str">
        <v>11612078-B</v>
      </c>
      <c r="C37">
        <v>785</v>
      </c>
      <c r="E37">
        <v>1232</v>
      </c>
      <c r="F37">
        <v>70000</v>
      </c>
      <c r="G37">
        <v>192708</v>
      </c>
      <c r="H37" s="1">
        <v>46232</v>
      </c>
      <c r="I37" t="str">
        <v>6-208-46-D</v>
      </c>
      <c r="K37" t="str">
        <v>Shipped</v>
      </c>
      <c r="L37" t="str">
        <v>29801/29991</v>
      </c>
    </row>
    <row r="38">
      <c r="A38">
        <v>712881</v>
      </c>
      <c r="B38" t="str">
        <v>11612078-B</v>
      </c>
      <c r="C38">
        <v>858</v>
      </c>
      <c r="D38" t="str">
        <v>TB</v>
      </c>
      <c r="E38">
        <v>1197</v>
      </c>
      <c r="F38">
        <v>68000</v>
      </c>
      <c r="G38">
        <v>192745</v>
      </c>
      <c r="H38" s="1">
        <v>46233</v>
      </c>
      <c r="I38" t="str">
        <v>SORT&amp;RETURN</v>
      </c>
      <c r="K38">
        <f>IF(ISERROR(MATCH(WORKORDER[[#This Row],[TRAVELER]],Table1[TRAVELER],0)),K38,"Shipped")</f>
        <v>0</v>
      </c>
      <c r="L38">
        <f>+IF(ISERROR(MATCH(WORKORDER[[#This Row],[TRAVELER]],Table1[TRAVELER],0)),L38,'PACKING SLIP'!$F$5)</f>
        <v>0</v>
      </c>
    </row>
    <row r="39">
      <c r="A39">
        <v>714235</v>
      </c>
      <c r="B39" t="str">
        <v>NU5108-00</v>
      </c>
      <c r="C39">
        <v>235</v>
      </c>
      <c r="E39">
        <v>1058</v>
      </c>
      <c r="F39">
        <v>61156</v>
      </c>
      <c r="G39">
        <v>192745</v>
      </c>
      <c r="H39" s="1">
        <v>46233</v>
      </c>
      <c r="I39" t="str">
        <v>SORT&amp;RETURN</v>
      </c>
      <c r="J39" t="str">
        <v>SORT FOR MISSING LOCKNG</v>
      </c>
      <c r="K39">
        <f>IF(ISERROR(MATCH(WORKORDER[[#This Row],[TRAVELER]],Table1[TRAVELER],0)),K39,"Shipped")</f>
        <v>0</v>
      </c>
      <c r="L39">
        <f>+IF(ISERROR(MATCH(WORKORDER[[#This Row],[TRAVELER]],Table1[TRAVELER],0)),L39,'PACKING SLIP'!$F$5)</f>
        <v>0</v>
      </c>
    </row>
    <row r="40">
      <c r="A40">
        <v>714142</v>
      </c>
      <c r="B40" t="str">
        <v>11546437-MY-AK</v>
      </c>
      <c r="C40">
        <v>1591</v>
      </c>
      <c r="E40">
        <v>1167</v>
      </c>
      <c r="F40">
        <v>89769</v>
      </c>
      <c r="G40">
        <v>192761</v>
      </c>
      <c r="H40" s="1">
        <v>46234</v>
      </c>
      <c r="I40" t="str">
        <v>TRAVELERRECEIVED</v>
      </c>
      <c r="K40" t="str">
        <v>Shipped</v>
      </c>
      <c r="L40">
        <v>29988</v>
      </c>
    </row>
    <row r="41">
      <c r="A41">
        <v>714143</v>
      </c>
      <c r="B41" t="str">
        <v>11546437-MY-AK</v>
      </c>
      <c r="C41">
        <v>1390</v>
      </c>
      <c r="E41">
        <v>1056</v>
      </c>
      <c r="F41">
        <v>81231</v>
      </c>
      <c r="G41">
        <v>192761</v>
      </c>
      <c r="H41" s="1">
        <v>46234</v>
      </c>
      <c r="I41" t="str">
        <v>TRAVELERRECEIVED</v>
      </c>
      <c r="K41" t="str">
        <v>Shipped</v>
      </c>
      <c r="L41">
        <v>29988</v>
      </c>
    </row>
    <row r="42">
      <c r="A42">
        <v>714151</v>
      </c>
      <c r="B42" t="str">
        <v>11546437-MY-AK</v>
      </c>
      <c r="C42">
        <v>576</v>
      </c>
      <c r="E42">
        <v>1092</v>
      </c>
      <c r="F42">
        <v>84000</v>
      </c>
      <c r="G42">
        <v>192761</v>
      </c>
      <c r="H42" s="1">
        <v>46234</v>
      </c>
      <c r="I42" t="str">
        <v>TRAVELERRECEIVED</v>
      </c>
      <c r="K42" t="str">
        <v>Shipped</v>
      </c>
      <c r="L42">
        <v>29988</v>
      </c>
    </row>
    <row r="43">
      <c r="A43">
        <v>714162</v>
      </c>
      <c r="B43" t="str">
        <v>06513514AA</v>
      </c>
      <c r="C43">
        <v>930</v>
      </c>
      <c r="E43">
        <v>790</v>
      </c>
      <c r="F43">
        <v>7670</v>
      </c>
      <c r="G43">
        <v>192761</v>
      </c>
      <c r="H43" s="1">
        <v>46234</v>
      </c>
      <c r="I43" t="str">
        <v>TRAVELERRECEIVED</v>
      </c>
      <c r="K43" t="str">
        <v>Shipped</v>
      </c>
      <c r="L43">
        <v>29988</v>
      </c>
    </row>
    <row r="44">
      <c r="A44">
        <v>714340</v>
      </c>
      <c r="B44" t="str">
        <v>06104388AA</v>
      </c>
      <c r="C44">
        <v>1769</v>
      </c>
      <c r="E44">
        <v>893</v>
      </c>
      <c r="F44">
        <v>21622</v>
      </c>
      <c r="G44">
        <v>192761</v>
      </c>
      <c r="H44" s="1">
        <v>46234</v>
      </c>
      <c r="I44" t="str">
        <v>TRAVELERRECEIVED</v>
      </c>
      <c r="K44" t="str">
        <v>Shipped</v>
      </c>
      <c r="L44">
        <v>29988</v>
      </c>
    </row>
    <row r="45">
      <c r="A45">
        <v>713894</v>
      </c>
      <c r="B45">
        <v>11546456</v>
      </c>
      <c r="C45">
        <v>946</v>
      </c>
      <c r="E45">
        <v>1013</v>
      </c>
      <c r="F45">
        <v>83033</v>
      </c>
      <c r="G45">
        <v>192831</v>
      </c>
      <c r="H45" s="1">
        <v>46238</v>
      </c>
      <c r="I45" t="str">
        <v>TRAVELERRECEIVED</v>
      </c>
      <c r="K45" t="str">
        <v>Shipped</v>
      </c>
      <c r="L45">
        <v>29946</v>
      </c>
    </row>
    <row r="46">
      <c r="A46">
        <v>713895</v>
      </c>
      <c r="B46">
        <v>11546456</v>
      </c>
      <c r="C46">
        <v>1369</v>
      </c>
      <c r="E46">
        <v>861</v>
      </c>
      <c r="F46">
        <v>70574</v>
      </c>
      <c r="G46">
        <v>192831</v>
      </c>
      <c r="H46" s="1">
        <v>46238</v>
      </c>
      <c r="I46" t="str">
        <v>TRAVELERRECEIVED</v>
      </c>
      <c r="K46" t="str">
        <v>Shipped</v>
      </c>
      <c r="L46">
        <v>29946</v>
      </c>
    </row>
    <row r="47">
      <c r="A47">
        <v>713896</v>
      </c>
      <c r="B47">
        <v>11546456</v>
      </c>
      <c r="C47">
        <v>1060</v>
      </c>
      <c r="E47">
        <v>920</v>
      </c>
      <c r="F47">
        <v>75410</v>
      </c>
      <c r="G47">
        <v>192831</v>
      </c>
      <c r="H47" s="1">
        <v>46238</v>
      </c>
      <c r="I47" t="str">
        <v>TRAVELERRECEIVED</v>
      </c>
      <c r="K47" t="str">
        <v>Shipped</v>
      </c>
      <c r="L47">
        <v>29948</v>
      </c>
    </row>
    <row r="48">
      <c r="A48">
        <v>713897</v>
      </c>
      <c r="B48">
        <v>11546456</v>
      </c>
      <c r="C48">
        <v>845</v>
      </c>
      <c r="E48">
        <v>940</v>
      </c>
      <c r="F48">
        <v>77049</v>
      </c>
      <c r="G48">
        <v>192831</v>
      </c>
      <c r="H48" s="1">
        <v>46238</v>
      </c>
      <c r="I48" t="str">
        <v>TRAVELERRECEIVED</v>
      </c>
      <c r="K48" t="str">
        <v>Shipped</v>
      </c>
      <c r="L48">
        <v>29948</v>
      </c>
    </row>
    <row r="49">
      <c r="A49">
        <v>714214</v>
      </c>
      <c r="B49">
        <v>15047163</v>
      </c>
      <c r="C49">
        <v>3</v>
      </c>
      <c r="E49">
        <v>1167</v>
      </c>
      <c r="F49">
        <v>63770</v>
      </c>
      <c r="G49">
        <v>192831</v>
      </c>
      <c r="H49" s="1">
        <v>46238</v>
      </c>
      <c r="I49" t="str">
        <v>TRAVELERRECEIVED</v>
      </c>
      <c r="K49" t="str">
        <v>Shipped</v>
      </c>
      <c r="L49">
        <v>29964</v>
      </c>
    </row>
    <row r="50">
      <c r="A50">
        <v>714217</v>
      </c>
      <c r="B50">
        <v>15047163</v>
      </c>
      <c r="C50">
        <v>748</v>
      </c>
      <c r="E50">
        <v>1150</v>
      </c>
      <c r="F50">
        <v>62842</v>
      </c>
      <c r="G50">
        <v>192831</v>
      </c>
      <c r="H50" s="1">
        <v>46238</v>
      </c>
      <c r="I50" t="str">
        <v>TRAVELERRECEIVED</v>
      </c>
      <c r="K50" t="str">
        <v>Shipped</v>
      </c>
      <c r="L50">
        <v>29964</v>
      </c>
    </row>
    <row r="51">
      <c r="A51">
        <v>714270</v>
      </c>
      <c r="B51">
        <v>11549204</v>
      </c>
      <c r="C51">
        <v>442</v>
      </c>
      <c r="E51">
        <v>1077</v>
      </c>
      <c r="F51">
        <v>7081</v>
      </c>
      <c r="G51">
        <v>192831</v>
      </c>
      <c r="H51" s="1">
        <v>46238</v>
      </c>
      <c r="I51" t="str">
        <v>TRAVELERRECEIVED</v>
      </c>
      <c r="K51" t="str">
        <v>Shipped</v>
      </c>
      <c r="L51">
        <v>29956</v>
      </c>
    </row>
    <row r="52">
      <c r="A52">
        <v>714271</v>
      </c>
      <c r="B52">
        <v>11549204</v>
      </c>
      <c r="C52">
        <v>833</v>
      </c>
      <c r="E52">
        <v>1223</v>
      </c>
      <c r="F52">
        <v>8041</v>
      </c>
      <c r="G52">
        <v>192831</v>
      </c>
      <c r="H52" s="1">
        <v>46238</v>
      </c>
      <c r="I52" t="str">
        <v>TRAVELERRECEIVED</v>
      </c>
      <c r="K52" t="str">
        <v>Shipped</v>
      </c>
      <c r="L52">
        <v>29939</v>
      </c>
    </row>
    <row r="53">
      <c r="A53">
        <v>714542</v>
      </c>
      <c r="B53" t="str">
        <v>11546367-MY-AK</v>
      </c>
      <c r="C53">
        <v>821</v>
      </c>
      <c r="E53">
        <v>1115</v>
      </c>
      <c r="F53">
        <v>23978</v>
      </c>
      <c r="G53">
        <v>192831</v>
      </c>
      <c r="H53" s="1">
        <v>46238</v>
      </c>
      <c r="I53" t="str">
        <v>TRAVELERRECEIVED</v>
      </c>
      <c r="K53" t="str">
        <v>Shipped</v>
      </c>
      <c r="L53">
        <v>29948</v>
      </c>
    </row>
    <row r="54">
      <c r="A54">
        <v>714543</v>
      </c>
      <c r="B54" t="str">
        <v>11546367-MY-AK</v>
      </c>
      <c r="C54">
        <v>1632</v>
      </c>
      <c r="E54">
        <v>1119</v>
      </c>
      <c r="F54">
        <v>24065</v>
      </c>
      <c r="G54">
        <v>192831</v>
      </c>
      <c r="H54" s="1">
        <v>46238</v>
      </c>
      <c r="I54" t="str">
        <v>TRAVELERRECEIVED</v>
      </c>
      <c r="K54" t="str">
        <v>Shipped</v>
      </c>
      <c r="L54">
        <v>29939</v>
      </c>
    </row>
    <row r="55">
      <c r="A55">
        <v>714546</v>
      </c>
      <c r="B55" t="str">
        <v>11546367-MY-AK</v>
      </c>
      <c r="C55">
        <v>95</v>
      </c>
      <c r="E55">
        <v>1173</v>
      </c>
      <c r="F55">
        <v>25226</v>
      </c>
      <c r="G55">
        <v>192831</v>
      </c>
      <c r="H55" s="1">
        <v>46238</v>
      </c>
      <c r="I55" t="str">
        <v>TRAVELERRECEIVED</v>
      </c>
      <c r="K55">
        <f>IF(ISERROR(MATCH(WORKORDER[[#This Row],[TRAVELER]],Table1[TRAVELER],0)),K55,"Shipped")</f>
        <v>0</v>
      </c>
      <c r="L55">
        <f>+IF(ISERROR(MATCH(WORKORDER[[#This Row],[TRAVELER]],Table1[TRAVELER],0)),L55,'PACKING SLIP'!$F$5)</f>
        <v>0</v>
      </c>
    </row>
    <row r="56">
      <c r="A56">
        <v>714547</v>
      </c>
      <c r="B56" t="str">
        <v>11546367-MY-AK</v>
      </c>
      <c r="C56">
        <v>1343</v>
      </c>
      <c r="E56">
        <v>1136</v>
      </c>
      <c r="F56">
        <v>24430</v>
      </c>
      <c r="G56">
        <v>192831</v>
      </c>
      <c r="H56" s="1">
        <v>46238</v>
      </c>
      <c r="I56" t="str">
        <v>TRAVELERRECEIVED</v>
      </c>
      <c r="K56" t="str">
        <v>Shipped</v>
      </c>
      <c r="L56">
        <v>29941</v>
      </c>
    </row>
    <row r="57">
      <c r="A57">
        <v>714548</v>
      </c>
      <c r="B57" t="str">
        <v>11546367-MY-AK</v>
      </c>
      <c r="C57">
        <v>1808</v>
      </c>
      <c r="E57">
        <v>1154</v>
      </c>
      <c r="F57">
        <v>24817</v>
      </c>
      <c r="G57">
        <v>192831</v>
      </c>
      <c r="H57" s="1">
        <v>46238</v>
      </c>
      <c r="I57" t="str">
        <v>TRAVELERRECEIVED</v>
      </c>
      <c r="K57" t="str">
        <v>Shipped</v>
      </c>
      <c r="L57">
        <v>29939</v>
      </c>
    </row>
    <row r="58">
      <c r="A58">
        <v>714549</v>
      </c>
      <c r="B58" t="str">
        <v>11546367-MY-AK</v>
      </c>
      <c r="C58">
        <v>15</v>
      </c>
      <c r="D58" t="str">
        <v>MC/BF</v>
      </c>
      <c r="E58">
        <v>1156</v>
      </c>
      <c r="F58">
        <v>24860</v>
      </c>
      <c r="G58">
        <v>192831</v>
      </c>
      <c r="H58" s="1">
        <v>46238</v>
      </c>
      <c r="I58" t="str">
        <v>TRAVELERRECEIVED</v>
      </c>
      <c r="K58" t="str">
        <f>IF(ISERROR(MATCH(WORKORDER[[#This Row],[TRAVELER]],Table1[TRAVELER],0)),K58,"Shipped")</f>
        <v>Shipped</v>
      </c>
      <c r="L58">
        <f>+IF(ISERROR(MATCH(WORKORDER[[#This Row],[TRAVELER]],Table1[TRAVELER],0)),L58,'PACKING SLIP'!$F$5)</f>
        <v>30101</v>
      </c>
    </row>
    <row r="59">
      <c r="A59">
        <v>714550</v>
      </c>
      <c r="B59" t="str">
        <v>11546367-MY-AK</v>
      </c>
      <c r="C59">
        <v>1682</v>
      </c>
      <c r="E59">
        <v>1186</v>
      </c>
      <c r="F59">
        <v>25505</v>
      </c>
      <c r="G59">
        <v>192831</v>
      </c>
      <c r="H59" s="1">
        <v>46238</v>
      </c>
      <c r="I59" t="str">
        <v>TRAVELERRECEIVED</v>
      </c>
      <c r="K59" t="str">
        <v>Shipped</v>
      </c>
      <c r="L59">
        <v>29939</v>
      </c>
    </row>
    <row r="60">
      <c r="A60">
        <v>714551</v>
      </c>
      <c r="B60" t="str">
        <v>11546367-MY-AK</v>
      </c>
      <c r="C60">
        <v>941</v>
      </c>
      <c r="E60">
        <v>1093</v>
      </c>
      <c r="F60">
        <v>23505</v>
      </c>
      <c r="G60">
        <v>192831</v>
      </c>
      <c r="H60" s="1">
        <v>46238</v>
      </c>
      <c r="I60" t="str">
        <v>TRAVELERRECEIVED</v>
      </c>
      <c r="K60" t="str">
        <v>Shipped</v>
      </c>
      <c r="L60">
        <v>29941</v>
      </c>
    </row>
    <row r="61">
      <c r="A61">
        <v>714552</v>
      </c>
      <c r="B61" t="str">
        <v>11546367-MY-AK</v>
      </c>
      <c r="C61">
        <v>181</v>
      </c>
      <c r="E61">
        <v>1131</v>
      </c>
      <c r="F61">
        <v>24323</v>
      </c>
      <c r="G61">
        <v>192831</v>
      </c>
      <c r="H61" s="1">
        <v>46238</v>
      </c>
      <c r="I61" t="str">
        <v>TRAVELERRECEIVED</v>
      </c>
      <c r="K61" t="str">
        <v>Shipped</v>
      </c>
      <c r="L61">
        <v>29941</v>
      </c>
    </row>
    <row r="62">
      <c r="A62">
        <v>714553</v>
      </c>
      <c r="B62" t="str">
        <v>11546367-MY-AK</v>
      </c>
      <c r="C62">
        <v>918</v>
      </c>
      <c r="D62" t="str">
        <v>MC/BF</v>
      </c>
      <c r="E62">
        <v>1184</v>
      </c>
      <c r="F62">
        <v>25462</v>
      </c>
      <c r="G62">
        <v>192831</v>
      </c>
      <c r="H62" s="1">
        <v>46238</v>
      </c>
      <c r="I62" t="str">
        <v>TRAVELERRECEIVED</v>
      </c>
      <c r="K62" t="str">
        <f>IF(ISERROR(MATCH(WORKORDER[[#This Row],[TRAVELER]],Table1[TRAVELER],0)),K62,"Shipped")</f>
        <v>Shipped</v>
      </c>
      <c r="L62">
        <f>+IF(ISERROR(MATCH(WORKORDER[[#This Row],[TRAVELER]],Table1[TRAVELER],0)),L62,'PACKING SLIP'!$F$5)</f>
        <v>30101</v>
      </c>
    </row>
    <row r="63">
      <c r="A63">
        <v>714556</v>
      </c>
      <c r="B63" t="str">
        <v>11546367-MY-AK</v>
      </c>
      <c r="C63">
        <v>21</v>
      </c>
      <c r="E63">
        <v>1082</v>
      </c>
      <c r="F63">
        <v>23269</v>
      </c>
      <c r="G63">
        <v>192831</v>
      </c>
      <c r="H63" s="1">
        <v>46238</v>
      </c>
      <c r="I63" t="str">
        <v>TRAVELERRECEIVED</v>
      </c>
      <c r="K63" t="str">
        <v>Shipped</v>
      </c>
      <c r="L63">
        <v>29994</v>
      </c>
    </row>
    <row r="64">
      <c r="A64">
        <v>714557</v>
      </c>
      <c r="B64" t="str">
        <v>11546367-MY-AK</v>
      </c>
      <c r="C64">
        <v>1525</v>
      </c>
      <c r="E64">
        <v>1210</v>
      </c>
      <c r="F64">
        <v>26022</v>
      </c>
      <c r="G64">
        <v>192831</v>
      </c>
      <c r="H64" s="1">
        <v>46238</v>
      </c>
      <c r="I64" t="str">
        <v>TRAVELERRECEIVED</v>
      </c>
      <c r="K64" t="str">
        <v>Shipped</v>
      </c>
      <c r="L64">
        <v>29941</v>
      </c>
    </row>
    <row r="65">
      <c r="A65">
        <v>715604</v>
      </c>
      <c r="B65" t="str">
        <v>06511834AA</v>
      </c>
      <c r="C65">
        <v>1083</v>
      </c>
      <c r="D65" t="str">
        <v>TB</v>
      </c>
      <c r="E65">
        <v>397</v>
      </c>
      <c r="F65">
        <v>2727</v>
      </c>
      <c r="G65">
        <v>192831</v>
      </c>
      <c r="H65" s="1">
        <v>46238</v>
      </c>
      <c r="I65" t="str">
        <v>TRAVELERRECEIVED</v>
      </c>
      <c r="K65" t="str">
        <f>IF(ISERROR(MATCH(WORKORDER[[#This Row],[TRAVELER]],Table1[TRAVELER],0)),K65,"Shipped")</f>
        <v>Shipped</v>
      </c>
      <c r="L65">
        <f>+IF(ISERROR(MATCH(WORKORDER[[#This Row],[TRAVELER]],Table1[TRAVELER],0)),L65,'PACKING SLIP'!$F$5)</f>
        <v>30069</v>
      </c>
    </row>
    <row r="66">
      <c r="A66">
        <v>715605</v>
      </c>
      <c r="B66" t="str">
        <v>06511834AA</v>
      </c>
      <c r="C66">
        <v>593</v>
      </c>
      <c r="E66">
        <v>487</v>
      </c>
      <c r="F66">
        <v>3345</v>
      </c>
      <c r="G66">
        <v>192831</v>
      </c>
      <c r="H66" s="1">
        <v>46238</v>
      </c>
      <c r="I66" t="str">
        <v>TRAVELERRECEIVED</v>
      </c>
      <c r="K66" t="str">
        <v>Shipped</v>
      </c>
      <c r="L66">
        <v>29988</v>
      </c>
    </row>
    <row r="67">
      <c r="A67">
        <v>715612</v>
      </c>
      <c r="B67" t="str">
        <v>06512106AA</v>
      </c>
      <c r="C67">
        <v>102</v>
      </c>
      <c r="D67" t="str">
        <v>TB</v>
      </c>
      <c r="E67">
        <v>813</v>
      </c>
      <c r="F67">
        <v>6067</v>
      </c>
      <c r="G67">
        <v>192831</v>
      </c>
      <c r="H67" s="1">
        <v>46238</v>
      </c>
      <c r="I67" t="str">
        <v>TRAVELERRECEIVED</v>
      </c>
      <c r="K67" t="str">
        <v>Shipped</v>
      </c>
      <c r="L67">
        <v>30030</v>
      </c>
    </row>
    <row r="68">
      <c r="A68">
        <v>715613</v>
      </c>
      <c r="B68" t="str">
        <v>06512106AA</v>
      </c>
      <c r="C68">
        <v>694</v>
      </c>
      <c r="E68">
        <v>804</v>
      </c>
      <c r="F68">
        <v>6000</v>
      </c>
      <c r="G68">
        <v>192831</v>
      </c>
      <c r="H68" s="1">
        <v>46238</v>
      </c>
      <c r="I68" t="str">
        <v>TRAVELERRECEIVED</v>
      </c>
      <c r="K68" t="str">
        <v>Shipped</v>
      </c>
      <c r="L68">
        <v>29988</v>
      </c>
    </row>
    <row r="69">
      <c r="A69">
        <v>715614</v>
      </c>
      <c r="B69">
        <v>11546456</v>
      </c>
      <c r="C69">
        <v>693</v>
      </c>
      <c r="E69">
        <v>944</v>
      </c>
      <c r="F69">
        <v>77377</v>
      </c>
      <c r="G69">
        <v>192831</v>
      </c>
      <c r="H69" s="1">
        <v>46238</v>
      </c>
      <c r="I69" t="str">
        <v>TRAVELERRECEIVED</v>
      </c>
      <c r="K69" t="str">
        <v>Shipped</v>
      </c>
      <c r="L69">
        <v>29948</v>
      </c>
    </row>
    <row r="70">
      <c r="A70">
        <v>715615</v>
      </c>
      <c r="B70">
        <v>11546456</v>
      </c>
      <c r="C70">
        <v>187</v>
      </c>
      <c r="E70">
        <v>912</v>
      </c>
      <c r="F70">
        <v>74754</v>
      </c>
      <c r="G70">
        <v>192831</v>
      </c>
      <c r="H70" s="1">
        <v>46238</v>
      </c>
      <c r="I70" t="str">
        <v>TRAVELERRECEIVED</v>
      </c>
      <c r="K70" t="str">
        <v>Shipped</v>
      </c>
      <c r="L70">
        <v>29956</v>
      </c>
    </row>
    <row r="71">
      <c r="A71">
        <v>715616</v>
      </c>
      <c r="B71">
        <v>11546456</v>
      </c>
      <c r="C71">
        <v>795</v>
      </c>
      <c r="E71">
        <v>960</v>
      </c>
      <c r="F71">
        <v>78689</v>
      </c>
      <c r="G71">
        <v>192831</v>
      </c>
      <c r="H71" s="1">
        <v>46238</v>
      </c>
      <c r="I71" t="str">
        <v>TRAVELERRECEIVED</v>
      </c>
      <c r="K71" t="str">
        <v>Shipped</v>
      </c>
      <c r="L71">
        <v>29946</v>
      </c>
    </row>
    <row r="72">
      <c r="A72">
        <v>715617</v>
      </c>
      <c r="B72">
        <v>11546456</v>
      </c>
      <c r="C72">
        <v>971</v>
      </c>
      <c r="E72">
        <v>912</v>
      </c>
      <c r="F72">
        <v>74754</v>
      </c>
      <c r="G72">
        <v>192831</v>
      </c>
      <c r="H72" s="1">
        <v>46238</v>
      </c>
      <c r="I72" t="str">
        <v>TRAVELERRECEIVED</v>
      </c>
      <c r="K72" t="str">
        <v>Shipped</v>
      </c>
      <c r="L72">
        <v>29948</v>
      </c>
    </row>
    <row r="73">
      <c r="A73">
        <v>715618</v>
      </c>
      <c r="B73">
        <v>11546456</v>
      </c>
      <c r="C73">
        <v>793</v>
      </c>
      <c r="D73" t="str">
        <v>MC/BF</v>
      </c>
      <c r="E73">
        <v>912</v>
      </c>
      <c r="F73">
        <v>74754</v>
      </c>
      <c r="G73">
        <v>192831</v>
      </c>
      <c r="H73" s="1">
        <v>46238</v>
      </c>
      <c r="I73" t="str">
        <v>TRAVELERRECEIVED</v>
      </c>
      <c r="K73" t="str">
        <f>IF(ISERROR(MATCH(WORKORDER[[#This Row],[TRAVELER]],Table1[TRAVELER],0)),K73,"Shipped")</f>
        <v>Shipped</v>
      </c>
      <c r="L73">
        <v>0</v>
      </c>
    </row>
    <row r="74">
      <c r="A74">
        <v>715619</v>
      </c>
      <c r="B74">
        <v>11546456</v>
      </c>
      <c r="C74">
        <v>90</v>
      </c>
      <c r="E74">
        <v>922</v>
      </c>
      <c r="F74">
        <v>75574</v>
      </c>
      <c r="G74">
        <v>192831</v>
      </c>
      <c r="H74" s="1">
        <v>46238</v>
      </c>
      <c r="I74" t="str">
        <v>TRAVELERRECEIVED</v>
      </c>
      <c r="K74" t="str">
        <v>Shipped</v>
      </c>
      <c r="L74">
        <v>29948</v>
      </c>
    </row>
    <row r="75">
      <c r="A75">
        <v>715620</v>
      </c>
      <c r="B75">
        <v>11546456</v>
      </c>
      <c r="C75">
        <v>677</v>
      </c>
      <c r="E75">
        <v>1010</v>
      </c>
      <c r="F75">
        <v>82787</v>
      </c>
      <c r="G75">
        <v>192831</v>
      </c>
      <c r="H75" s="1">
        <v>46238</v>
      </c>
      <c r="I75" t="str">
        <v>TRAVELERRECEIVED</v>
      </c>
      <c r="K75" t="str">
        <v>Shipped</v>
      </c>
      <c r="L75">
        <v>29954</v>
      </c>
    </row>
    <row r="76">
      <c r="A76">
        <v>715621</v>
      </c>
      <c r="B76">
        <v>11546456</v>
      </c>
      <c r="C76">
        <v>1795</v>
      </c>
      <c r="E76">
        <v>881</v>
      </c>
      <c r="F76">
        <v>72213</v>
      </c>
      <c r="G76">
        <v>192831</v>
      </c>
      <c r="H76" s="1">
        <v>46238</v>
      </c>
      <c r="I76" t="str">
        <v>TRAVELERRECEIVED</v>
      </c>
      <c r="K76" t="str">
        <v>Shipped</v>
      </c>
      <c r="L76">
        <v>29948</v>
      </c>
    </row>
    <row r="77">
      <c r="A77">
        <v>715676</v>
      </c>
      <c r="B77">
        <v>11588714</v>
      </c>
      <c r="C77" t="str">
        <v>KIB</v>
      </c>
      <c r="D77" t="str">
        <v>TB</v>
      </c>
      <c r="E77">
        <v>1547</v>
      </c>
      <c r="F77">
        <v>70000</v>
      </c>
      <c r="G77">
        <v>192831</v>
      </c>
      <c r="H77" s="1">
        <v>46238</v>
      </c>
      <c r="I77" t="str">
        <v>TRAVELERRECEIVED</v>
      </c>
      <c r="J77" t="str">
        <v>DONE</v>
      </c>
      <c r="K77">
        <f>IF(ISERROR(MATCH(WORKORDER[[#This Row],[TRAVELER]],Table1[TRAVELER],0)),K77,"Shipped")</f>
        <v>0</v>
      </c>
      <c r="L77">
        <f>+IF(ISERROR(MATCH(WORKORDER[[#This Row],[TRAVELER]],Table1[TRAVELER],0)),L77,'PACKING SLIP'!$F$5)</f>
        <v>0</v>
      </c>
    </row>
    <row r="78">
      <c r="A78">
        <v>715677</v>
      </c>
      <c r="B78">
        <v>11588714</v>
      </c>
      <c r="C78" t="str">
        <v>KIB</v>
      </c>
      <c r="E78">
        <v>1547</v>
      </c>
      <c r="F78">
        <v>70000</v>
      </c>
      <c r="G78">
        <v>192831</v>
      </c>
      <c r="H78" s="1">
        <v>46238</v>
      </c>
      <c r="I78" t="str">
        <v>SPLIT FROM TR#715676</v>
      </c>
      <c r="K78" t="str">
        <v>Shipped</v>
      </c>
      <c r="L78">
        <v>29957</v>
      </c>
    </row>
    <row r="79">
      <c r="A79">
        <v>715678</v>
      </c>
      <c r="B79">
        <v>11588714</v>
      </c>
      <c r="C79" t="str">
        <v>KIB</v>
      </c>
      <c r="D79" t="str">
        <v>TB</v>
      </c>
      <c r="E79">
        <v>1547</v>
      </c>
      <c r="F79">
        <v>70000</v>
      </c>
      <c r="G79">
        <v>192831</v>
      </c>
      <c r="H79" s="1">
        <v>46238</v>
      </c>
      <c r="I79" t="str">
        <v>TRAVELERRECEIVED</v>
      </c>
      <c r="J79" t="str">
        <v>DONE</v>
      </c>
      <c r="K79">
        <f>IF(ISERROR(MATCH(WORKORDER[[#This Row],[TRAVELER]],Table1[TRAVELER],0)),K79,"Shipped")</f>
        <v>0</v>
      </c>
      <c r="L79">
        <f>+IF(ISERROR(MATCH(WORKORDER[[#This Row],[TRAVELER]],Table1[TRAVELER],0)),L79,'PACKING SLIP'!$F$5)</f>
        <v>0</v>
      </c>
    </row>
    <row r="80">
      <c r="A80">
        <v>715679</v>
      </c>
      <c r="B80">
        <v>11588714</v>
      </c>
      <c r="C80" t="str">
        <v>KIB</v>
      </c>
      <c r="E80">
        <v>1547</v>
      </c>
      <c r="F80">
        <v>70000</v>
      </c>
      <c r="G80">
        <v>192831</v>
      </c>
      <c r="H80" s="1">
        <v>46238</v>
      </c>
      <c r="I80" t="str">
        <v>SPLIT FROM TR#715678</v>
      </c>
      <c r="K80" t="str">
        <v>Shipped</v>
      </c>
      <c r="L80">
        <v>29957</v>
      </c>
    </row>
    <row r="81">
      <c r="A81">
        <v>705483</v>
      </c>
      <c r="B81" t="str">
        <v>11549168-CA-IN</v>
      </c>
      <c r="C81">
        <v>900</v>
      </c>
      <c r="E81">
        <v>1126</v>
      </c>
      <c r="F81">
        <v>42000</v>
      </c>
      <c r="G81">
        <v>192845</v>
      </c>
      <c r="H81" s="1">
        <v>46238</v>
      </c>
      <c r="I81" t="str">
        <v>TRAVELERRECEIVED</v>
      </c>
      <c r="K81" t="str">
        <v>Shipped</v>
      </c>
      <c r="L81">
        <v>29994</v>
      </c>
    </row>
    <row r="82">
      <c r="A82">
        <v>708736</v>
      </c>
      <c r="B82" t="str">
        <v>11549168-CA-IN</v>
      </c>
      <c r="C82">
        <v>9</v>
      </c>
      <c r="E82">
        <v>804</v>
      </c>
      <c r="F82">
        <v>30000</v>
      </c>
      <c r="G82">
        <v>192845</v>
      </c>
      <c r="H82" s="1">
        <v>46238</v>
      </c>
      <c r="I82" t="str">
        <v>TRAVELERRECEIVED</v>
      </c>
      <c r="K82" t="str">
        <v>Shipped</v>
      </c>
      <c r="L82">
        <v>29994</v>
      </c>
    </row>
    <row r="83">
      <c r="A83">
        <v>710689</v>
      </c>
      <c r="B83" t="str">
        <v>11549168-CA-IN</v>
      </c>
      <c r="C83">
        <v>1532</v>
      </c>
      <c r="D83" t="str">
        <v>MC26</v>
      </c>
      <c r="E83">
        <v>965</v>
      </c>
      <c r="F83">
        <v>36000</v>
      </c>
      <c r="G83">
        <v>192845</v>
      </c>
      <c r="H83" s="1">
        <v>46238</v>
      </c>
      <c r="I83" t="str">
        <v>TRAVELERRECEIVED</v>
      </c>
      <c r="J83" t="str">
        <v>SPECIAL SORT</v>
      </c>
      <c r="K83">
        <f>IF(ISERROR(MATCH(WORKORDER[[#This Row],[TRAVELER]],Table1[TRAVELER],0)),K83,"Shipped")</f>
        <v>0</v>
      </c>
      <c r="L83">
        <f>+IF(ISERROR(MATCH(WORKORDER[[#This Row],[TRAVELER]],Table1[TRAVELER],0)),L83,'PACKING SLIP'!$F$5)</f>
        <v>0</v>
      </c>
    </row>
    <row r="84">
      <c r="A84">
        <v>710690</v>
      </c>
      <c r="B84" t="str">
        <v>11549168-CA-IN</v>
      </c>
      <c r="C84">
        <v>615</v>
      </c>
      <c r="D84" t="str">
        <v>MC26</v>
      </c>
      <c r="E84">
        <v>1179</v>
      </c>
      <c r="F84">
        <v>44000</v>
      </c>
      <c r="G84">
        <v>192845</v>
      </c>
      <c r="H84" s="1">
        <v>46238</v>
      </c>
      <c r="I84" t="str">
        <v>TRAVELERRECEIVED</v>
      </c>
      <c r="J84" t="str">
        <v>SPECIAL SORT</v>
      </c>
      <c r="K84" t="str">
        <v>Shipped</v>
      </c>
      <c r="L84">
        <v>30039</v>
      </c>
    </row>
    <row r="85">
      <c r="A85">
        <v>710829</v>
      </c>
      <c r="B85" t="str">
        <v>11549168-CA-IN</v>
      </c>
      <c r="C85">
        <v>666</v>
      </c>
      <c r="E85">
        <v>1206</v>
      </c>
      <c r="F85">
        <v>45000</v>
      </c>
      <c r="G85">
        <v>192845</v>
      </c>
      <c r="H85" s="1">
        <v>46238</v>
      </c>
      <c r="I85" t="str">
        <v>TRAVELERRECEIVED</v>
      </c>
      <c r="K85" t="str">
        <v>Shipped</v>
      </c>
      <c r="L85">
        <v>29988</v>
      </c>
    </row>
    <row r="86">
      <c r="A86">
        <v>710830</v>
      </c>
      <c r="B86" t="str">
        <v>11549168-CA-IN</v>
      </c>
      <c r="C86">
        <v>1028</v>
      </c>
      <c r="E86">
        <v>1206</v>
      </c>
      <c r="F86">
        <v>45000</v>
      </c>
      <c r="G86">
        <v>192845</v>
      </c>
      <c r="H86" s="1">
        <v>46238</v>
      </c>
      <c r="I86" t="str">
        <v>TRAVELERRECEIVED</v>
      </c>
      <c r="K86" t="str">
        <v>Shipped</v>
      </c>
      <c r="L86">
        <v>29979</v>
      </c>
    </row>
    <row r="87">
      <c r="A87">
        <v>711863</v>
      </c>
      <c r="B87" t="str">
        <v>11549168-CA-IN</v>
      </c>
      <c r="C87">
        <v>966</v>
      </c>
      <c r="E87">
        <v>1179</v>
      </c>
      <c r="F87">
        <v>44000</v>
      </c>
      <c r="G87">
        <v>192845</v>
      </c>
      <c r="H87" s="1">
        <v>46238</v>
      </c>
      <c r="I87" t="str">
        <v>TRAVELERRECEIVED</v>
      </c>
      <c r="K87">
        <f>IF(ISERROR(MATCH(WORKORDER[[#This Row],[TRAVELER]],Table1[TRAVELER],0)),K87,"Shipped")</f>
        <v>0</v>
      </c>
      <c r="L87">
        <f>+IF(ISERROR(MATCH(WORKORDER[[#This Row],[TRAVELER]],Table1[TRAVELER],0)),L87,'PACKING SLIP'!$F$5)</f>
        <v>0</v>
      </c>
    </row>
    <row r="88">
      <c r="A88">
        <v>712287</v>
      </c>
      <c r="B88" t="str">
        <v>11549168-CA-IN</v>
      </c>
      <c r="C88">
        <v>863</v>
      </c>
      <c r="E88">
        <v>1206</v>
      </c>
      <c r="F88">
        <v>45000</v>
      </c>
      <c r="G88">
        <v>192845</v>
      </c>
      <c r="H88" s="1">
        <v>46238</v>
      </c>
      <c r="I88" t="str">
        <v>TRAVELERRECEIVED</v>
      </c>
      <c r="K88" t="str">
        <v>Shipped</v>
      </c>
      <c r="L88">
        <v>29987</v>
      </c>
    </row>
    <row r="89">
      <c r="A89">
        <v>712288</v>
      </c>
      <c r="B89" t="str">
        <v>11549168-CA-IN</v>
      </c>
      <c r="C89">
        <v>1010</v>
      </c>
      <c r="E89">
        <v>1179</v>
      </c>
      <c r="F89">
        <v>44000</v>
      </c>
      <c r="G89">
        <v>192845</v>
      </c>
      <c r="H89" s="1">
        <v>46238</v>
      </c>
      <c r="I89" t="str">
        <v>TRAVELERRECEIVED</v>
      </c>
      <c r="K89" t="str">
        <v>Shipped</v>
      </c>
      <c r="L89">
        <v>29987</v>
      </c>
    </row>
    <row r="90">
      <c r="A90">
        <v>714654</v>
      </c>
      <c r="B90">
        <v>11549204</v>
      </c>
      <c r="C90">
        <v>105</v>
      </c>
      <c r="E90">
        <v>1196</v>
      </c>
      <c r="F90">
        <v>7863</v>
      </c>
      <c r="G90">
        <v>192845</v>
      </c>
      <c r="H90" s="1">
        <v>46238</v>
      </c>
      <c r="I90" t="str">
        <v>TRAVELERRECEIVED</v>
      </c>
      <c r="K90" t="str">
        <v>Shipped</v>
      </c>
      <c r="L90">
        <v>29954</v>
      </c>
    </row>
    <row r="91">
      <c r="A91">
        <v>714655</v>
      </c>
      <c r="B91">
        <v>11549204</v>
      </c>
      <c r="C91">
        <v>419</v>
      </c>
      <c r="E91">
        <v>1099</v>
      </c>
      <c r="F91">
        <v>7226</v>
      </c>
      <c r="G91">
        <v>192845</v>
      </c>
      <c r="H91" s="1">
        <v>46238</v>
      </c>
      <c r="I91" t="str">
        <v>TRAVELERRECEIVED</v>
      </c>
      <c r="K91" t="str">
        <v>Shipped</v>
      </c>
      <c r="L91">
        <v>29954</v>
      </c>
    </row>
    <row r="92">
      <c r="A92">
        <v>714658</v>
      </c>
      <c r="B92">
        <v>11549204</v>
      </c>
      <c r="C92">
        <v>1355</v>
      </c>
      <c r="E92">
        <v>1191</v>
      </c>
      <c r="F92">
        <v>7830</v>
      </c>
      <c r="G92">
        <v>192845</v>
      </c>
      <c r="H92" s="1">
        <v>46238</v>
      </c>
      <c r="I92" t="str">
        <v>TRAVELERRECEIVED</v>
      </c>
      <c r="K92" t="str">
        <v>Shipped</v>
      </c>
      <c r="L92">
        <v>29948</v>
      </c>
    </row>
    <row r="93">
      <c r="A93">
        <v>714659</v>
      </c>
      <c r="B93">
        <v>11549204</v>
      </c>
      <c r="C93">
        <v>231</v>
      </c>
      <c r="E93">
        <v>1104</v>
      </c>
      <c r="F93">
        <v>7258</v>
      </c>
      <c r="G93">
        <v>192845</v>
      </c>
      <c r="H93" s="1">
        <v>46238</v>
      </c>
      <c r="I93" t="str">
        <v>TRAVELERRECEIVED</v>
      </c>
      <c r="K93" t="str">
        <v>Shipped</v>
      </c>
      <c r="L93">
        <v>29946</v>
      </c>
    </row>
    <row r="94">
      <c r="A94">
        <v>714660</v>
      </c>
      <c r="B94">
        <v>11549204</v>
      </c>
      <c r="C94">
        <v>532</v>
      </c>
      <c r="E94">
        <v>1070</v>
      </c>
      <c r="F94">
        <v>7035</v>
      </c>
      <c r="G94">
        <v>192845</v>
      </c>
      <c r="H94" s="1">
        <v>46238</v>
      </c>
      <c r="I94" t="str">
        <v>TRAVELERRECEIVED</v>
      </c>
      <c r="K94" t="str">
        <v>Shipped</v>
      </c>
      <c r="L94">
        <v>29954</v>
      </c>
    </row>
    <row r="95">
      <c r="A95">
        <v>714661</v>
      </c>
      <c r="B95">
        <v>11549204</v>
      </c>
      <c r="C95">
        <v>657</v>
      </c>
      <c r="E95">
        <v>1220</v>
      </c>
      <c r="F95">
        <v>8021</v>
      </c>
      <c r="G95">
        <v>192845</v>
      </c>
      <c r="H95" s="1">
        <v>46238</v>
      </c>
      <c r="I95" t="str">
        <v>TRAVELERRECEIVED</v>
      </c>
      <c r="K95" t="str">
        <v>Shipped</v>
      </c>
      <c r="L95">
        <v>29941</v>
      </c>
    </row>
    <row r="96">
      <c r="A96">
        <v>714662</v>
      </c>
      <c r="B96">
        <v>11549204</v>
      </c>
      <c r="C96">
        <v>945</v>
      </c>
      <c r="E96">
        <v>1104</v>
      </c>
      <c r="F96">
        <v>7258</v>
      </c>
      <c r="G96">
        <v>192845</v>
      </c>
      <c r="H96" s="1">
        <v>46238</v>
      </c>
      <c r="I96" t="str">
        <v>TRAVELERRECEIVED</v>
      </c>
      <c r="K96" t="str">
        <v>Shipped</v>
      </c>
      <c r="L96">
        <v>29954</v>
      </c>
    </row>
    <row r="97">
      <c r="A97">
        <v>714663</v>
      </c>
      <c r="B97">
        <v>11549204</v>
      </c>
      <c r="C97">
        <v>34</v>
      </c>
      <c r="E97">
        <v>1207</v>
      </c>
      <c r="F97">
        <v>7936</v>
      </c>
      <c r="G97">
        <v>192845</v>
      </c>
      <c r="H97" s="1">
        <v>46238</v>
      </c>
      <c r="I97" t="str">
        <v>TRAVELERRECEIVED</v>
      </c>
      <c r="K97" t="str">
        <v>Shipped</v>
      </c>
      <c r="L97">
        <v>29946</v>
      </c>
    </row>
    <row r="98">
      <c r="A98">
        <v>714664</v>
      </c>
      <c r="B98">
        <v>11549204</v>
      </c>
      <c r="C98">
        <v>543</v>
      </c>
      <c r="E98">
        <v>1175</v>
      </c>
      <c r="F98">
        <v>7725</v>
      </c>
      <c r="G98">
        <v>192845</v>
      </c>
      <c r="H98" s="1">
        <v>46238</v>
      </c>
      <c r="I98" t="str">
        <v>TRAVELERRECEIVED</v>
      </c>
      <c r="K98" t="str">
        <v>Shipped</v>
      </c>
      <c r="L98">
        <v>29941</v>
      </c>
    </row>
    <row r="99">
      <c r="A99">
        <v>714665</v>
      </c>
      <c r="B99">
        <v>11549204</v>
      </c>
      <c r="C99">
        <v>895</v>
      </c>
      <c r="E99">
        <v>1104</v>
      </c>
      <c r="F99">
        <v>7258</v>
      </c>
      <c r="G99">
        <v>192845</v>
      </c>
      <c r="H99" s="1">
        <v>46238</v>
      </c>
      <c r="I99" t="str">
        <v>TRAVELERRECEIVED</v>
      </c>
      <c r="K99" t="str">
        <v>Shipped</v>
      </c>
      <c r="L99">
        <v>29954</v>
      </c>
    </row>
    <row r="100">
      <c r="A100">
        <v>715746</v>
      </c>
      <c r="B100" t="str">
        <v>W20-1028-020SL</v>
      </c>
      <c r="C100">
        <v>365</v>
      </c>
      <c r="E100">
        <v>1110</v>
      </c>
      <c r="F100">
        <v>8126</v>
      </c>
      <c r="G100">
        <v>192845</v>
      </c>
      <c r="H100" s="1">
        <v>46238</v>
      </c>
      <c r="I100" t="str">
        <v>TRAVELERRECEIVED</v>
      </c>
      <c r="K100" t="str">
        <v>Shipped</v>
      </c>
      <c r="L100">
        <v>29949</v>
      </c>
    </row>
    <row r="101">
      <c r="A101">
        <v>715747</v>
      </c>
      <c r="B101" t="str">
        <v>W20-1028-020SL</v>
      </c>
      <c r="C101">
        <v>1524</v>
      </c>
      <c r="E101">
        <v>948</v>
      </c>
      <c r="F101">
        <v>6940</v>
      </c>
      <c r="G101">
        <v>192845</v>
      </c>
      <c r="H101" s="1">
        <v>46238</v>
      </c>
      <c r="I101" t="str">
        <v>TRAVELERRECEIVED</v>
      </c>
      <c r="K101" t="str">
        <v>Shipped</v>
      </c>
      <c r="L101">
        <v>29949</v>
      </c>
    </row>
    <row r="102">
      <c r="A102">
        <v>715748</v>
      </c>
      <c r="B102" t="str">
        <v>W20-1028-020SL</v>
      </c>
      <c r="C102">
        <v>485</v>
      </c>
      <c r="E102">
        <v>1034</v>
      </c>
      <c r="F102">
        <v>7570</v>
      </c>
      <c r="G102">
        <v>192845</v>
      </c>
      <c r="H102" s="1">
        <v>46238</v>
      </c>
      <c r="I102" t="str">
        <v>TRAVELERRECEIVED</v>
      </c>
      <c r="K102" t="str">
        <v>Shipped</v>
      </c>
      <c r="L102">
        <v>29949</v>
      </c>
    </row>
    <row r="103">
      <c r="A103">
        <v>715749</v>
      </c>
      <c r="B103" t="str">
        <v>W20-1028-020SL</v>
      </c>
      <c r="C103">
        <v>1806</v>
      </c>
      <c r="E103">
        <v>1068</v>
      </c>
      <c r="F103">
        <v>7818</v>
      </c>
      <c r="G103">
        <v>192845</v>
      </c>
      <c r="H103" s="1">
        <v>46238</v>
      </c>
      <c r="I103" t="str">
        <v>TRAVELERRECEIVED</v>
      </c>
      <c r="K103" t="str">
        <v>Shipped</v>
      </c>
      <c r="L103">
        <v>29949</v>
      </c>
    </row>
    <row r="104">
      <c r="A104">
        <v>715750</v>
      </c>
      <c r="B104" t="str">
        <v>W20-1028-020SL</v>
      </c>
      <c r="C104">
        <v>174</v>
      </c>
      <c r="E104">
        <v>999</v>
      </c>
      <c r="F104">
        <v>7313</v>
      </c>
      <c r="G104">
        <v>192845</v>
      </c>
      <c r="H104" s="1">
        <v>46238</v>
      </c>
      <c r="I104" t="str">
        <v>TRAVELERRECEIVED</v>
      </c>
      <c r="K104" t="str">
        <v>Shipped</v>
      </c>
      <c r="L104">
        <v>29949</v>
      </c>
    </row>
    <row r="105">
      <c r="A105">
        <v>715751</v>
      </c>
      <c r="B105" t="str">
        <v>W20-1028-020SL</v>
      </c>
      <c r="C105">
        <v>889</v>
      </c>
      <c r="E105">
        <v>1060</v>
      </c>
      <c r="F105">
        <v>7760</v>
      </c>
      <c r="G105">
        <v>192845</v>
      </c>
      <c r="H105" s="1">
        <v>46238</v>
      </c>
      <c r="I105" t="str">
        <v>TRAVELERRECEIVED</v>
      </c>
      <c r="K105" t="str">
        <v>Shipped</v>
      </c>
      <c r="L105">
        <v>29949</v>
      </c>
    </row>
    <row r="106">
      <c r="A106">
        <v>715830</v>
      </c>
      <c r="B106">
        <v>40161567</v>
      </c>
      <c r="C106">
        <v>590</v>
      </c>
      <c r="E106">
        <v>724</v>
      </c>
      <c r="F106">
        <v>4497</v>
      </c>
      <c r="G106">
        <v>192845</v>
      </c>
      <c r="H106" s="1">
        <v>46238</v>
      </c>
      <c r="I106" t="str">
        <v>TRAVELERRECEIVED</v>
      </c>
      <c r="K106" t="str">
        <v>Shipped</v>
      </c>
      <c r="L106">
        <v>29946</v>
      </c>
    </row>
    <row r="107">
      <c r="A107">
        <v>715831</v>
      </c>
      <c r="B107">
        <v>40161567</v>
      </c>
      <c r="C107">
        <v>1649</v>
      </c>
      <c r="E107">
        <v>863</v>
      </c>
      <c r="F107">
        <v>5360</v>
      </c>
      <c r="G107">
        <v>192845</v>
      </c>
      <c r="H107" s="1">
        <v>46238</v>
      </c>
      <c r="I107" t="str">
        <v>TRAVELERRECEIVED</v>
      </c>
      <c r="K107" t="str">
        <v>Shipped</v>
      </c>
      <c r="L107">
        <v>29948</v>
      </c>
    </row>
    <row r="108">
      <c r="A108">
        <v>712798</v>
      </c>
      <c r="B108" t="str">
        <v>BL3W-4320-BA</v>
      </c>
      <c r="C108">
        <v>1069</v>
      </c>
      <c r="E108">
        <v>1029</v>
      </c>
      <c r="F108">
        <v>6990</v>
      </c>
      <c r="G108">
        <v>192852</v>
      </c>
      <c r="H108" s="1">
        <v>46238</v>
      </c>
      <c r="I108" t="str">
        <v>6-216-19-A</v>
      </c>
      <c r="K108" t="str">
        <v>Shipped</v>
      </c>
      <c r="L108">
        <v>29941</v>
      </c>
    </row>
    <row r="109">
      <c r="A109">
        <v>712799</v>
      </c>
      <c r="B109" t="str">
        <v>BL3W-4320-BA</v>
      </c>
      <c r="C109">
        <v>1004</v>
      </c>
      <c r="E109">
        <v>1064</v>
      </c>
      <c r="F109">
        <v>7228</v>
      </c>
      <c r="G109">
        <v>192852</v>
      </c>
      <c r="H109" s="1">
        <v>46238</v>
      </c>
      <c r="I109" t="str">
        <v>6-216-19-B</v>
      </c>
      <c r="K109" t="str">
        <v>Shipped</v>
      </c>
      <c r="L109">
        <v>29941</v>
      </c>
    </row>
    <row r="110">
      <c r="A110">
        <v>712800</v>
      </c>
      <c r="B110" t="str">
        <v>BL3W-4320-BA</v>
      </c>
      <c r="C110">
        <v>829</v>
      </c>
      <c r="E110">
        <v>1024</v>
      </c>
      <c r="F110">
        <v>6957</v>
      </c>
      <c r="G110">
        <v>192852</v>
      </c>
      <c r="H110" s="1">
        <v>46238</v>
      </c>
      <c r="I110" t="str">
        <v>6-216-19-C</v>
      </c>
      <c r="K110" t="str">
        <v>Shipped</v>
      </c>
      <c r="L110">
        <v>29941</v>
      </c>
    </row>
    <row r="111">
      <c r="A111">
        <v>712880</v>
      </c>
      <c r="B111" t="str">
        <v>11612078-B</v>
      </c>
      <c r="C111">
        <v>751</v>
      </c>
      <c r="E111">
        <v>1267</v>
      </c>
      <c r="F111">
        <v>72000</v>
      </c>
      <c r="G111">
        <v>192852</v>
      </c>
      <c r="H111" s="1">
        <v>46238</v>
      </c>
      <c r="I111" t="str">
        <v>SORT&amp;RETURN</v>
      </c>
      <c r="K111" t="str">
        <f>IF(ISERROR(MATCH(WORKORDER[[#This Row],[TRAVELER]],Table1[TRAVELER],0)),K111,"Shipped")</f>
        <v>Shipped</v>
      </c>
      <c r="L111">
        <f>+IF(ISERROR(MATCH(WORKORDER[[#This Row],[TRAVELER]],Table1[TRAVELER],0)),L111,'PACKING SLIP'!$F$5)</f>
        <v>30101</v>
      </c>
    </row>
    <row r="112">
      <c r="A112">
        <v>714061</v>
      </c>
      <c r="B112" t="str">
        <v>11612078-B</v>
      </c>
      <c r="C112">
        <v>28</v>
      </c>
      <c r="E112">
        <v>1338</v>
      </c>
      <c r="F112">
        <v>76000</v>
      </c>
      <c r="G112">
        <v>192852</v>
      </c>
      <c r="H112" s="1">
        <v>46238</v>
      </c>
      <c r="I112" t="str">
        <v>SORT&amp;RETURN</v>
      </c>
      <c r="K112">
        <f>IF(ISERROR(MATCH(WORKORDER[[#This Row],[TRAVELER]],Table1[TRAVELER],0)),K112,"Shipped")</f>
        <v>0</v>
      </c>
      <c r="L112">
        <f>+IF(ISERROR(MATCH(WORKORDER[[#This Row],[TRAVELER]],Table1[TRAVELER],0)),L112,'PACKING SLIP'!$F$5)</f>
        <v>0</v>
      </c>
    </row>
    <row r="113">
      <c r="A113">
        <v>714244</v>
      </c>
      <c r="B113" t="str">
        <v>NU3019-00</v>
      </c>
      <c r="C113">
        <v>1512</v>
      </c>
      <c r="E113">
        <v>1219</v>
      </c>
      <c r="F113">
        <v>5838</v>
      </c>
      <c r="G113">
        <v>192852</v>
      </c>
      <c r="H113" s="1">
        <v>46238</v>
      </c>
      <c r="I113" t="str">
        <v>6-216-20-A</v>
      </c>
      <c r="K113" t="str">
        <v>Shipped</v>
      </c>
      <c r="L113">
        <v>29949</v>
      </c>
    </row>
    <row r="114">
      <c r="A114">
        <v>714245</v>
      </c>
      <c r="B114" t="str">
        <v>NU3019-00</v>
      </c>
      <c r="C114">
        <v>200</v>
      </c>
      <c r="E114">
        <v>819</v>
      </c>
      <c r="F114">
        <v>3922</v>
      </c>
      <c r="G114">
        <v>192852</v>
      </c>
      <c r="H114" s="1">
        <v>46238</v>
      </c>
      <c r="I114" t="str">
        <v>6-216-20-B</v>
      </c>
      <c r="K114" t="str">
        <v>Shipped</v>
      </c>
      <c r="L114">
        <v>29949</v>
      </c>
    </row>
    <row r="115">
      <c r="A115">
        <v>714246</v>
      </c>
      <c r="B115" t="str">
        <v>NU3019-00</v>
      </c>
      <c r="C115">
        <v>1025</v>
      </c>
      <c r="E115">
        <v>1162</v>
      </c>
      <c r="F115">
        <v>5565</v>
      </c>
      <c r="G115">
        <v>192852</v>
      </c>
      <c r="H115" s="1">
        <v>46238</v>
      </c>
      <c r="I115" t="str">
        <v>6-216-20-C</v>
      </c>
      <c r="K115" t="str">
        <v>Shipped</v>
      </c>
      <c r="L115">
        <v>29949</v>
      </c>
    </row>
    <row r="116">
      <c r="A116">
        <v>714247</v>
      </c>
      <c r="B116" t="str">
        <v>NU3019-00</v>
      </c>
      <c r="C116">
        <v>1029</v>
      </c>
      <c r="E116">
        <v>939</v>
      </c>
      <c r="F116">
        <v>4497</v>
      </c>
      <c r="G116">
        <v>192852</v>
      </c>
      <c r="H116" s="1">
        <v>46238</v>
      </c>
      <c r="I116" t="str">
        <v>6-216-20-D</v>
      </c>
      <c r="K116" t="str">
        <v>Shipped</v>
      </c>
      <c r="L116">
        <v>29949</v>
      </c>
    </row>
    <row r="117">
      <c r="A117">
        <v>714248</v>
      </c>
      <c r="B117" t="str">
        <v>NU3019-00</v>
      </c>
      <c r="C117">
        <v>1379</v>
      </c>
      <c r="E117">
        <v>1091</v>
      </c>
      <c r="F117">
        <v>5225</v>
      </c>
      <c r="G117">
        <v>192852</v>
      </c>
      <c r="H117" s="1">
        <v>46238</v>
      </c>
      <c r="I117" t="str">
        <v>6-216-20-E</v>
      </c>
      <c r="K117" t="str">
        <v>Shipped</v>
      </c>
      <c r="L117">
        <v>29949</v>
      </c>
    </row>
    <row r="118">
      <c r="A118">
        <v>714249</v>
      </c>
      <c r="B118" t="str">
        <v>NU3019-00</v>
      </c>
      <c r="C118">
        <v>1541</v>
      </c>
      <c r="E118">
        <v>1036</v>
      </c>
      <c r="F118">
        <v>4962</v>
      </c>
      <c r="G118">
        <v>192852</v>
      </c>
      <c r="H118" s="1">
        <v>46238</v>
      </c>
      <c r="I118" t="str">
        <v>6-216-20-F</v>
      </c>
      <c r="K118" t="str">
        <v>Shipped</v>
      </c>
      <c r="L118">
        <v>29949</v>
      </c>
    </row>
    <row r="119">
      <c r="A119">
        <v>715834</v>
      </c>
      <c r="B119" t="str">
        <v>NU5210-03</v>
      </c>
      <c r="C119">
        <v>526</v>
      </c>
      <c r="E119">
        <v>1096</v>
      </c>
      <c r="F119">
        <v>40000</v>
      </c>
      <c r="G119">
        <v>192852</v>
      </c>
      <c r="H119" s="1">
        <v>46238</v>
      </c>
      <c r="I119" t="str">
        <v>6-216-32-A</v>
      </c>
      <c r="K119" t="str">
        <v>Shipped</v>
      </c>
      <c r="L119">
        <v>29949</v>
      </c>
    </row>
    <row r="120">
      <c r="A120">
        <v>716082</v>
      </c>
      <c r="B120" t="str">
        <v>W520203-S440</v>
      </c>
      <c r="C120" t="str">
        <v>KIB</v>
      </c>
      <c r="E120">
        <v>1794</v>
      </c>
      <c r="F120">
        <v>60000</v>
      </c>
      <c r="G120">
        <v>192852</v>
      </c>
      <c r="H120" s="1">
        <v>46238</v>
      </c>
      <c r="I120" t="str">
        <v>6-216-30-A</v>
      </c>
      <c r="K120" t="str">
        <v>Shipped</v>
      </c>
      <c r="L120">
        <v>29954</v>
      </c>
    </row>
    <row r="121">
      <c r="A121">
        <v>716083</v>
      </c>
      <c r="B121" t="str">
        <v>W520203-S440</v>
      </c>
      <c r="C121" t="str">
        <v>KIB</v>
      </c>
      <c r="E121">
        <v>1794</v>
      </c>
      <c r="F121">
        <v>60000</v>
      </c>
      <c r="G121">
        <v>192852</v>
      </c>
      <c r="H121" s="1">
        <v>46238</v>
      </c>
      <c r="I121" t="str">
        <v>SPLIT FROM TR#716082</v>
      </c>
      <c r="K121" t="str">
        <v>Shipped</v>
      </c>
      <c r="L121">
        <v>29954</v>
      </c>
    </row>
    <row r="122">
      <c r="A122">
        <v>716258</v>
      </c>
      <c r="B122" t="str">
        <v>NU3034-02</v>
      </c>
      <c r="C122" t="str">
        <v>KIB</v>
      </c>
      <c r="E122">
        <v>1000</v>
      </c>
      <c r="F122">
        <v>40000</v>
      </c>
      <c r="G122">
        <v>192852</v>
      </c>
      <c r="H122" s="1">
        <v>46238</v>
      </c>
      <c r="I122" t="str">
        <v>6-216-31-A</v>
      </c>
      <c r="K122" t="str">
        <v>Shipped</v>
      </c>
      <c r="L122">
        <v>29949</v>
      </c>
    </row>
    <row r="123">
      <c r="A123">
        <v>703943</v>
      </c>
      <c r="B123" t="str">
        <v>11610091-CA-IN</v>
      </c>
      <c r="C123">
        <v>1503</v>
      </c>
      <c r="E123">
        <v>1190</v>
      </c>
      <c r="F123">
        <v>77273</v>
      </c>
      <c r="G123">
        <v>192887</v>
      </c>
      <c r="H123" s="1">
        <v>46239</v>
      </c>
      <c r="I123" t="str">
        <v>6-216-36-A</v>
      </c>
      <c r="K123" t="str">
        <v>Shipped</v>
      </c>
      <c r="L123">
        <v>29954</v>
      </c>
    </row>
    <row r="124">
      <c r="A124">
        <v>707097</v>
      </c>
      <c r="B124" t="str">
        <v>11561645-MY-AK</v>
      </c>
      <c r="C124">
        <v>727</v>
      </c>
      <c r="E124">
        <v>121</v>
      </c>
      <c r="F124">
        <v>15690</v>
      </c>
      <c r="G124">
        <v>192887</v>
      </c>
      <c r="H124" s="1">
        <v>46239</v>
      </c>
      <c r="I124" t="str">
        <v>6-217-07-A</v>
      </c>
      <c r="K124" t="str">
        <v>Shipped</v>
      </c>
      <c r="L124">
        <v>29946</v>
      </c>
    </row>
    <row r="125">
      <c r="A125">
        <v>711771</v>
      </c>
      <c r="B125" t="str">
        <v>06511672AA</v>
      </c>
      <c r="C125">
        <v>239</v>
      </c>
      <c r="E125">
        <v>1193</v>
      </c>
      <c r="F125">
        <v>51422</v>
      </c>
      <c r="G125">
        <v>192887</v>
      </c>
      <c r="H125" s="1">
        <v>46239</v>
      </c>
      <c r="I125" t="str">
        <v>6-216-37-A</v>
      </c>
      <c r="K125" t="str">
        <v>Shipped</v>
      </c>
      <c r="L125">
        <v>29948</v>
      </c>
    </row>
    <row r="126">
      <c r="A126">
        <v>713982</v>
      </c>
      <c r="B126" t="str">
        <v>06101447-A</v>
      </c>
      <c r="C126">
        <v>246</v>
      </c>
      <c r="E126">
        <v>933</v>
      </c>
      <c r="F126">
        <v>104831</v>
      </c>
      <c r="G126">
        <v>192887</v>
      </c>
      <c r="H126" s="1">
        <v>46239</v>
      </c>
      <c r="I126" t="str">
        <v>6-216-41-A</v>
      </c>
      <c r="K126" t="str">
        <v>Shipped</v>
      </c>
      <c r="L126">
        <v>29948</v>
      </c>
    </row>
    <row r="127">
      <c r="A127">
        <v>713983</v>
      </c>
      <c r="B127" t="str">
        <v>06101447-A</v>
      </c>
      <c r="C127">
        <v>961</v>
      </c>
      <c r="E127">
        <v>943</v>
      </c>
      <c r="F127">
        <v>105955</v>
      </c>
      <c r="G127">
        <v>192887</v>
      </c>
      <c r="H127" s="1">
        <v>46239</v>
      </c>
      <c r="I127" t="str">
        <v>6-216-41-B</v>
      </c>
      <c r="K127" t="str">
        <v>Shipped</v>
      </c>
      <c r="L127">
        <v>29948</v>
      </c>
    </row>
    <row r="128">
      <c r="A128">
        <v>713984</v>
      </c>
      <c r="B128" t="str">
        <v>06512834AA</v>
      </c>
      <c r="C128">
        <v>255</v>
      </c>
      <c r="E128">
        <v>786</v>
      </c>
      <c r="F128">
        <v>7767</v>
      </c>
      <c r="G128">
        <v>192887</v>
      </c>
      <c r="H128" s="1">
        <v>46239</v>
      </c>
      <c r="I128" t="str">
        <v>6-218-04-A</v>
      </c>
      <c r="K128" t="str">
        <v>Shipped</v>
      </c>
      <c r="L128">
        <v>29948</v>
      </c>
    </row>
    <row r="129">
      <c r="A129">
        <v>713985</v>
      </c>
      <c r="B129" t="str">
        <v>06512834AA</v>
      </c>
      <c r="C129">
        <v>1433</v>
      </c>
      <c r="E129">
        <v>931</v>
      </c>
      <c r="F129">
        <v>9200</v>
      </c>
      <c r="G129">
        <v>192887</v>
      </c>
      <c r="H129" s="1">
        <v>46239</v>
      </c>
      <c r="I129" t="str">
        <v>6-218-04-B</v>
      </c>
      <c r="K129" t="str">
        <v>Shipped</v>
      </c>
      <c r="L129">
        <v>29948</v>
      </c>
    </row>
    <row r="130">
      <c r="A130">
        <v>714003</v>
      </c>
      <c r="B130" t="str">
        <v>55364498AA</v>
      </c>
      <c r="C130">
        <v>651</v>
      </c>
      <c r="E130">
        <v>1408</v>
      </c>
      <c r="F130">
        <v>24702</v>
      </c>
      <c r="G130">
        <v>192887</v>
      </c>
      <c r="H130" s="1">
        <v>46239</v>
      </c>
      <c r="I130" t="str">
        <v>6-216-40-A</v>
      </c>
      <c r="K130" t="str">
        <v>Shipped</v>
      </c>
      <c r="L130">
        <v>29948</v>
      </c>
    </row>
    <row r="131">
      <c r="A131">
        <v>714014</v>
      </c>
      <c r="B131" t="str">
        <v>06514720AA</v>
      </c>
      <c r="C131">
        <v>1594</v>
      </c>
      <c r="E131">
        <v>863</v>
      </c>
      <c r="F131">
        <v>39050</v>
      </c>
      <c r="G131">
        <v>192887</v>
      </c>
      <c r="H131" s="1">
        <v>46239</v>
      </c>
      <c r="I131" t="str">
        <v>6-217-19-C</v>
      </c>
      <c r="K131" t="str">
        <v>Shipped</v>
      </c>
      <c r="L131">
        <v>29946</v>
      </c>
    </row>
    <row r="132">
      <c r="A132">
        <v>714015</v>
      </c>
      <c r="B132" t="str">
        <v>06514720AA</v>
      </c>
      <c r="C132">
        <v>1562</v>
      </c>
      <c r="E132">
        <v>916</v>
      </c>
      <c r="F132">
        <v>41448</v>
      </c>
      <c r="G132">
        <v>192887</v>
      </c>
      <c r="H132" s="1">
        <v>46239</v>
      </c>
      <c r="I132" t="str">
        <v>6-217-19-D</v>
      </c>
      <c r="K132" t="str">
        <v>Shipped</v>
      </c>
      <c r="L132">
        <v>29948</v>
      </c>
    </row>
    <row r="133">
      <c r="A133">
        <v>714057</v>
      </c>
      <c r="B133" t="str">
        <v>11612078-B</v>
      </c>
      <c r="C133">
        <v>1448</v>
      </c>
      <c r="E133">
        <v>1232</v>
      </c>
      <c r="F133">
        <v>70000</v>
      </c>
      <c r="G133">
        <v>192887</v>
      </c>
      <c r="H133" s="1">
        <v>46239</v>
      </c>
      <c r="I133" t="str">
        <v>SORT&amp;RETURN</v>
      </c>
      <c r="K133" t="str">
        <v>Shipped</v>
      </c>
      <c r="L133">
        <f>+IF(ISERROR(MATCH(WORKORDER[[#This Row],[TRAVELER]],Table1[TRAVELER],0)),L133,'PACKING SLIP'!$F$5)</f>
        <v>0</v>
      </c>
    </row>
    <row r="134">
      <c r="A134">
        <v>714424</v>
      </c>
      <c r="B134" t="str">
        <v>W716298-S450</v>
      </c>
      <c r="C134">
        <v>1784</v>
      </c>
      <c r="E134">
        <v>1017</v>
      </c>
      <c r="F134">
        <v>133816</v>
      </c>
      <c r="G134">
        <v>192887</v>
      </c>
      <c r="H134" s="1">
        <v>46239</v>
      </c>
      <c r="I134" t="str">
        <v>6-216-38-A</v>
      </c>
      <c r="K134" t="str">
        <v>Shipped</v>
      </c>
      <c r="L134">
        <v>29948</v>
      </c>
    </row>
    <row r="135">
      <c r="A135">
        <v>714426</v>
      </c>
      <c r="B135" t="str">
        <v>06511637AA</v>
      </c>
      <c r="C135">
        <v>1708</v>
      </c>
      <c r="E135">
        <v>986</v>
      </c>
      <c r="F135">
        <v>39758</v>
      </c>
      <c r="G135">
        <v>192887</v>
      </c>
      <c r="H135" s="1">
        <v>46239</v>
      </c>
      <c r="I135" t="str">
        <v>6-216-35-A</v>
      </c>
      <c r="K135" t="str">
        <v>Shipped</v>
      </c>
      <c r="L135">
        <v>29954</v>
      </c>
    </row>
    <row r="136">
      <c r="A136">
        <v>714427</v>
      </c>
      <c r="B136" t="str">
        <v>06511637AA</v>
      </c>
      <c r="C136">
        <v>587</v>
      </c>
      <c r="E136">
        <v>1062</v>
      </c>
      <c r="F136">
        <v>42823</v>
      </c>
      <c r="G136">
        <v>192887</v>
      </c>
      <c r="H136" s="1">
        <v>46239</v>
      </c>
      <c r="I136" t="str">
        <v>6-216-35-B</v>
      </c>
      <c r="K136" t="str">
        <v>Shipped</v>
      </c>
      <c r="L136">
        <v>29964</v>
      </c>
    </row>
    <row r="137">
      <c r="A137">
        <v>714429</v>
      </c>
      <c r="B137">
        <v>11561645</v>
      </c>
      <c r="C137">
        <v>335</v>
      </c>
      <c r="E137">
        <v>894</v>
      </c>
      <c r="F137">
        <v>116104</v>
      </c>
      <c r="G137">
        <v>192887</v>
      </c>
      <c r="H137" s="1">
        <v>46239</v>
      </c>
      <c r="I137" t="str">
        <v>6-217-23-B</v>
      </c>
      <c r="K137" t="str">
        <v>Shipped</v>
      </c>
      <c r="L137">
        <v>29948</v>
      </c>
    </row>
    <row r="138">
      <c r="A138">
        <v>714430</v>
      </c>
      <c r="B138">
        <v>92468</v>
      </c>
      <c r="C138">
        <v>238</v>
      </c>
      <c r="E138">
        <v>801</v>
      </c>
      <c r="F138">
        <v>24571</v>
      </c>
      <c r="G138">
        <v>192887</v>
      </c>
      <c r="H138" s="1">
        <v>46239</v>
      </c>
      <c r="I138" t="str">
        <v>6-218-06-A</v>
      </c>
      <c r="K138" t="str">
        <v>Shipped</v>
      </c>
      <c r="L138">
        <v>29946</v>
      </c>
    </row>
    <row r="139">
      <c r="A139">
        <v>714431</v>
      </c>
      <c r="B139">
        <v>92468</v>
      </c>
      <c r="C139">
        <v>314</v>
      </c>
      <c r="E139">
        <v>839</v>
      </c>
      <c r="F139">
        <v>25736</v>
      </c>
      <c r="G139">
        <v>192887</v>
      </c>
      <c r="H139" s="1">
        <v>46239</v>
      </c>
      <c r="I139" t="str">
        <v>6-218-06-B</v>
      </c>
      <c r="K139" t="str">
        <v>Shipped</v>
      </c>
      <c r="L139">
        <v>29948</v>
      </c>
    </row>
    <row r="140">
      <c r="A140">
        <v>714434</v>
      </c>
      <c r="B140">
        <v>11546566</v>
      </c>
      <c r="C140">
        <v>65</v>
      </c>
      <c r="E140">
        <v>995</v>
      </c>
      <c r="F140">
        <v>55278</v>
      </c>
      <c r="G140">
        <v>192887</v>
      </c>
      <c r="H140" s="1">
        <v>46239</v>
      </c>
      <c r="I140" t="str">
        <v>6-216-34-A</v>
      </c>
      <c r="K140" t="str">
        <v>Shipped</v>
      </c>
      <c r="L140">
        <v>29970</v>
      </c>
    </row>
    <row r="141">
      <c r="A141">
        <v>714435</v>
      </c>
      <c r="B141">
        <v>11546566</v>
      </c>
      <c r="C141">
        <v>1333</v>
      </c>
      <c r="E141">
        <v>762</v>
      </c>
      <c r="F141">
        <v>42333</v>
      </c>
      <c r="G141">
        <v>192887</v>
      </c>
      <c r="H141" s="1">
        <v>46239</v>
      </c>
      <c r="I141" t="str">
        <v>6-216-34-B</v>
      </c>
      <c r="K141" t="str">
        <v>Shipped</v>
      </c>
      <c r="L141">
        <v>29948</v>
      </c>
    </row>
    <row r="142">
      <c r="A142">
        <v>714437</v>
      </c>
      <c r="B142">
        <v>11546566</v>
      </c>
      <c r="C142">
        <v>832</v>
      </c>
      <c r="E142">
        <v>891</v>
      </c>
      <c r="F142">
        <v>49500</v>
      </c>
      <c r="G142">
        <v>192887</v>
      </c>
      <c r="H142" s="1">
        <v>46239</v>
      </c>
      <c r="I142" t="str">
        <v>6-216-34-C</v>
      </c>
      <c r="K142" t="str">
        <v>Shipped</v>
      </c>
      <c r="L142">
        <v>29946</v>
      </c>
    </row>
    <row r="143">
      <c r="A143">
        <v>714560</v>
      </c>
      <c r="B143" t="str">
        <v>06512834AA</v>
      </c>
      <c r="C143">
        <v>404</v>
      </c>
      <c r="E143">
        <v>706</v>
      </c>
      <c r="F143">
        <v>6976</v>
      </c>
      <c r="G143">
        <v>192887</v>
      </c>
      <c r="H143" s="1">
        <v>46239</v>
      </c>
      <c r="I143" t="str">
        <v>6-218-04-C</v>
      </c>
      <c r="K143" t="str">
        <v>Shipped</v>
      </c>
      <c r="L143">
        <v>29948</v>
      </c>
    </row>
    <row r="144">
      <c r="A144">
        <v>714561</v>
      </c>
      <c r="B144" t="str">
        <v>06512834AA</v>
      </c>
      <c r="C144">
        <v>1619</v>
      </c>
      <c r="E144">
        <v>994</v>
      </c>
      <c r="F144">
        <v>9822</v>
      </c>
      <c r="G144">
        <v>192887</v>
      </c>
      <c r="H144" s="1">
        <v>46239</v>
      </c>
      <c r="I144" t="str">
        <v>6-218-04-D</v>
      </c>
      <c r="K144" t="str">
        <v>Shipped</v>
      </c>
      <c r="L144">
        <v>29946</v>
      </c>
    </row>
    <row r="145">
      <c r="A145">
        <v>714582</v>
      </c>
      <c r="B145" t="str">
        <v>06514720AA</v>
      </c>
      <c r="C145">
        <v>81</v>
      </c>
      <c r="E145">
        <v>923</v>
      </c>
      <c r="F145">
        <v>41765</v>
      </c>
      <c r="G145">
        <v>192887</v>
      </c>
      <c r="H145" s="1">
        <v>46239</v>
      </c>
      <c r="I145" t="str">
        <v>6-217-20-A</v>
      </c>
      <c r="K145" t="str">
        <v>Shipped</v>
      </c>
      <c r="L145">
        <v>29956</v>
      </c>
    </row>
    <row r="146">
      <c r="A146">
        <v>714583</v>
      </c>
      <c r="B146" t="str">
        <v>06514720AA</v>
      </c>
      <c r="C146">
        <v>332</v>
      </c>
      <c r="E146">
        <v>820</v>
      </c>
      <c r="F146">
        <v>37104</v>
      </c>
      <c r="G146">
        <v>192887</v>
      </c>
      <c r="H146" s="1">
        <v>46239</v>
      </c>
      <c r="I146" t="str">
        <v>6-217-20-B</v>
      </c>
      <c r="K146" t="str">
        <v>Shipped</v>
      </c>
      <c r="L146">
        <v>29948</v>
      </c>
    </row>
    <row r="147">
      <c r="A147">
        <v>714584</v>
      </c>
      <c r="B147" t="str">
        <v>06514720AA</v>
      </c>
      <c r="C147">
        <v>1698</v>
      </c>
      <c r="E147">
        <v>966</v>
      </c>
      <c r="F147">
        <v>43710</v>
      </c>
      <c r="G147">
        <v>192887</v>
      </c>
      <c r="H147" s="1">
        <v>46239</v>
      </c>
      <c r="I147" t="str">
        <v>6-217-20-C</v>
      </c>
      <c r="K147" t="str">
        <v>Shipped</v>
      </c>
      <c r="L147">
        <v>29948</v>
      </c>
    </row>
    <row r="148">
      <c r="A148">
        <v>714585</v>
      </c>
      <c r="B148" t="str">
        <v>06514720AA</v>
      </c>
      <c r="C148">
        <v>1398</v>
      </c>
      <c r="E148">
        <v>788</v>
      </c>
      <c r="F148">
        <v>35656</v>
      </c>
      <c r="G148">
        <v>192887</v>
      </c>
      <c r="H148" s="1">
        <v>46239</v>
      </c>
      <c r="I148" t="str">
        <v>6-217-20-D</v>
      </c>
      <c r="K148" t="str">
        <v>Shipped</v>
      </c>
      <c r="L148">
        <v>29948</v>
      </c>
    </row>
    <row r="149">
      <c r="A149">
        <v>714586</v>
      </c>
      <c r="B149" t="str">
        <v>06514720AA</v>
      </c>
      <c r="C149">
        <v>1108</v>
      </c>
      <c r="E149">
        <v>893</v>
      </c>
      <c r="F149">
        <v>40407</v>
      </c>
      <c r="G149">
        <v>192887</v>
      </c>
      <c r="H149" s="1">
        <v>46239</v>
      </c>
      <c r="I149" t="str">
        <v>6-217-20-E</v>
      </c>
      <c r="K149" t="str">
        <v>Shipped</v>
      </c>
      <c r="L149">
        <v>29956</v>
      </c>
    </row>
    <row r="150">
      <c r="A150">
        <v>714587</v>
      </c>
      <c r="B150" t="str">
        <v>06514720AA</v>
      </c>
      <c r="C150">
        <v>1388</v>
      </c>
      <c r="E150">
        <v>870</v>
      </c>
      <c r="F150">
        <v>39367</v>
      </c>
      <c r="G150">
        <v>192887</v>
      </c>
      <c r="H150" s="1">
        <v>46239</v>
      </c>
      <c r="I150" t="str">
        <v>6-217-20-F</v>
      </c>
      <c r="K150" t="str">
        <v>Shipped</v>
      </c>
      <c r="L150">
        <v>29946</v>
      </c>
    </row>
    <row r="151">
      <c r="A151">
        <v>714588</v>
      </c>
      <c r="B151">
        <v>11561645</v>
      </c>
      <c r="C151">
        <v>1807</v>
      </c>
      <c r="E151">
        <v>1011</v>
      </c>
      <c r="F151">
        <v>131299</v>
      </c>
      <c r="G151">
        <v>192887</v>
      </c>
      <c r="H151" s="1">
        <v>46239</v>
      </c>
      <c r="I151" t="str">
        <v>6-216-33-A</v>
      </c>
      <c r="K151" t="str">
        <v>Shipped</v>
      </c>
      <c r="L151">
        <v>29954</v>
      </c>
    </row>
    <row r="152">
      <c r="A152">
        <v>714589</v>
      </c>
      <c r="B152">
        <v>11561645</v>
      </c>
      <c r="C152">
        <v>1787</v>
      </c>
      <c r="E152">
        <v>920</v>
      </c>
      <c r="F152">
        <v>119481</v>
      </c>
      <c r="G152">
        <v>192887</v>
      </c>
      <c r="H152" s="1">
        <v>46239</v>
      </c>
      <c r="I152" t="str">
        <v>6-216-33-B</v>
      </c>
      <c r="K152" t="str">
        <v>Shipped</v>
      </c>
      <c r="L152">
        <v>29964</v>
      </c>
    </row>
    <row r="153">
      <c r="A153">
        <v>715835</v>
      </c>
      <c r="B153" t="str">
        <v>NU5210-03</v>
      </c>
      <c r="C153">
        <v>523</v>
      </c>
      <c r="E153">
        <v>1123</v>
      </c>
      <c r="F153">
        <v>41000</v>
      </c>
      <c r="G153">
        <v>192887</v>
      </c>
      <c r="H153" s="1">
        <v>46239</v>
      </c>
      <c r="I153" t="str">
        <v>6-217-22-A</v>
      </c>
      <c r="K153" t="str">
        <v>Shipped</v>
      </c>
      <c r="L153">
        <v>29949</v>
      </c>
    </row>
    <row r="154">
      <c r="A154" t="str">
        <v>713989-</v>
      </c>
      <c r="B154" t="str">
        <v>06502979-A</v>
      </c>
      <c r="C154">
        <v>496</v>
      </c>
      <c r="E154">
        <v>882</v>
      </c>
      <c r="F154">
        <v>22273</v>
      </c>
      <c r="G154">
        <v>192887</v>
      </c>
      <c r="H154" s="1">
        <v>46239</v>
      </c>
      <c r="I154" t="str">
        <v>6-216-43-B</v>
      </c>
      <c r="K154">
        <f>IF(ISERROR(MATCH(WORKORDER[[#This Row],[TRAVELER]],Table1[TRAVELER],0)),K154,"Shipped")</f>
        <v>0</v>
      </c>
      <c r="L154">
        <f>+IF(ISERROR(MATCH(WORKORDER[[#This Row],[TRAVELER]],Table1[TRAVELER],0)),L154,'PACKING SLIP'!$F$5)</f>
        <v>0</v>
      </c>
    </row>
    <row r="155">
      <c r="A155" t="str">
        <v>716404-</v>
      </c>
      <c r="B155" t="str">
        <v>PZ18-7P483-AA</v>
      </c>
      <c r="C155">
        <v>1083</v>
      </c>
      <c r="E155">
        <v>1013</v>
      </c>
      <c r="F155">
        <v>7515</v>
      </c>
      <c r="G155">
        <v>192887</v>
      </c>
      <c r="H155" s="1">
        <v>46239</v>
      </c>
      <c r="I155" t="str">
        <v>6-217-21-A</v>
      </c>
      <c r="K155">
        <f>IF(ISERROR(MATCH(WORKORDER[[#This Row],[TRAVELER]],Table1[TRAVELER],0)),K155,"Shipped")</f>
        <v>0</v>
      </c>
      <c r="L155">
        <f>+IF(ISERROR(MATCH(WORKORDER[[#This Row],[TRAVELER]],Table1[TRAVELER],0)),L155,'PACKING SLIP'!$F$5)</f>
        <v>0</v>
      </c>
    </row>
    <row r="156">
      <c r="A156" t="str">
        <v>716412-</v>
      </c>
      <c r="B156" t="str">
        <v>PZ18-7P483-AA</v>
      </c>
      <c r="C156">
        <v>799</v>
      </c>
      <c r="E156">
        <v>130</v>
      </c>
      <c r="F156">
        <v>963</v>
      </c>
      <c r="G156">
        <v>192887</v>
      </c>
      <c r="H156" s="1">
        <v>46239</v>
      </c>
      <c r="I156" t="str">
        <v>6-217-21-B</v>
      </c>
      <c r="K156">
        <f>IF(ISERROR(MATCH(WORKORDER[[#This Row],[TRAVELER]],Table1[TRAVELER],0)),K156,"Shipped")</f>
        <v>0</v>
      </c>
      <c r="L156">
        <f>+IF(ISERROR(MATCH(WORKORDER[[#This Row],[TRAVELER]],Table1[TRAVELER],0)),L156,'PACKING SLIP'!$F$5)</f>
        <v>0</v>
      </c>
    </row>
    <row r="157">
      <c r="A157">
        <v>710966</v>
      </c>
      <c r="B157" t="str">
        <v>11546364-PH-RO</v>
      </c>
      <c r="C157">
        <v>1081</v>
      </c>
      <c r="E157">
        <v>1400</v>
      </c>
      <c r="F157">
        <v>168675</v>
      </c>
      <c r="G157">
        <v>192888</v>
      </c>
      <c r="H157" s="1">
        <v>46240</v>
      </c>
      <c r="I157" t="str">
        <v>TRAVELERRECEIVED</v>
      </c>
      <c r="K157" t="str">
        <v>Shipped</v>
      </c>
      <c r="L157">
        <v>29972</v>
      </c>
    </row>
    <row r="158">
      <c r="A158">
        <v>711242</v>
      </c>
      <c r="B158" t="str">
        <v>E6267AB</v>
      </c>
      <c r="C158">
        <v>456</v>
      </c>
      <c r="E158">
        <v>1143</v>
      </c>
      <c r="F158">
        <v>24268</v>
      </c>
      <c r="G158">
        <v>192888</v>
      </c>
      <c r="H158" s="1">
        <v>46240</v>
      </c>
      <c r="I158" t="str">
        <v>TRAVELERRECEIVED</v>
      </c>
      <c r="K158" t="str">
        <v>Shipped</v>
      </c>
      <c r="L158">
        <v>29972</v>
      </c>
    </row>
    <row r="159">
      <c r="A159">
        <v>711243</v>
      </c>
      <c r="B159" t="str">
        <v>E6267AB</v>
      </c>
      <c r="C159">
        <v>1003</v>
      </c>
      <c r="E159">
        <v>1143</v>
      </c>
      <c r="F159">
        <v>24268</v>
      </c>
      <c r="G159">
        <v>192888</v>
      </c>
      <c r="H159" s="1">
        <v>46240</v>
      </c>
      <c r="I159" t="str">
        <v>TRAVELERRECEIVED</v>
      </c>
      <c r="K159" t="str">
        <v>Shipped</v>
      </c>
      <c r="L159">
        <v>29972</v>
      </c>
    </row>
    <row r="160">
      <c r="A160">
        <v>711250</v>
      </c>
      <c r="B160" t="str">
        <v>E6267AB</v>
      </c>
      <c r="C160">
        <v>723</v>
      </c>
      <c r="E160">
        <v>1127</v>
      </c>
      <c r="F160">
        <v>23928</v>
      </c>
      <c r="G160">
        <v>192888</v>
      </c>
      <c r="H160" s="1">
        <v>46240</v>
      </c>
      <c r="I160" t="str">
        <v>TRAVELERRECEIVED</v>
      </c>
      <c r="J160" t="str">
        <v>0 QUANTITY-INFASCO KEEP THE TRAVELER</v>
      </c>
      <c r="K160" t="str">
        <v>Shipped</v>
      </c>
      <c r="L160">
        <v>29970</v>
      </c>
    </row>
    <row r="161">
      <c r="A161">
        <v>711251</v>
      </c>
      <c r="B161" t="str">
        <v>E6267AB</v>
      </c>
      <c r="C161">
        <v>89</v>
      </c>
      <c r="E161">
        <v>1182</v>
      </c>
      <c r="F161">
        <v>25096</v>
      </c>
      <c r="G161">
        <v>192888</v>
      </c>
      <c r="H161" s="1">
        <v>46240</v>
      </c>
      <c r="I161" t="str">
        <v>TRAVELERRECEIVED</v>
      </c>
      <c r="K161" t="str">
        <v>Shipped</v>
      </c>
      <c r="L161">
        <v>29972</v>
      </c>
    </row>
    <row r="162">
      <c r="A162">
        <v>713552</v>
      </c>
      <c r="B162" t="str">
        <v>E6267AB</v>
      </c>
      <c r="C162">
        <v>1556</v>
      </c>
      <c r="E162">
        <v>1056</v>
      </c>
      <c r="F162">
        <v>22420</v>
      </c>
      <c r="G162">
        <v>192888</v>
      </c>
      <c r="H162" s="1">
        <v>46240</v>
      </c>
      <c r="I162" t="str">
        <v>TRAVELERRECEIVED</v>
      </c>
      <c r="K162" t="str">
        <v>Shipped</v>
      </c>
      <c r="L162">
        <v>29972</v>
      </c>
    </row>
    <row r="163">
      <c r="A163">
        <v>713553</v>
      </c>
      <c r="B163" t="str">
        <v>E6267AB</v>
      </c>
      <c r="C163">
        <v>514</v>
      </c>
      <c r="E163">
        <v>1253</v>
      </c>
      <c r="F163">
        <v>26603</v>
      </c>
      <c r="G163">
        <v>192888</v>
      </c>
      <c r="H163" s="1">
        <v>46240</v>
      </c>
      <c r="K163" t="str">
        <v>Shipped</v>
      </c>
      <c r="L163">
        <v>29943</v>
      </c>
    </row>
    <row r="164">
      <c r="A164">
        <v>713717</v>
      </c>
      <c r="B164" t="str">
        <v>11546364-PH-RO</v>
      </c>
      <c r="C164">
        <v>801</v>
      </c>
      <c r="E164">
        <v>1249</v>
      </c>
      <c r="F164">
        <v>150482</v>
      </c>
      <c r="G164">
        <v>192888</v>
      </c>
      <c r="H164" s="1">
        <v>46240</v>
      </c>
      <c r="I164" t="str">
        <v>TRAVELERRECEIVED</v>
      </c>
      <c r="K164" t="str">
        <v>Shipped</v>
      </c>
      <c r="L164">
        <v>29991</v>
      </c>
    </row>
    <row r="165">
      <c r="A165">
        <v>714666</v>
      </c>
      <c r="B165">
        <v>11546545</v>
      </c>
      <c r="C165">
        <v>1303</v>
      </c>
      <c r="E165">
        <v>1151</v>
      </c>
      <c r="F165">
        <v>95917</v>
      </c>
      <c r="G165">
        <v>192888</v>
      </c>
      <c r="H165" s="1">
        <v>46240</v>
      </c>
      <c r="I165" t="str">
        <v>TRAVELERRECEIVED</v>
      </c>
      <c r="K165" t="str">
        <v>Shipped</v>
      </c>
      <c r="L165">
        <v>29964</v>
      </c>
    </row>
    <row r="166">
      <c r="A166">
        <v>714667</v>
      </c>
      <c r="B166">
        <v>11546545</v>
      </c>
      <c r="C166">
        <v>920</v>
      </c>
      <c r="E166">
        <v>1033</v>
      </c>
      <c r="F166">
        <v>86083</v>
      </c>
      <c r="G166">
        <v>192888</v>
      </c>
      <c r="H166" s="1">
        <v>46240</v>
      </c>
      <c r="I166" t="str">
        <v>TRAVELERRECEIVED</v>
      </c>
      <c r="K166" t="str">
        <v>Shipped</v>
      </c>
      <c r="L166">
        <v>29964</v>
      </c>
    </row>
    <row r="167">
      <c r="A167">
        <v>714668</v>
      </c>
      <c r="B167">
        <v>11546545</v>
      </c>
      <c r="C167">
        <v>1300</v>
      </c>
      <c r="E167">
        <v>1087</v>
      </c>
      <c r="F167">
        <v>90583</v>
      </c>
      <c r="G167">
        <v>192888</v>
      </c>
      <c r="H167" s="1">
        <v>46240</v>
      </c>
      <c r="I167" t="str">
        <v>TRAVELERRECEIVED</v>
      </c>
      <c r="K167" t="str">
        <v>Shipped</v>
      </c>
      <c r="L167">
        <v>29964</v>
      </c>
    </row>
    <row r="168">
      <c r="A168">
        <v>714669</v>
      </c>
      <c r="B168">
        <v>11546545</v>
      </c>
      <c r="C168">
        <v>1397</v>
      </c>
      <c r="E168">
        <v>1165</v>
      </c>
      <c r="F168">
        <v>97083</v>
      </c>
      <c r="G168">
        <v>192888</v>
      </c>
      <c r="H168" s="1">
        <v>46240</v>
      </c>
      <c r="I168" t="str">
        <v>TRAVELERRECEIVED</v>
      </c>
      <c r="K168" t="str">
        <v>Shipped</v>
      </c>
      <c r="L168">
        <v>29972</v>
      </c>
    </row>
    <row r="169">
      <c r="A169">
        <v>714670</v>
      </c>
      <c r="B169">
        <v>11546545</v>
      </c>
      <c r="C169">
        <v>1559</v>
      </c>
      <c r="E169">
        <v>1185</v>
      </c>
      <c r="F169">
        <v>98750</v>
      </c>
      <c r="G169">
        <v>192888</v>
      </c>
      <c r="H169" s="1">
        <v>46240</v>
      </c>
      <c r="I169" t="str">
        <v>TRAVELERRECEIVED</v>
      </c>
      <c r="K169" t="str">
        <v>Shipped</v>
      </c>
      <c r="L169">
        <v>29964</v>
      </c>
    </row>
    <row r="170">
      <c r="A170">
        <v>714671</v>
      </c>
      <c r="B170">
        <v>11546545</v>
      </c>
      <c r="C170">
        <v>848</v>
      </c>
      <c r="E170">
        <v>1023</v>
      </c>
      <c r="F170">
        <v>85250</v>
      </c>
      <c r="G170">
        <v>192888</v>
      </c>
      <c r="H170" s="1">
        <v>46240</v>
      </c>
      <c r="I170" t="str">
        <v>TRAVELERRECEIVED</v>
      </c>
      <c r="K170" t="str">
        <v>Shipped</v>
      </c>
      <c r="L170">
        <v>29956</v>
      </c>
    </row>
    <row r="171">
      <c r="A171">
        <v>714672</v>
      </c>
      <c r="B171">
        <v>11546545</v>
      </c>
      <c r="C171">
        <v>1773</v>
      </c>
      <c r="E171">
        <v>1086</v>
      </c>
      <c r="F171">
        <v>90500</v>
      </c>
      <c r="G171">
        <v>192888</v>
      </c>
      <c r="H171" s="1">
        <v>46240</v>
      </c>
      <c r="I171" t="str">
        <v>TRAVELERRECEIVED</v>
      </c>
      <c r="K171" t="str">
        <v>Shipped</v>
      </c>
      <c r="L171">
        <v>29972</v>
      </c>
    </row>
    <row r="172">
      <c r="A172">
        <v>714673</v>
      </c>
      <c r="B172">
        <v>11546545</v>
      </c>
      <c r="C172">
        <v>396</v>
      </c>
      <c r="E172">
        <v>1154</v>
      </c>
      <c r="F172">
        <v>96167</v>
      </c>
      <c r="G172">
        <v>192888</v>
      </c>
      <c r="H172" s="1">
        <v>46240</v>
      </c>
      <c r="I172" t="str">
        <v>TRAVELERRECEIVED</v>
      </c>
      <c r="K172" t="str">
        <v>Shipped</v>
      </c>
      <c r="L172">
        <v>29964</v>
      </c>
    </row>
    <row r="173">
      <c r="A173">
        <v>715734</v>
      </c>
      <c r="B173">
        <v>11546377</v>
      </c>
      <c r="C173">
        <v>1738</v>
      </c>
      <c r="E173">
        <v>1354</v>
      </c>
      <c r="F173">
        <v>87922</v>
      </c>
      <c r="G173">
        <v>192888</v>
      </c>
      <c r="H173" s="1">
        <v>46240</v>
      </c>
      <c r="I173" t="str">
        <v>TRAVELERRECEIVED</v>
      </c>
      <c r="K173" t="str">
        <v>Shipped</v>
      </c>
      <c r="L173">
        <v>29956</v>
      </c>
    </row>
    <row r="174">
      <c r="A174">
        <v>715735</v>
      </c>
      <c r="B174">
        <v>11546377</v>
      </c>
      <c r="C174">
        <v>376</v>
      </c>
      <c r="E174">
        <v>1148</v>
      </c>
      <c r="F174">
        <v>74545</v>
      </c>
      <c r="G174">
        <v>192888</v>
      </c>
      <c r="H174" s="1">
        <v>46240</v>
      </c>
      <c r="I174" t="str">
        <v>TRAVELERRECEIVED</v>
      </c>
      <c r="K174" t="str">
        <v>Shipped</v>
      </c>
      <c r="L174">
        <v>29964</v>
      </c>
    </row>
    <row r="175">
      <c r="A175">
        <v>715736</v>
      </c>
      <c r="B175">
        <v>11546377</v>
      </c>
      <c r="C175">
        <v>109</v>
      </c>
      <c r="E175">
        <v>1051</v>
      </c>
      <c r="F175">
        <v>68247</v>
      </c>
      <c r="G175">
        <v>192888</v>
      </c>
      <c r="H175" s="1">
        <v>46240</v>
      </c>
      <c r="I175" t="str">
        <v>TRAVELERRECEIVED</v>
      </c>
      <c r="K175" t="str">
        <v>Shipped</v>
      </c>
      <c r="L175">
        <v>29964</v>
      </c>
    </row>
    <row r="176">
      <c r="A176">
        <v>715737</v>
      </c>
      <c r="B176">
        <v>11546377</v>
      </c>
      <c r="C176">
        <v>271</v>
      </c>
      <c r="E176">
        <v>1011</v>
      </c>
      <c r="F176">
        <v>65649</v>
      </c>
      <c r="G176">
        <v>192888</v>
      </c>
      <c r="H176" s="1">
        <v>46240</v>
      </c>
      <c r="I176" t="str">
        <v>TRAVELERRECEIVED</v>
      </c>
      <c r="K176" t="str">
        <v>Shipped</v>
      </c>
      <c r="L176">
        <v>29964</v>
      </c>
    </row>
    <row r="177">
      <c r="A177">
        <v>715738</v>
      </c>
      <c r="B177">
        <v>11546377</v>
      </c>
      <c r="C177">
        <v>894</v>
      </c>
      <c r="E177">
        <v>1119</v>
      </c>
      <c r="F177">
        <v>72662</v>
      </c>
      <c r="G177">
        <v>192888</v>
      </c>
      <c r="H177" s="1">
        <v>46240</v>
      </c>
      <c r="I177" t="str">
        <v>TRAVELERRECEIVED</v>
      </c>
      <c r="K177" t="str">
        <v>Shipped</v>
      </c>
      <c r="L177">
        <v>29967</v>
      </c>
    </row>
    <row r="178">
      <c r="A178">
        <v>715739</v>
      </c>
      <c r="B178">
        <v>11546377</v>
      </c>
      <c r="C178">
        <v>626</v>
      </c>
      <c r="E178">
        <v>953</v>
      </c>
      <c r="F178">
        <v>61883</v>
      </c>
      <c r="G178">
        <v>192888</v>
      </c>
      <c r="H178" s="1">
        <v>46240</v>
      </c>
      <c r="I178" t="str">
        <v>TRAVELERRECEIVED</v>
      </c>
      <c r="K178" t="str">
        <v>Shipped</v>
      </c>
      <c r="L178">
        <v>29970</v>
      </c>
    </row>
    <row r="179">
      <c r="A179">
        <v>715859</v>
      </c>
      <c r="B179" t="str">
        <v>06101831-A</v>
      </c>
      <c r="C179">
        <v>1791</v>
      </c>
      <c r="E179">
        <v>1025</v>
      </c>
      <c r="F179">
        <v>37138</v>
      </c>
      <c r="G179">
        <v>192888</v>
      </c>
      <c r="H179" s="1">
        <v>46240</v>
      </c>
      <c r="I179" t="str">
        <v>TRAVELERRECEIVED</v>
      </c>
      <c r="K179" t="str">
        <v>Shipped</v>
      </c>
      <c r="L179">
        <v>29961</v>
      </c>
    </row>
    <row r="180">
      <c r="A180">
        <v>715861</v>
      </c>
      <c r="B180" t="str">
        <v>06101831-A</v>
      </c>
      <c r="C180">
        <v>1093</v>
      </c>
      <c r="E180">
        <v>958</v>
      </c>
      <c r="F180">
        <v>34710</v>
      </c>
      <c r="G180">
        <v>192888</v>
      </c>
      <c r="H180" s="1">
        <v>46240</v>
      </c>
      <c r="I180" t="str">
        <v>TRAVELERRECEIVED</v>
      </c>
      <c r="K180" t="str">
        <v>Shipped</v>
      </c>
      <c r="L180">
        <v>29956</v>
      </c>
    </row>
    <row r="181">
      <c r="A181">
        <v>715862</v>
      </c>
      <c r="B181" t="str">
        <v>06101831-A</v>
      </c>
      <c r="C181">
        <v>1540</v>
      </c>
      <c r="E181">
        <v>1167</v>
      </c>
      <c r="F181">
        <v>42283</v>
      </c>
      <c r="G181">
        <v>192888</v>
      </c>
      <c r="H181" s="1">
        <v>46240</v>
      </c>
      <c r="I181" t="str">
        <v>TRAVELERRECEIVED</v>
      </c>
      <c r="K181" t="str">
        <v>Shipped</v>
      </c>
      <c r="L181">
        <v>29954</v>
      </c>
    </row>
    <row r="182">
      <c r="A182">
        <v>715863</v>
      </c>
      <c r="B182" t="str">
        <v>06101831-A</v>
      </c>
      <c r="C182">
        <v>1575</v>
      </c>
      <c r="E182">
        <v>965</v>
      </c>
      <c r="F182">
        <v>34964</v>
      </c>
      <c r="G182">
        <v>192888</v>
      </c>
      <c r="H182" s="1">
        <v>46240</v>
      </c>
      <c r="I182" t="str">
        <v>TRAVELERRECEIVED</v>
      </c>
      <c r="K182" t="str">
        <v>Shipped</v>
      </c>
      <c r="L182">
        <v>29956</v>
      </c>
    </row>
    <row r="183">
      <c r="A183">
        <v>716188</v>
      </c>
      <c r="B183">
        <v>11546545</v>
      </c>
      <c r="C183">
        <v>678</v>
      </c>
      <c r="E183">
        <v>1117</v>
      </c>
      <c r="F183">
        <v>93083</v>
      </c>
      <c r="G183">
        <v>192888</v>
      </c>
      <c r="H183" s="1">
        <v>46240</v>
      </c>
      <c r="I183" t="str">
        <v>TRAVELERRECEIVED</v>
      </c>
      <c r="K183" t="str">
        <v>Shipped</v>
      </c>
      <c r="L183">
        <v>29956</v>
      </c>
    </row>
    <row r="184">
      <c r="A184">
        <v>716189</v>
      </c>
      <c r="B184">
        <v>11546545</v>
      </c>
      <c r="C184">
        <v>499</v>
      </c>
      <c r="E184">
        <v>1056</v>
      </c>
      <c r="F184">
        <v>88000</v>
      </c>
      <c r="G184">
        <v>192888</v>
      </c>
      <c r="H184" s="1">
        <v>46240</v>
      </c>
      <c r="I184" t="str">
        <v>TRAVELERRECEIVED</v>
      </c>
      <c r="K184" t="str">
        <v>Shipped</v>
      </c>
      <c r="L184">
        <v>29954</v>
      </c>
    </row>
    <row r="185">
      <c r="A185">
        <v>716190</v>
      </c>
      <c r="B185">
        <v>11546545</v>
      </c>
      <c r="C185">
        <v>117</v>
      </c>
      <c r="E185">
        <v>1044</v>
      </c>
      <c r="F185">
        <v>87000</v>
      </c>
      <c r="G185">
        <v>192888</v>
      </c>
      <c r="H185" s="1">
        <v>46240</v>
      </c>
      <c r="I185" t="str">
        <v>TRAVELERRECEIVED</v>
      </c>
      <c r="K185" t="str">
        <v>Shipped</v>
      </c>
      <c r="L185">
        <v>29954</v>
      </c>
    </row>
    <row r="186">
      <c r="A186">
        <v>716191</v>
      </c>
      <c r="B186">
        <v>11546545</v>
      </c>
      <c r="C186">
        <v>814</v>
      </c>
      <c r="E186">
        <v>1145</v>
      </c>
      <c r="F186">
        <v>95417</v>
      </c>
      <c r="G186">
        <v>192888</v>
      </c>
      <c r="H186" s="1">
        <v>46240</v>
      </c>
      <c r="I186" t="str">
        <v>TRAVELERRECEIVED</v>
      </c>
      <c r="K186" t="str">
        <v>Shipped</v>
      </c>
      <c r="L186">
        <v>29964</v>
      </c>
    </row>
    <row r="187">
      <c r="A187">
        <v>716192</v>
      </c>
      <c r="B187">
        <v>11546545</v>
      </c>
      <c r="C187">
        <v>222</v>
      </c>
      <c r="E187">
        <v>1096</v>
      </c>
      <c r="F187">
        <v>91333</v>
      </c>
      <c r="G187">
        <v>192888</v>
      </c>
      <c r="H187" s="1">
        <v>46240</v>
      </c>
      <c r="I187" t="str">
        <v>TRAVELERRECEIVED</v>
      </c>
      <c r="K187" t="str">
        <v>Shipped</v>
      </c>
      <c r="L187">
        <v>29956</v>
      </c>
    </row>
    <row r="188">
      <c r="A188">
        <v>716193</v>
      </c>
      <c r="B188">
        <v>11546545</v>
      </c>
      <c r="C188">
        <v>1371</v>
      </c>
      <c r="E188">
        <v>1079</v>
      </c>
      <c r="F188">
        <v>89917</v>
      </c>
      <c r="G188">
        <v>192888</v>
      </c>
      <c r="H188" s="1">
        <v>46240</v>
      </c>
      <c r="I188" t="str">
        <v>TRAVELERRECEIVED</v>
      </c>
      <c r="K188" t="str">
        <v>Shipped</v>
      </c>
      <c r="L188">
        <v>29956</v>
      </c>
    </row>
    <row r="189">
      <c r="A189">
        <v>691176</v>
      </c>
      <c r="B189" t="str">
        <v>11612078-B</v>
      </c>
      <c r="C189">
        <v>1617</v>
      </c>
      <c r="D189" t="str">
        <v>TB</v>
      </c>
      <c r="E189">
        <v>1285</v>
      </c>
      <c r="F189">
        <v>73000</v>
      </c>
      <c r="G189">
        <v>192899</v>
      </c>
      <c r="H189" s="1">
        <v>46240</v>
      </c>
      <c r="I189" t="str">
        <v>SORT&amp;RETURN</v>
      </c>
      <c r="K189" t="str">
        <v>Shipped</v>
      </c>
      <c r="L189">
        <v>29801</v>
      </c>
    </row>
    <row r="190">
      <c r="A190">
        <v>707328</v>
      </c>
      <c r="B190" t="str">
        <v>11612078-B</v>
      </c>
      <c r="C190">
        <v>800</v>
      </c>
      <c r="D190" t="str">
        <v>TB</v>
      </c>
      <c r="E190">
        <v>1232</v>
      </c>
      <c r="F190">
        <v>70000</v>
      </c>
      <c r="G190">
        <v>192899</v>
      </c>
      <c r="H190" s="1">
        <v>46240</v>
      </c>
      <c r="I190" t="str">
        <v>SORT&amp;RETURN</v>
      </c>
      <c r="K190" t="str">
        <f>IF(ISERROR(MATCH(WORKORDER[[#This Row],[TRAVELER]],Table1[TRAVELER],0)),K190,"Shipped")</f>
        <v>Shipped</v>
      </c>
      <c r="L190">
        <f>+IF(ISERROR(MATCH(WORKORDER[[#This Row],[TRAVELER]],Table1[TRAVELER],0)),L190,'PACKING SLIP'!$F$5)</f>
        <v>30057</v>
      </c>
    </row>
    <row r="191">
      <c r="A191">
        <v>708159</v>
      </c>
      <c r="B191" t="str">
        <v>11612078-B</v>
      </c>
      <c r="C191">
        <v>583</v>
      </c>
      <c r="D191" t="str">
        <v>TB</v>
      </c>
      <c r="E191">
        <v>1267</v>
      </c>
      <c r="F191">
        <v>72000</v>
      </c>
      <c r="G191">
        <v>192899</v>
      </c>
      <c r="H191" s="1">
        <v>46240</v>
      </c>
      <c r="I191" t="str">
        <v>SORT&amp;RETURN</v>
      </c>
      <c r="K191" t="str">
        <v>Shipped</v>
      </c>
      <c r="L191">
        <v>29801</v>
      </c>
    </row>
    <row r="192">
      <c r="A192">
        <v>708438</v>
      </c>
      <c r="B192" t="str">
        <v>11612078-B</v>
      </c>
      <c r="C192">
        <v>352</v>
      </c>
      <c r="D192" t="str">
        <v>TB</v>
      </c>
      <c r="E192">
        <v>1267</v>
      </c>
      <c r="F192">
        <v>72000</v>
      </c>
      <c r="G192">
        <v>192899</v>
      </c>
      <c r="H192" s="1">
        <v>46240</v>
      </c>
      <c r="I192" t="str">
        <v>SORT&amp;RETURN</v>
      </c>
      <c r="K192" t="str">
        <v>Shipped</v>
      </c>
      <c r="L192">
        <v>29801</v>
      </c>
    </row>
    <row r="193">
      <c r="A193">
        <v>710149</v>
      </c>
      <c r="B193" t="str">
        <v>11612078-B</v>
      </c>
      <c r="C193">
        <v>606</v>
      </c>
      <c r="D193" t="str">
        <v>TB</v>
      </c>
      <c r="E193">
        <v>1197</v>
      </c>
      <c r="F193">
        <v>68000</v>
      </c>
      <c r="G193">
        <v>192899</v>
      </c>
      <c r="H193" s="1">
        <v>46240</v>
      </c>
      <c r="I193" t="str">
        <v>SORT&amp;RETURN</v>
      </c>
      <c r="K193" t="str">
        <v>Shipped</v>
      </c>
      <c r="L193">
        <v>29801</v>
      </c>
    </row>
    <row r="194">
      <c r="A194">
        <v>710174</v>
      </c>
      <c r="B194" t="str">
        <v>11612078-B</v>
      </c>
      <c r="C194">
        <v>906</v>
      </c>
      <c r="D194" t="str">
        <v>TB</v>
      </c>
      <c r="E194">
        <v>1232</v>
      </c>
      <c r="F194">
        <v>70000</v>
      </c>
      <c r="G194">
        <v>192899</v>
      </c>
      <c r="H194" s="1">
        <v>46240</v>
      </c>
      <c r="I194" t="str">
        <v>SORT&amp;RETURN</v>
      </c>
      <c r="K194" t="str">
        <v>Shipped</v>
      </c>
      <c r="L194">
        <v>29801</v>
      </c>
    </row>
    <row r="195">
      <c r="A195">
        <v>712581</v>
      </c>
      <c r="B195">
        <v>11546703</v>
      </c>
      <c r="C195">
        <v>161</v>
      </c>
      <c r="E195">
        <v>993</v>
      </c>
      <c r="F195">
        <v>122593</v>
      </c>
      <c r="G195">
        <v>192899</v>
      </c>
      <c r="H195" s="1">
        <v>46240</v>
      </c>
      <c r="I195" t="str">
        <v>6-218-05-A</v>
      </c>
      <c r="K195" t="str">
        <v>Shipped</v>
      </c>
      <c r="L195">
        <v>29954</v>
      </c>
    </row>
    <row r="196">
      <c r="A196">
        <v>712585</v>
      </c>
      <c r="B196">
        <v>11546703</v>
      </c>
      <c r="C196">
        <v>159</v>
      </c>
      <c r="E196">
        <v>906</v>
      </c>
      <c r="F196">
        <v>111852</v>
      </c>
      <c r="G196">
        <v>192899</v>
      </c>
      <c r="H196" s="1">
        <v>46240</v>
      </c>
      <c r="I196" t="str">
        <v>6-218-05-B</v>
      </c>
      <c r="K196" t="str">
        <v>Shipped</v>
      </c>
      <c r="L196">
        <v>29961</v>
      </c>
    </row>
    <row r="197">
      <c r="A197">
        <v>712883</v>
      </c>
      <c r="B197" t="str">
        <v>11612078-B</v>
      </c>
      <c r="C197">
        <v>1359</v>
      </c>
      <c r="E197">
        <v>1232</v>
      </c>
      <c r="F197">
        <v>70000</v>
      </c>
      <c r="G197">
        <v>192899</v>
      </c>
      <c r="H197" s="1">
        <v>46240</v>
      </c>
      <c r="K197" t="str">
        <v>Shipped</v>
      </c>
      <c r="L197">
        <f>+IF(ISERROR(MATCH(WORKORDER[[#This Row],[TRAVELER]],Table1[TRAVELER],0)),L197,'PACKING SLIP'!$F$5)</f>
        <v>0</v>
      </c>
    </row>
    <row r="198">
      <c r="A198">
        <v>713506</v>
      </c>
      <c r="B198">
        <v>11548535</v>
      </c>
      <c r="C198">
        <v>856</v>
      </c>
      <c r="E198">
        <v>1200</v>
      </c>
      <c r="F198">
        <v>6000</v>
      </c>
      <c r="G198">
        <v>192899</v>
      </c>
      <c r="H198" s="1">
        <v>46240</v>
      </c>
      <c r="I198" t="str">
        <v>6-216-28-A</v>
      </c>
      <c r="K198" t="str">
        <v>Shipped</v>
      </c>
      <c r="L198">
        <v>29961</v>
      </c>
    </row>
    <row r="199">
      <c r="A199">
        <v>713507</v>
      </c>
      <c r="B199">
        <v>11548535</v>
      </c>
      <c r="C199">
        <v>384</v>
      </c>
      <c r="E199">
        <v>1040</v>
      </c>
      <c r="F199">
        <v>5200</v>
      </c>
      <c r="G199">
        <v>192899</v>
      </c>
      <c r="H199" s="1">
        <v>46240</v>
      </c>
      <c r="I199" t="str">
        <v>6-216-28-B</v>
      </c>
      <c r="K199" t="str">
        <v>Shipped</v>
      </c>
      <c r="L199">
        <v>29964</v>
      </c>
    </row>
    <row r="200">
      <c r="A200">
        <v>713509</v>
      </c>
      <c r="B200">
        <v>11548535</v>
      </c>
      <c r="C200">
        <v>1783</v>
      </c>
      <c r="E200">
        <v>1178</v>
      </c>
      <c r="F200">
        <v>5890</v>
      </c>
      <c r="G200">
        <v>192899</v>
      </c>
      <c r="H200" s="1">
        <v>46240</v>
      </c>
      <c r="I200" t="str">
        <v>6-216-29-A</v>
      </c>
      <c r="K200" t="str">
        <v>Shipped</v>
      </c>
      <c r="L200">
        <v>29961</v>
      </c>
    </row>
    <row r="201">
      <c r="A201">
        <v>713556</v>
      </c>
      <c r="B201">
        <v>11611121</v>
      </c>
      <c r="C201">
        <v>577</v>
      </c>
      <c r="E201">
        <v>688</v>
      </c>
      <c r="F201">
        <v>22933</v>
      </c>
      <c r="G201">
        <v>192899</v>
      </c>
      <c r="H201" s="1">
        <v>46240</v>
      </c>
      <c r="I201" t="str">
        <v>6-216-16-A</v>
      </c>
      <c r="K201" t="str">
        <v>Shipped</v>
      </c>
      <c r="L201">
        <v>29964</v>
      </c>
    </row>
    <row r="202">
      <c r="A202">
        <v>713557</v>
      </c>
      <c r="B202">
        <v>11611121</v>
      </c>
      <c r="C202">
        <v>948</v>
      </c>
      <c r="E202">
        <v>796</v>
      </c>
      <c r="F202">
        <v>26533</v>
      </c>
      <c r="G202">
        <v>192899</v>
      </c>
      <c r="H202" s="1">
        <v>46240</v>
      </c>
      <c r="I202" t="str">
        <v>6-216-16-B</v>
      </c>
      <c r="K202" t="str">
        <v>Shipped</v>
      </c>
      <c r="L202">
        <v>29961</v>
      </c>
    </row>
    <row r="203">
      <c r="A203">
        <v>713559</v>
      </c>
      <c r="B203">
        <v>11611122</v>
      </c>
      <c r="C203">
        <v>970</v>
      </c>
      <c r="E203">
        <v>1106</v>
      </c>
      <c r="F203">
        <v>73733</v>
      </c>
      <c r="G203">
        <v>192899</v>
      </c>
      <c r="H203" s="1">
        <v>46240</v>
      </c>
      <c r="I203" t="str">
        <v>6-216-17-A</v>
      </c>
      <c r="K203" t="str">
        <v>Shipped</v>
      </c>
      <c r="L203">
        <v>29954</v>
      </c>
    </row>
    <row r="204">
      <c r="A204">
        <v>713583</v>
      </c>
      <c r="B204">
        <v>11546774</v>
      </c>
      <c r="C204">
        <v>469</v>
      </c>
      <c r="E204">
        <v>980</v>
      </c>
      <c r="F204">
        <v>12580</v>
      </c>
      <c r="G204">
        <v>192899</v>
      </c>
      <c r="H204" s="1">
        <v>46240</v>
      </c>
      <c r="I204" t="str">
        <v>6-217-29-A</v>
      </c>
      <c r="K204" t="str">
        <v>Shipped</v>
      </c>
      <c r="L204">
        <v>29954</v>
      </c>
    </row>
    <row r="205">
      <c r="A205">
        <v>713585</v>
      </c>
      <c r="B205">
        <v>11546774</v>
      </c>
      <c r="C205">
        <v>1076</v>
      </c>
      <c r="E205">
        <v>1057</v>
      </c>
      <c r="F205">
        <v>13569</v>
      </c>
      <c r="G205">
        <v>192899</v>
      </c>
      <c r="H205" s="1">
        <v>46240</v>
      </c>
      <c r="I205" t="str">
        <v>6-217-29-B</v>
      </c>
      <c r="K205" t="str">
        <v>Shipped</v>
      </c>
      <c r="L205">
        <v>29956</v>
      </c>
    </row>
    <row r="206">
      <c r="A206">
        <v>713587</v>
      </c>
      <c r="B206">
        <v>11546774</v>
      </c>
      <c r="C206">
        <v>1360</v>
      </c>
      <c r="E206">
        <v>1049</v>
      </c>
      <c r="F206">
        <v>13466</v>
      </c>
      <c r="G206">
        <v>192899</v>
      </c>
      <c r="H206" s="1">
        <v>46240</v>
      </c>
      <c r="I206" t="str">
        <v>6-217-29-C</v>
      </c>
      <c r="K206" t="str">
        <v>Shipped</v>
      </c>
      <c r="L206">
        <v>29954</v>
      </c>
    </row>
    <row r="207">
      <c r="A207">
        <v>713588</v>
      </c>
      <c r="B207">
        <v>11546774</v>
      </c>
      <c r="C207">
        <v>33</v>
      </c>
      <c r="E207">
        <v>986</v>
      </c>
      <c r="F207">
        <v>12657</v>
      </c>
      <c r="G207">
        <v>192899</v>
      </c>
      <c r="H207" s="1">
        <v>46240</v>
      </c>
      <c r="I207" t="str">
        <v>6-217-29-D</v>
      </c>
      <c r="K207" t="str">
        <v>Shipped</v>
      </c>
      <c r="L207">
        <v>29964</v>
      </c>
    </row>
    <row r="208">
      <c r="A208">
        <v>713589</v>
      </c>
      <c r="B208">
        <v>11546774</v>
      </c>
      <c r="C208">
        <v>27</v>
      </c>
      <c r="E208">
        <v>966</v>
      </c>
      <c r="F208">
        <v>12401</v>
      </c>
      <c r="G208">
        <v>192899</v>
      </c>
      <c r="H208" s="1">
        <v>46240</v>
      </c>
      <c r="I208" t="str">
        <v>6-217-29-E</v>
      </c>
      <c r="K208" t="str">
        <v>Shipped</v>
      </c>
      <c r="L208">
        <v>29956</v>
      </c>
    </row>
    <row r="209">
      <c r="A209">
        <v>713590</v>
      </c>
      <c r="B209">
        <v>11546774</v>
      </c>
      <c r="C209">
        <v>290</v>
      </c>
      <c r="E209">
        <v>1013</v>
      </c>
      <c r="F209">
        <v>13004</v>
      </c>
      <c r="G209">
        <v>192899</v>
      </c>
      <c r="H209" s="1">
        <v>46240</v>
      </c>
      <c r="I209" t="str">
        <v>6-217-28-A</v>
      </c>
      <c r="K209" t="str">
        <v>Shipped</v>
      </c>
      <c r="L209">
        <v>29961</v>
      </c>
    </row>
    <row r="210">
      <c r="A210">
        <v>713591</v>
      </c>
      <c r="B210">
        <v>11546774</v>
      </c>
      <c r="C210">
        <v>351</v>
      </c>
      <c r="E210">
        <v>943</v>
      </c>
      <c r="F210">
        <v>12105</v>
      </c>
      <c r="G210">
        <v>192899</v>
      </c>
      <c r="H210" s="1">
        <v>46240</v>
      </c>
      <c r="I210" t="str">
        <v>6-217-28-B</v>
      </c>
      <c r="K210" t="str">
        <v>Shipped</v>
      </c>
      <c r="L210">
        <v>29961</v>
      </c>
    </row>
    <row r="211">
      <c r="A211">
        <v>713986</v>
      </c>
      <c r="B211" t="str">
        <v>06502979-A</v>
      </c>
      <c r="C211">
        <v>342</v>
      </c>
      <c r="E211">
        <v>828</v>
      </c>
      <c r="F211">
        <v>20909</v>
      </c>
      <c r="G211">
        <v>192899</v>
      </c>
      <c r="H211" s="1">
        <v>46240</v>
      </c>
      <c r="I211" t="str">
        <v>6-216-42-A</v>
      </c>
      <c r="K211" t="str">
        <v>Shipped</v>
      </c>
      <c r="L211">
        <v>29956</v>
      </c>
    </row>
    <row r="212">
      <c r="A212">
        <v>713987</v>
      </c>
      <c r="B212" t="str">
        <v>06502979-A</v>
      </c>
      <c r="C212">
        <v>674</v>
      </c>
      <c r="E212">
        <v>805</v>
      </c>
      <c r="F212">
        <v>20328</v>
      </c>
      <c r="G212">
        <v>192899</v>
      </c>
      <c r="H212" s="1">
        <v>46240</v>
      </c>
      <c r="I212" t="str">
        <v>6-216-42-B</v>
      </c>
      <c r="K212" t="str">
        <v>Shipped</v>
      </c>
      <c r="L212">
        <v>29964</v>
      </c>
    </row>
    <row r="213">
      <c r="A213">
        <v>714466</v>
      </c>
      <c r="B213" t="str">
        <v>NU1510-00</v>
      </c>
      <c r="C213">
        <v>1381</v>
      </c>
      <c r="E213">
        <v>1151</v>
      </c>
      <c r="F213">
        <v>42000</v>
      </c>
      <c r="G213">
        <v>192899</v>
      </c>
      <c r="H213" s="1">
        <v>46240</v>
      </c>
      <c r="I213" t="str">
        <v>6-217-27-A</v>
      </c>
      <c r="K213" t="str">
        <f>IF(ISERROR(MATCH(WORKORDER[[#This Row],[TRAVELER]],Table1[TRAVELER],0)),K213,"Shipped")</f>
        <v>Shipped</v>
      </c>
      <c r="L213">
        <v>29949</v>
      </c>
    </row>
    <row r="214">
      <c r="A214">
        <v>714467</v>
      </c>
      <c r="B214" t="str">
        <v>NU1510-00</v>
      </c>
      <c r="C214">
        <v>1689</v>
      </c>
      <c r="E214">
        <v>1233</v>
      </c>
      <c r="F214">
        <v>45000</v>
      </c>
      <c r="G214">
        <v>192899</v>
      </c>
      <c r="H214" s="1">
        <v>46240</v>
      </c>
      <c r="I214" t="str">
        <v>6-217-27-B</v>
      </c>
      <c r="K214" t="str">
        <f>IF(ISERROR(MATCH(WORKORDER[[#This Row],[TRAVELER]],Table1[TRAVELER],0)),K214,"Shipped")</f>
        <v>Shipped</v>
      </c>
      <c r="L214">
        <v>29980</v>
      </c>
    </row>
    <row r="215">
      <c r="A215">
        <v>715665</v>
      </c>
      <c r="B215" t="str">
        <v>NU1510-00</v>
      </c>
      <c r="C215">
        <v>953</v>
      </c>
      <c r="E215">
        <v>1096</v>
      </c>
      <c r="F215">
        <v>40000</v>
      </c>
      <c r="G215">
        <v>192899</v>
      </c>
      <c r="H215" s="1">
        <v>46240</v>
      </c>
      <c r="I215" t="str">
        <v>6-217-27-C</v>
      </c>
      <c r="K215" t="str">
        <f>IF(ISERROR(MATCH(WORKORDER[[#This Row],[TRAVELER]],Table1[TRAVELER],0)),K215,"Shipped")</f>
        <v>Shipped</v>
      </c>
      <c r="L215">
        <v>29949</v>
      </c>
    </row>
    <row r="216">
      <c r="A216">
        <v>715666</v>
      </c>
      <c r="B216" t="str">
        <v>NU1510-00</v>
      </c>
      <c r="C216">
        <v>73</v>
      </c>
      <c r="E216">
        <v>1178</v>
      </c>
      <c r="F216">
        <v>43000</v>
      </c>
      <c r="G216">
        <v>192899</v>
      </c>
      <c r="H216" s="1">
        <v>46240</v>
      </c>
      <c r="I216" t="str">
        <v>6-217-27-D</v>
      </c>
      <c r="K216" t="str">
        <f>IF(ISERROR(MATCH(WORKORDER[[#This Row],[TRAVELER]],Table1[TRAVELER],0)),K216,"Shipped")</f>
        <v>Shipped</v>
      </c>
      <c r="L216">
        <v>29949</v>
      </c>
    </row>
    <row r="217">
      <c r="A217">
        <v>715712</v>
      </c>
      <c r="B217" t="str">
        <v>NU1510-00</v>
      </c>
      <c r="C217">
        <v>1449</v>
      </c>
      <c r="E217">
        <v>1178</v>
      </c>
      <c r="F217">
        <v>43000</v>
      </c>
      <c r="G217">
        <v>192899</v>
      </c>
      <c r="H217" s="1">
        <v>46240</v>
      </c>
      <c r="I217" t="str">
        <v>6-217-26-A</v>
      </c>
      <c r="K217" t="str">
        <f>IF(ISERROR(MATCH(WORKORDER[[#This Row],[TRAVELER]],Table1[TRAVELER],0)),K217,"Shipped")</f>
        <v>Shipped</v>
      </c>
      <c r="L217">
        <v>29949</v>
      </c>
    </row>
    <row r="218">
      <c r="A218">
        <v>715713</v>
      </c>
      <c r="B218" t="str">
        <v>NU1510-00</v>
      </c>
      <c r="C218">
        <v>370</v>
      </c>
      <c r="E218">
        <v>1123</v>
      </c>
      <c r="F218">
        <v>41000</v>
      </c>
      <c r="G218">
        <v>192899</v>
      </c>
      <c r="H218" s="1">
        <v>46240</v>
      </c>
      <c r="I218" t="str">
        <v>6-217-26-B</v>
      </c>
      <c r="K218" t="str">
        <f>IF(ISERROR(MATCH(WORKORDER[[#This Row],[TRAVELER]],Table1[TRAVELER],0)),K218,"Shipped")</f>
        <v>Shipped</v>
      </c>
      <c r="L218">
        <v>29980</v>
      </c>
    </row>
    <row r="219">
      <c r="A219">
        <v>715714</v>
      </c>
      <c r="B219" t="str">
        <v>NU1510-00</v>
      </c>
      <c r="C219">
        <v>1592</v>
      </c>
      <c r="E219">
        <v>1260</v>
      </c>
      <c r="F219">
        <v>46000</v>
      </c>
      <c r="G219">
        <v>192899</v>
      </c>
      <c r="H219" s="1">
        <v>46240</v>
      </c>
      <c r="I219" t="str">
        <v>6-217-25-A</v>
      </c>
      <c r="K219" t="str">
        <f>IF(ISERROR(MATCH(WORKORDER[[#This Row],[TRAVELER]],Table1[TRAVELER],0)),K219,"Shipped")</f>
        <v>Shipped</v>
      </c>
      <c r="L219">
        <v>29949</v>
      </c>
    </row>
    <row r="220">
      <c r="A220">
        <v>715715</v>
      </c>
      <c r="B220" t="str">
        <v>NU1510-00</v>
      </c>
      <c r="C220">
        <v>1804</v>
      </c>
      <c r="E220">
        <v>1151</v>
      </c>
      <c r="F220">
        <v>42000</v>
      </c>
      <c r="G220">
        <v>192899</v>
      </c>
      <c r="H220" s="1">
        <v>46240</v>
      </c>
      <c r="I220" t="str">
        <v>6-217-25-B</v>
      </c>
      <c r="K220" t="str">
        <f>IF(ISERROR(MATCH(WORKORDER[[#This Row],[TRAVELER]],Table1[TRAVELER],0)),K220,"Shipped")</f>
        <v>Shipped</v>
      </c>
      <c r="L220">
        <v>29949</v>
      </c>
    </row>
    <row r="221">
      <c r="A221">
        <v>715794</v>
      </c>
      <c r="B221">
        <v>11602292</v>
      </c>
      <c r="C221">
        <v>513</v>
      </c>
      <c r="E221">
        <v>882</v>
      </c>
      <c r="F221">
        <v>28544</v>
      </c>
      <c r="G221">
        <v>192899</v>
      </c>
      <c r="H221" s="1">
        <v>46240</v>
      </c>
      <c r="I221" t="str">
        <v>6-218-01-A</v>
      </c>
      <c r="K221" t="str">
        <v>Shipped</v>
      </c>
      <c r="L221">
        <v>29952</v>
      </c>
    </row>
    <row r="222">
      <c r="A222">
        <v>715795</v>
      </c>
      <c r="B222">
        <v>11602292</v>
      </c>
      <c r="C222">
        <v>1710</v>
      </c>
      <c r="E222">
        <v>765</v>
      </c>
      <c r="F222">
        <v>24757</v>
      </c>
      <c r="G222">
        <v>192899</v>
      </c>
      <c r="H222" s="1">
        <v>46240</v>
      </c>
      <c r="I222" t="str">
        <v>6-218-01-B</v>
      </c>
      <c r="K222" t="str">
        <v>Shipped</v>
      </c>
      <c r="L222">
        <v>29952</v>
      </c>
    </row>
    <row r="223">
      <c r="A223">
        <v>715838</v>
      </c>
      <c r="B223" t="str">
        <v>NU1510-00</v>
      </c>
      <c r="C223">
        <v>49</v>
      </c>
      <c r="E223">
        <v>1151</v>
      </c>
      <c r="F223">
        <v>42000</v>
      </c>
      <c r="G223">
        <v>192899</v>
      </c>
      <c r="H223" s="1">
        <v>46240</v>
      </c>
      <c r="I223" t="str">
        <v>6-217-26-C</v>
      </c>
      <c r="K223" t="str">
        <f>IF(ISERROR(MATCH(WORKORDER[[#This Row],[TRAVELER]],Table1[TRAVELER],0)),K223,"Shipped")</f>
        <v>Shipped</v>
      </c>
      <c r="L223">
        <v>29949</v>
      </c>
    </row>
    <row r="224">
      <c r="A224">
        <v>716200</v>
      </c>
      <c r="B224" t="str">
        <v>06513734AA</v>
      </c>
      <c r="C224">
        <v>581</v>
      </c>
      <c r="E224">
        <v>810</v>
      </c>
      <c r="F224">
        <v>78641</v>
      </c>
      <c r="G224">
        <v>192899</v>
      </c>
      <c r="H224" s="1">
        <v>46240</v>
      </c>
      <c r="I224" t="str">
        <v>6-218-17-A</v>
      </c>
      <c r="K224" t="str">
        <v>Shipped</v>
      </c>
      <c r="L224">
        <v>29948</v>
      </c>
    </row>
    <row r="225">
      <c r="A225">
        <v>714302</v>
      </c>
      <c r="B225">
        <v>11516074</v>
      </c>
      <c r="C225">
        <v>811</v>
      </c>
      <c r="E225">
        <v>837</v>
      </c>
      <c r="F225">
        <v>17621</v>
      </c>
      <c r="G225">
        <v>192908</v>
      </c>
      <c r="H225" s="1">
        <v>46240</v>
      </c>
      <c r="I225" t="str">
        <v>TRAVELERRECEIVED</v>
      </c>
      <c r="K225" t="str">
        <v>Shipped</v>
      </c>
      <c r="L225">
        <v>29956</v>
      </c>
    </row>
    <row r="226">
      <c r="A226">
        <v>714303</v>
      </c>
      <c r="B226">
        <v>11516074</v>
      </c>
      <c r="C226">
        <v>1534</v>
      </c>
      <c r="E226">
        <v>939</v>
      </c>
      <c r="F226">
        <v>19768</v>
      </c>
      <c r="G226">
        <v>192908</v>
      </c>
      <c r="H226" s="1">
        <v>46240</v>
      </c>
      <c r="I226" t="str">
        <v>TRAVELERRECEIVED</v>
      </c>
      <c r="K226" t="str">
        <v>Shipped</v>
      </c>
      <c r="L226">
        <v>29954</v>
      </c>
    </row>
    <row r="227">
      <c r="A227">
        <v>714396</v>
      </c>
      <c r="B227">
        <v>11548147</v>
      </c>
      <c r="C227" t="str">
        <v>KIB</v>
      </c>
      <c r="E227">
        <v>1575</v>
      </c>
      <c r="F227">
        <v>12500</v>
      </c>
      <c r="G227">
        <v>192908</v>
      </c>
      <c r="H227" s="1">
        <v>46240</v>
      </c>
      <c r="I227" t="str">
        <v>TRAVELERRECEIVED</v>
      </c>
      <c r="K227" t="str">
        <v>Shipped</v>
      </c>
      <c r="L227">
        <v>29961</v>
      </c>
    </row>
    <row r="228">
      <c r="A228">
        <v>714397</v>
      </c>
      <c r="B228">
        <v>11548147</v>
      </c>
      <c r="C228" t="str">
        <v>KIB</v>
      </c>
      <c r="E228">
        <v>1575</v>
      </c>
      <c r="F228">
        <v>12500</v>
      </c>
      <c r="G228">
        <v>192908</v>
      </c>
      <c r="H228" s="1">
        <v>46240</v>
      </c>
      <c r="I228" t="str">
        <v>SPLIT FROM TR#714396</v>
      </c>
      <c r="K228" t="str">
        <v>Shipped</v>
      </c>
      <c r="L228">
        <v>29961</v>
      </c>
    </row>
    <row r="229">
      <c r="A229">
        <v>714398</v>
      </c>
      <c r="B229">
        <v>11548147</v>
      </c>
      <c r="C229" t="str">
        <v>KIB</v>
      </c>
      <c r="E229">
        <v>1575</v>
      </c>
      <c r="F229">
        <v>12500</v>
      </c>
      <c r="G229">
        <v>192908</v>
      </c>
      <c r="H229" s="1">
        <v>46240</v>
      </c>
      <c r="I229" t="str">
        <v>TRAVELERRECEIVED</v>
      </c>
      <c r="K229" t="str">
        <v>Shipped</v>
      </c>
      <c r="L229">
        <v>29964</v>
      </c>
    </row>
    <row r="230">
      <c r="A230">
        <v>714399</v>
      </c>
      <c r="B230">
        <v>11548147</v>
      </c>
      <c r="C230" t="str">
        <v>KIB</v>
      </c>
      <c r="E230">
        <v>1575</v>
      </c>
      <c r="F230">
        <v>12500</v>
      </c>
      <c r="G230">
        <v>192908</v>
      </c>
      <c r="H230" s="1">
        <v>46240</v>
      </c>
      <c r="I230" t="str">
        <v>SPLIT FROM TR#714398</v>
      </c>
      <c r="K230" t="str">
        <v>Shipped</v>
      </c>
      <c r="L230">
        <v>29961</v>
      </c>
    </row>
    <row r="231">
      <c r="A231">
        <v>715680</v>
      </c>
      <c r="B231" t="str">
        <v>06509967AA</v>
      </c>
      <c r="C231" t="str">
        <v>KIB</v>
      </c>
      <c r="E231">
        <v>1320</v>
      </c>
      <c r="F231">
        <v>40000</v>
      </c>
      <c r="G231">
        <v>192908</v>
      </c>
      <c r="H231" s="1">
        <v>46240</v>
      </c>
      <c r="I231" t="str">
        <v>TRAVELERRECEIVED</v>
      </c>
      <c r="K231" t="str">
        <v>Shipped</v>
      </c>
      <c r="L231">
        <v>29974</v>
      </c>
    </row>
    <row r="232">
      <c r="A232">
        <v>715681</v>
      </c>
      <c r="B232" t="str">
        <v>06509967AA</v>
      </c>
      <c r="C232" t="str">
        <v>KIB</v>
      </c>
      <c r="E232">
        <v>1320</v>
      </c>
      <c r="F232">
        <v>40000</v>
      </c>
      <c r="G232">
        <v>192908</v>
      </c>
      <c r="H232" s="1">
        <v>46240</v>
      </c>
      <c r="I232" t="str">
        <v>SPLIT FROM TR#715680</v>
      </c>
      <c r="K232" t="str">
        <v>Shipped</v>
      </c>
      <c r="L232">
        <v>29977</v>
      </c>
    </row>
    <row r="233">
      <c r="A233">
        <v>715682</v>
      </c>
      <c r="B233" t="str">
        <v>06509967AA</v>
      </c>
      <c r="C233" t="str">
        <v>KIB</v>
      </c>
      <c r="E233">
        <v>1320</v>
      </c>
      <c r="F233">
        <v>40000</v>
      </c>
      <c r="G233">
        <v>192908</v>
      </c>
      <c r="H233" s="1">
        <v>46240</v>
      </c>
      <c r="I233" t="str">
        <v>TRAVELERRECEIVED</v>
      </c>
      <c r="K233" t="str">
        <v>Shipped</v>
      </c>
      <c r="L233">
        <v>29970</v>
      </c>
    </row>
    <row r="234">
      <c r="A234">
        <v>715683</v>
      </c>
      <c r="B234" t="str">
        <v>06509967AA</v>
      </c>
      <c r="C234" t="str">
        <v>KIB</v>
      </c>
      <c r="E234">
        <v>1320</v>
      </c>
      <c r="F234">
        <v>40000</v>
      </c>
      <c r="G234">
        <v>192908</v>
      </c>
      <c r="H234" s="1">
        <v>46240</v>
      </c>
      <c r="I234" t="str">
        <v>SPLIT FROM TR#715682</v>
      </c>
      <c r="K234">
        <f>IF(ISERROR(MATCH(WORKORDER[[#This Row],[TRAVELER]],Table1[TRAVELER],0)),K234,"Shipped")</f>
        <v>0</v>
      </c>
      <c r="L234">
        <f>+IF(ISERROR(MATCH(WORKORDER[[#This Row],[TRAVELER]],Table1[TRAVELER],0)),L234,'PACKING SLIP'!$F$5)</f>
        <v>0</v>
      </c>
    </row>
    <row r="235">
      <c r="A235">
        <v>715701</v>
      </c>
      <c r="B235" t="str">
        <v>06104725AA</v>
      </c>
      <c r="C235">
        <v>586</v>
      </c>
      <c r="E235">
        <v>1130</v>
      </c>
      <c r="F235">
        <v>106604</v>
      </c>
      <c r="G235">
        <v>192908</v>
      </c>
      <c r="H235" s="1">
        <v>46240</v>
      </c>
      <c r="I235" t="str">
        <v>TRAVELERRECEIVED</v>
      </c>
      <c r="K235">
        <f>IF(ISERROR(MATCH(WORKORDER[[#This Row],[TRAVELER]],Table1[TRAVELER],0)),K235,"Shipped")</f>
        <v>0</v>
      </c>
      <c r="L235">
        <f>+IF(ISERROR(MATCH(WORKORDER[[#This Row],[TRAVELER]],Table1[TRAVELER],0)),L235,'PACKING SLIP'!$F$5)</f>
        <v>0</v>
      </c>
    </row>
    <row r="236">
      <c r="A236">
        <v>715702</v>
      </c>
      <c r="B236" t="str">
        <v>06104725AA</v>
      </c>
      <c r="C236">
        <v>1639</v>
      </c>
      <c r="E236">
        <v>1007</v>
      </c>
      <c r="F236">
        <v>95000</v>
      </c>
      <c r="G236">
        <v>192908</v>
      </c>
      <c r="H236" s="1">
        <v>46240</v>
      </c>
      <c r="I236" t="str">
        <v>TRAVELERRECEIVED</v>
      </c>
      <c r="K236" t="str">
        <v>Shipped</v>
      </c>
      <c r="L236">
        <v>29961</v>
      </c>
    </row>
    <row r="237">
      <c r="A237">
        <v>715703</v>
      </c>
      <c r="B237" t="str">
        <v>06104725AA</v>
      </c>
      <c r="C237">
        <v>2</v>
      </c>
      <c r="E237">
        <v>1155</v>
      </c>
      <c r="F237">
        <v>108962</v>
      </c>
      <c r="G237">
        <v>192908</v>
      </c>
      <c r="H237" s="1">
        <v>46240</v>
      </c>
      <c r="I237" t="str">
        <v>TRAVELERRECEIVED</v>
      </c>
      <c r="K237" t="str">
        <v>Shipped</v>
      </c>
      <c r="L237">
        <v>29964</v>
      </c>
    </row>
    <row r="238">
      <c r="A238">
        <v>715704</v>
      </c>
      <c r="B238" t="str">
        <v>06104725AA</v>
      </c>
      <c r="C238">
        <v>939</v>
      </c>
      <c r="E238">
        <v>1146</v>
      </c>
      <c r="F238">
        <v>108113</v>
      </c>
      <c r="G238">
        <v>192908</v>
      </c>
      <c r="H238" s="1">
        <v>46240</v>
      </c>
      <c r="I238" t="str">
        <v>TRAVELERRECEIVED</v>
      </c>
      <c r="K238" t="str">
        <v>Shipped</v>
      </c>
      <c r="L238">
        <v>29972</v>
      </c>
    </row>
    <row r="239">
      <c r="A239">
        <v>715705</v>
      </c>
      <c r="B239" t="str">
        <v>06104725AA</v>
      </c>
      <c r="C239">
        <v>1526</v>
      </c>
      <c r="E239">
        <v>1036</v>
      </c>
      <c r="F239">
        <v>97736</v>
      </c>
      <c r="G239">
        <v>192908</v>
      </c>
      <c r="H239" s="1">
        <v>46240</v>
      </c>
      <c r="I239" t="str">
        <v>TRAVELERRECEIVED</v>
      </c>
      <c r="K239" t="str">
        <v>Shipped</v>
      </c>
      <c r="L239">
        <v>29964</v>
      </c>
    </row>
    <row r="240">
      <c r="A240">
        <v>715706</v>
      </c>
      <c r="B240" t="str">
        <v>06104725AA</v>
      </c>
      <c r="C240">
        <v>38</v>
      </c>
      <c r="E240">
        <v>1063</v>
      </c>
      <c r="F240">
        <v>100283</v>
      </c>
      <c r="G240">
        <v>192908</v>
      </c>
      <c r="H240" s="1">
        <v>46240</v>
      </c>
      <c r="I240" t="str">
        <v>TRAVELERRECEIVED</v>
      </c>
      <c r="K240" t="str">
        <v>Shipped</v>
      </c>
      <c r="L240">
        <v>29964</v>
      </c>
    </row>
    <row r="241">
      <c r="A241">
        <v>715707</v>
      </c>
      <c r="B241" t="str">
        <v>06104725AA</v>
      </c>
      <c r="C241">
        <v>183</v>
      </c>
      <c r="D241" t="str">
        <v>MC/BF</v>
      </c>
      <c r="E241">
        <v>1094</v>
      </c>
      <c r="F241">
        <v>103208</v>
      </c>
      <c r="G241">
        <v>192908</v>
      </c>
      <c r="H241" s="1">
        <v>46240</v>
      </c>
      <c r="I241" t="str">
        <v>TRAVELERRECEIVED</v>
      </c>
      <c r="K241" t="str">
        <f>IF(ISERROR(MATCH(WORKORDER[[#This Row],[TRAVELER]],Table1[TRAVELER],0)),K241,"Shipped")</f>
        <v>Shipped</v>
      </c>
      <c r="L241">
        <f>+IF(ISERROR(MATCH(WORKORDER[[#This Row],[TRAVELER]],Table1[TRAVELER],0)),L241,'PACKING SLIP'!$F$5)</f>
        <v>30101</v>
      </c>
    </row>
    <row r="242">
      <c r="A242">
        <v>715708</v>
      </c>
      <c r="B242" t="str">
        <v>06104725AA</v>
      </c>
      <c r="C242">
        <v>903</v>
      </c>
      <c r="E242">
        <v>1053</v>
      </c>
      <c r="F242">
        <v>99340</v>
      </c>
      <c r="G242">
        <v>192908</v>
      </c>
      <c r="H242" s="1">
        <v>46240</v>
      </c>
      <c r="I242" t="str">
        <v>TRAVELERRECEIVED</v>
      </c>
      <c r="K242" t="str">
        <v>Shipped</v>
      </c>
      <c r="L242">
        <v>29977</v>
      </c>
    </row>
    <row r="243">
      <c r="A243">
        <v>715709</v>
      </c>
      <c r="B243" t="str">
        <v>06104725AA</v>
      </c>
      <c r="C243">
        <v>629</v>
      </c>
      <c r="E243">
        <v>1050</v>
      </c>
      <c r="F243">
        <v>99057</v>
      </c>
      <c r="G243">
        <v>192908</v>
      </c>
      <c r="H243" s="1">
        <v>46240</v>
      </c>
      <c r="I243" t="str">
        <v>TRAVELERRECEIVED</v>
      </c>
      <c r="K243" t="str">
        <v>Shipped</v>
      </c>
      <c r="L243">
        <v>29964</v>
      </c>
    </row>
    <row r="244">
      <c r="A244">
        <v>715710</v>
      </c>
      <c r="B244" t="str">
        <v>06104725AA</v>
      </c>
      <c r="C244">
        <v>561</v>
      </c>
      <c r="E244">
        <v>1072</v>
      </c>
      <c r="F244">
        <v>101132</v>
      </c>
      <c r="G244">
        <v>192908</v>
      </c>
      <c r="H244" s="1">
        <v>46240</v>
      </c>
      <c r="I244" t="str">
        <v>TRAVELERRECEIVED</v>
      </c>
      <c r="K244" t="str">
        <v>Shipped</v>
      </c>
      <c r="L244">
        <v>29961</v>
      </c>
    </row>
    <row r="245">
      <c r="A245">
        <v>715711</v>
      </c>
      <c r="B245" t="str">
        <v>06104725AA</v>
      </c>
      <c r="C245">
        <v>398</v>
      </c>
      <c r="E245">
        <v>1050</v>
      </c>
      <c r="F245">
        <v>99057</v>
      </c>
      <c r="G245">
        <v>192908</v>
      </c>
      <c r="H245" s="1">
        <v>46240</v>
      </c>
      <c r="I245" t="str">
        <v>TRAVELERRECEIVED</v>
      </c>
      <c r="K245" t="str">
        <v>Shipped</v>
      </c>
      <c r="L245">
        <v>29967</v>
      </c>
    </row>
    <row r="246">
      <c r="A246">
        <v>706394</v>
      </c>
      <c r="B246" t="str">
        <v>11612078-B</v>
      </c>
      <c r="C246">
        <v>1542</v>
      </c>
      <c r="D246" t="str">
        <v>MC74</v>
      </c>
      <c r="E246">
        <v>1373</v>
      </c>
      <c r="F246">
        <v>78000</v>
      </c>
      <c r="G246">
        <v>192933</v>
      </c>
      <c r="H246" s="1">
        <v>46240</v>
      </c>
      <c r="I246" t="str">
        <v>6-218-35-A</v>
      </c>
      <c r="K246">
        <f>IF(ISERROR(MATCH(WORKORDER[[#This Row],[TRAVELER]],Table1[TRAVELER],0)),K246,"Shipped")</f>
        <v>0</v>
      </c>
      <c r="L246">
        <f>+IF(ISERROR(MATCH(WORKORDER[[#This Row],[TRAVELER]],Table1[TRAVELER],0)),L246,'PACKING SLIP'!$F$5)</f>
        <v>0</v>
      </c>
    </row>
    <row r="247">
      <c r="A247">
        <v>708874</v>
      </c>
      <c r="B247" t="str">
        <v>11612078-B</v>
      </c>
      <c r="C247">
        <v>767</v>
      </c>
      <c r="E247">
        <v>1144</v>
      </c>
      <c r="F247">
        <v>65000</v>
      </c>
      <c r="G247">
        <v>192933</v>
      </c>
      <c r="H247" s="1">
        <v>46240</v>
      </c>
      <c r="I247" t="str">
        <v>6-217-32-B</v>
      </c>
      <c r="K247" t="str">
        <v>Shipped</v>
      </c>
      <c r="L247" t="str">
        <v>29801/30013</v>
      </c>
    </row>
    <row r="248">
      <c r="A248">
        <v>708877</v>
      </c>
      <c r="B248" t="str">
        <v>11612078-B</v>
      </c>
      <c r="C248">
        <v>1668</v>
      </c>
      <c r="D248" t="str">
        <v>MC74</v>
      </c>
      <c r="E248">
        <v>1373</v>
      </c>
      <c r="F248">
        <v>78000</v>
      </c>
      <c r="G248">
        <v>192933</v>
      </c>
      <c r="H248" s="1">
        <v>46240</v>
      </c>
      <c r="I248" t="str">
        <v>6-217-31-B</v>
      </c>
      <c r="K248" t="str">
        <v>Shipped</v>
      </c>
      <c r="L248" t="str">
        <v>29801/30040</v>
      </c>
    </row>
    <row r="249">
      <c r="A249">
        <v>709056</v>
      </c>
      <c r="B249" t="str">
        <v>11612078-B</v>
      </c>
      <c r="C249">
        <v>1614</v>
      </c>
      <c r="E249">
        <v>1214</v>
      </c>
      <c r="F249">
        <v>69000</v>
      </c>
      <c r="G249">
        <v>192933</v>
      </c>
      <c r="H249" s="1">
        <v>46240</v>
      </c>
      <c r="I249" t="str">
        <v>6-218-35-B</v>
      </c>
      <c r="K249" t="str">
        <v>Shipped</v>
      </c>
      <c r="L249" t="str">
        <v>29801/29988</v>
      </c>
    </row>
    <row r="250">
      <c r="A250">
        <v>709059</v>
      </c>
      <c r="B250" t="str">
        <v>11612078-B</v>
      </c>
      <c r="C250">
        <v>1440</v>
      </c>
      <c r="E250">
        <v>1302</v>
      </c>
      <c r="F250">
        <v>74000</v>
      </c>
      <c r="G250">
        <v>192933</v>
      </c>
      <c r="H250" s="1">
        <v>46240</v>
      </c>
      <c r="I250" t="str">
        <v>6-218-35-C</v>
      </c>
      <c r="K250" t="str">
        <v>Shipped</v>
      </c>
      <c r="L250" t="str">
        <v>29801/30024</v>
      </c>
    </row>
    <row r="251">
      <c r="A251">
        <v>712204</v>
      </c>
      <c r="B251" t="str">
        <v>06511799AA</v>
      </c>
      <c r="C251" t="str">
        <v>36 CTNS</v>
      </c>
      <c r="E251">
        <v>1077</v>
      </c>
      <c r="F251">
        <v>69935</v>
      </c>
      <c r="G251">
        <v>192933</v>
      </c>
      <c r="H251" s="1">
        <v>46240</v>
      </c>
      <c r="I251" t="str">
        <v>6-217-24-A</v>
      </c>
      <c r="K251" t="str">
        <v>Shipped</v>
      </c>
      <c r="L251">
        <v>29987</v>
      </c>
    </row>
    <row r="252">
      <c r="A252">
        <v>712839</v>
      </c>
      <c r="B252">
        <v>11548535</v>
      </c>
      <c r="C252">
        <v>610</v>
      </c>
      <c r="E252">
        <v>1019</v>
      </c>
      <c r="F252">
        <v>5095</v>
      </c>
      <c r="G252">
        <v>192933</v>
      </c>
      <c r="H252" s="1">
        <v>46240</v>
      </c>
      <c r="I252" t="str">
        <v>6-194-31-A</v>
      </c>
      <c r="K252" t="str">
        <v>Shipped</v>
      </c>
      <c r="L252">
        <v>29956</v>
      </c>
    </row>
    <row r="253">
      <c r="A253">
        <v>712840</v>
      </c>
      <c r="B253">
        <v>11548535</v>
      </c>
      <c r="C253">
        <v>757</v>
      </c>
      <c r="E253">
        <v>1156</v>
      </c>
      <c r="F253">
        <v>5780</v>
      </c>
      <c r="G253">
        <v>192933</v>
      </c>
      <c r="H253" s="1">
        <v>46240</v>
      </c>
      <c r="I253" t="str">
        <v>6-194-31-B</v>
      </c>
      <c r="K253" t="str">
        <v>Shipped</v>
      </c>
      <c r="L253">
        <v>29954</v>
      </c>
    </row>
    <row r="254">
      <c r="A254">
        <v>712889</v>
      </c>
      <c r="B254" t="str">
        <v>11612078-B</v>
      </c>
      <c r="C254">
        <v>15</v>
      </c>
      <c r="E254">
        <v>1320</v>
      </c>
      <c r="F254">
        <v>75000</v>
      </c>
      <c r="G254">
        <v>192933</v>
      </c>
      <c r="H254" s="1">
        <v>46240</v>
      </c>
      <c r="I254" t="str">
        <v>SORT&amp;RETURN</v>
      </c>
      <c r="K254">
        <f>IF(ISERROR(MATCH(WORKORDER[[#This Row],[TRAVELER]],Table1[TRAVELER],0)),K254,"Shipped")</f>
        <v>0</v>
      </c>
      <c r="L254">
        <f>+IF(ISERROR(MATCH(WORKORDER[[#This Row],[TRAVELER]],Table1[TRAVELER],0)),L254,'PACKING SLIP'!$F$5)</f>
        <v>0</v>
      </c>
    </row>
    <row r="255">
      <c r="A255">
        <v>712976</v>
      </c>
      <c r="B255" t="str">
        <v>06511799AA</v>
      </c>
      <c r="C255" t="str">
        <v>37CTNS</v>
      </c>
      <c r="E255">
        <v>818</v>
      </c>
      <c r="F255">
        <v>53117</v>
      </c>
      <c r="G255">
        <v>192933</v>
      </c>
      <c r="H255" s="1">
        <v>46240</v>
      </c>
      <c r="I255" t="str">
        <v>6-218-23-A</v>
      </c>
      <c r="K255" t="str">
        <v>Shipped</v>
      </c>
      <c r="L255">
        <v>29970</v>
      </c>
    </row>
    <row r="256">
      <c r="A256">
        <v>713989</v>
      </c>
      <c r="B256" t="str">
        <v>06502979-A</v>
      </c>
      <c r="C256">
        <v>675</v>
      </c>
      <c r="E256">
        <v>882</v>
      </c>
      <c r="F256">
        <v>22273</v>
      </c>
      <c r="G256">
        <v>192933</v>
      </c>
      <c r="H256" s="1">
        <v>46240</v>
      </c>
      <c r="I256" t="str">
        <v>6-216-43-B</v>
      </c>
      <c r="K256" t="str">
        <v>Shipped</v>
      </c>
      <c r="L256">
        <v>29961</v>
      </c>
    </row>
    <row r="257">
      <c r="A257">
        <v>713990</v>
      </c>
      <c r="B257" t="str">
        <v>06503825-A</v>
      </c>
      <c r="C257">
        <v>680</v>
      </c>
      <c r="E257">
        <v>1034</v>
      </c>
      <c r="F257">
        <v>79538</v>
      </c>
      <c r="G257">
        <v>192933</v>
      </c>
      <c r="H257" s="1">
        <v>46240</v>
      </c>
      <c r="I257" t="str">
        <v>6-218-20-A</v>
      </c>
      <c r="K257" t="str">
        <v>Shipped</v>
      </c>
      <c r="L257">
        <v>29956</v>
      </c>
    </row>
    <row r="258">
      <c r="A258">
        <v>713991</v>
      </c>
      <c r="B258" t="str">
        <v>06503825-A</v>
      </c>
      <c r="C258">
        <v>319</v>
      </c>
      <c r="E258">
        <v>1033</v>
      </c>
      <c r="F258">
        <v>79462</v>
      </c>
      <c r="G258">
        <v>192933</v>
      </c>
      <c r="H258" s="1">
        <v>46240</v>
      </c>
      <c r="I258" t="str">
        <v>6-218-20-B</v>
      </c>
      <c r="K258" t="str">
        <v>Shipped</v>
      </c>
      <c r="L258">
        <v>29964</v>
      </c>
    </row>
    <row r="259">
      <c r="A259">
        <v>713993</v>
      </c>
      <c r="B259" t="str">
        <v>06503825-A</v>
      </c>
      <c r="C259">
        <v>731</v>
      </c>
      <c r="E259">
        <v>958</v>
      </c>
      <c r="F259">
        <v>73692</v>
      </c>
      <c r="G259">
        <v>192933</v>
      </c>
      <c r="H259" s="1">
        <v>46240</v>
      </c>
      <c r="I259" t="str">
        <v>6-218-21-A</v>
      </c>
      <c r="K259" t="str">
        <v>Shipped</v>
      </c>
      <c r="L259">
        <v>29967</v>
      </c>
    </row>
    <row r="260">
      <c r="A260">
        <v>713994</v>
      </c>
      <c r="B260" t="str">
        <v>06503825-A</v>
      </c>
      <c r="C260">
        <v>565</v>
      </c>
      <c r="E260">
        <v>826</v>
      </c>
      <c r="F260">
        <v>63538</v>
      </c>
      <c r="G260">
        <v>192933</v>
      </c>
      <c r="H260" s="1">
        <v>46240</v>
      </c>
      <c r="I260" t="str">
        <v>6-218-21-B</v>
      </c>
      <c r="K260" t="str">
        <v>Shipped</v>
      </c>
      <c r="L260">
        <v>29961</v>
      </c>
    </row>
    <row r="261">
      <c r="A261">
        <v>713995</v>
      </c>
      <c r="B261" t="str">
        <v>06503825-A</v>
      </c>
      <c r="C261">
        <v>1331</v>
      </c>
      <c r="E261">
        <v>668</v>
      </c>
      <c r="F261">
        <v>51385</v>
      </c>
      <c r="G261">
        <v>192933</v>
      </c>
      <c r="H261" s="1">
        <v>46240</v>
      </c>
      <c r="I261" t="str">
        <v>6-218-21-C</v>
      </c>
      <c r="K261" t="str">
        <v>Shipped</v>
      </c>
      <c r="L261">
        <v>30006</v>
      </c>
    </row>
    <row r="262">
      <c r="A262">
        <v>714000</v>
      </c>
      <c r="B262" t="str">
        <v>06508711AA</v>
      </c>
      <c r="C262">
        <v>496</v>
      </c>
      <c r="E262">
        <v>1029</v>
      </c>
      <c r="F262">
        <v>19981</v>
      </c>
      <c r="G262">
        <v>192933</v>
      </c>
      <c r="H262" s="1">
        <v>46240</v>
      </c>
      <c r="I262" t="str">
        <v>6-216-39-A</v>
      </c>
      <c r="K262" t="str">
        <v>Shipped</v>
      </c>
      <c r="L262">
        <v>29954</v>
      </c>
    </row>
    <row r="263">
      <c r="A263">
        <v>714010</v>
      </c>
      <c r="B263" t="str">
        <v>06105051AA</v>
      </c>
      <c r="C263">
        <v>84</v>
      </c>
      <c r="E263">
        <v>776</v>
      </c>
      <c r="F263">
        <v>16581</v>
      </c>
      <c r="G263">
        <v>192933</v>
      </c>
      <c r="H263" s="1">
        <v>46240</v>
      </c>
      <c r="I263" t="str">
        <v>6-218-38-A</v>
      </c>
      <c r="K263" t="str">
        <v>Shipped</v>
      </c>
      <c r="L263">
        <v>29956</v>
      </c>
    </row>
    <row r="264">
      <c r="A264">
        <v>714011</v>
      </c>
      <c r="B264" t="str">
        <v>06105051AA</v>
      </c>
      <c r="C264">
        <v>1110</v>
      </c>
      <c r="E264">
        <v>725</v>
      </c>
      <c r="F264">
        <v>15491</v>
      </c>
      <c r="G264">
        <v>192933</v>
      </c>
      <c r="H264" s="1">
        <v>46240</v>
      </c>
      <c r="I264" t="str">
        <v>6-218-38-B</v>
      </c>
      <c r="K264" t="str">
        <v>Shipped</v>
      </c>
      <c r="L264">
        <v>29964</v>
      </c>
    </row>
    <row r="265">
      <c r="A265">
        <v>714200</v>
      </c>
      <c r="B265">
        <v>11610376</v>
      </c>
      <c r="C265">
        <v>1718</v>
      </c>
      <c r="E265">
        <v>1560</v>
      </c>
      <c r="F265">
        <v>40000</v>
      </c>
      <c r="G265">
        <v>192933</v>
      </c>
      <c r="H265" s="1">
        <v>46240</v>
      </c>
      <c r="I265" t="str">
        <v>6-218-24-A</v>
      </c>
      <c r="K265" t="str">
        <v>Shipped</v>
      </c>
      <c r="L265">
        <v>29956</v>
      </c>
    </row>
    <row r="266">
      <c r="A266">
        <v>714201</v>
      </c>
      <c r="B266">
        <v>11610376</v>
      </c>
      <c r="C266">
        <v>141</v>
      </c>
      <c r="E266">
        <v>1560</v>
      </c>
      <c r="F266">
        <v>40000</v>
      </c>
      <c r="G266">
        <v>192933</v>
      </c>
      <c r="H266" s="1">
        <v>46240</v>
      </c>
      <c r="I266" t="str">
        <v>6-218-24-B</v>
      </c>
      <c r="K266" t="str">
        <v>Shipped</v>
      </c>
      <c r="L266">
        <v>29970</v>
      </c>
    </row>
    <row r="267">
      <c r="A267">
        <v>714202</v>
      </c>
      <c r="B267">
        <v>11610376</v>
      </c>
      <c r="C267">
        <v>813</v>
      </c>
      <c r="E267">
        <v>780</v>
      </c>
      <c r="F267">
        <v>20000</v>
      </c>
      <c r="G267">
        <v>192933</v>
      </c>
      <c r="H267" s="1">
        <v>46240</v>
      </c>
      <c r="I267" t="str">
        <v>6-218-24-C</v>
      </c>
      <c r="K267" t="str">
        <v>Shipped</v>
      </c>
      <c r="L267">
        <v>29961</v>
      </c>
    </row>
    <row r="268">
      <c r="A268">
        <v>714203</v>
      </c>
      <c r="B268">
        <v>11610376</v>
      </c>
      <c r="C268">
        <v>1760</v>
      </c>
      <c r="E268">
        <v>1387</v>
      </c>
      <c r="F268">
        <v>35552</v>
      </c>
      <c r="G268">
        <v>192933</v>
      </c>
      <c r="H268" s="1">
        <v>46240</v>
      </c>
      <c r="I268" t="str">
        <v>6-218-24-D</v>
      </c>
      <c r="K268" t="str">
        <v>Shipped</v>
      </c>
      <c r="L268">
        <v>29956</v>
      </c>
    </row>
    <row r="269">
      <c r="A269">
        <v>714280</v>
      </c>
      <c r="B269">
        <v>11610376</v>
      </c>
      <c r="C269">
        <v>99</v>
      </c>
      <c r="E269">
        <v>780</v>
      </c>
      <c r="F269">
        <v>20000</v>
      </c>
      <c r="G269">
        <v>192933</v>
      </c>
      <c r="H269" s="1">
        <v>46240</v>
      </c>
      <c r="I269" t="str">
        <v>6-218-24-E</v>
      </c>
      <c r="K269" t="str">
        <v>Shipped</v>
      </c>
      <c r="L269">
        <v>29956</v>
      </c>
    </row>
    <row r="270">
      <c r="A270">
        <v>714281</v>
      </c>
      <c r="B270">
        <v>11610376</v>
      </c>
      <c r="C270">
        <v>1075</v>
      </c>
      <c r="E270">
        <v>780</v>
      </c>
      <c r="F270">
        <v>20000</v>
      </c>
      <c r="G270">
        <v>192933</v>
      </c>
      <c r="H270" s="1">
        <v>46240</v>
      </c>
      <c r="I270" t="str">
        <v>6-218-24-F</v>
      </c>
      <c r="K270" t="str">
        <v>Shipped</v>
      </c>
      <c r="L270">
        <v>29964</v>
      </c>
    </row>
    <row r="271">
      <c r="A271">
        <v>714558</v>
      </c>
      <c r="B271" t="str">
        <v>06509494AA</v>
      </c>
      <c r="C271">
        <v>1106</v>
      </c>
      <c r="E271">
        <v>1073</v>
      </c>
      <c r="F271">
        <v>27303</v>
      </c>
      <c r="G271">
        <v>192933</v>
      </c>
      <c r="H271" s="1">
        <v>46240</v>
      </c>
      <c r="I271" t="str">
        <v>6-218-40-A</v>
      </c>
      <c r="K271" t="str">
        <v>Shipped</v>
      </c>
      <c r="L271">
        <v>29956</v>
      </c>
    </row>
    <row r="272">
      <c r="A272">
        <v>714562</v>
      </c>
      <c r="B272" t="str">
        <v>06502979-A</v>
      </c>
      <c r="C272">
        <v>289</v>
      </c>
      <c r="E272">
        <v>794</v>
      </c>
      <c r="F272">
        <v>20051</v>
      </c>
      <c r="G272">
        <v>192933</v>
      </c>
      <c r="H272" s="1">
        <v>46240</v>
      </c>
      <c r="I272" t="str">
        <v>6-218-42-A</v>
      </c>
      <c r="K272" t="str">
        <v>Shipped</v>
      </c>
      <c r="L272">
        <v>29961</v>
      </c>
    </row>
    <row r="273">
      <c r="A273">
        <v>714563</v>
      </c>
      <c r="B273" t="str">
        <v>06502979-A</v>
      </c>
      <c r="C273">
        <v>47</v>
      </c>
      <c r="E273">
        <v>832</v>
      </c>
      <c r="F273">
        <v>21010</v>
      </c>
      <c r="G273">
        <v>192933</v>
      </c>
      <c r="H273" s="1">
        <v>46240</v>
      </c>
      <c r="I273" t="str">
        <v>6-218-42-B</v>
      </c>
      <c r="K273" t="str">
        <v>Shipped</v>
      </c>
      <c r="L273">
        <v>29964</v>
      </c>
    </row>
    <row r="274">
      <c r="A274">
        <v>714564</v>
      </c>
      <c r="B274" t="str">
        <v>06503825-A</v>
      </c>
      <c r="C274">
        <v>1447</v>
      </c>
      <c r="E274">
        <v>680</v>
      </c>
      <c r="F274">
        <v>52308</v>
      </c>
      <c r="G274">
        <v>192933</v>
      </c>
      <c r="H274" s="1">
        <v>46240</v>
      </c>
      <c r="I274" t="str">
        <v>6-218-19-A</v>
      </c>
      <c r="K274" t="str">
        <v>Shipped</v>
      </c>
      <c r="L274">
        <v>29964</v>
      </c>
    </row>
    <row r="275">
      <c r="A275">
        <v>714565</v>
      </c>
      <c r="B275" t="str">
        <v>06503825-A</v>
      </c>
      <c r="C275">
        <v>763</v>
      </c>
      <c r="E275">
        <v>830</v>
      </c>
      <c r="F275">
        <v>63846</v>
      </c>
      <c r="G275">
        <v>192933</v>
      </c>
      <c r="H275" s="1">
        <v>46240</v>
      </c>
      <c r="I275" t="str">
        <v>6-218-19-B</v>
      </c>
      <c r="K275" t="str">
        <v>Shipped</v>
      </c>
      <c r="L275">
        <v>29956</v>
      </c>
    </row>
    <row r="276">
      <c r="A276">
        <v>714566</v>
      </c>
      <c r="B276" t="str">
        <v>06503825-A</v>
      </c>
      <c r="C276">
        <v>901</v>
      </c>
      <c r="E276">
        <v>656</v>
      </c>
      <c r="F276">
        <v>50462</v>
      </c>
      <c r="G276">
        <v>192933</v>
      </c>
      <c r="H276" s="1">
        <v>46240</v>
      </c>
      <c r="I276" t="str">
        <v>6-218-19-C</v>
      </c>
      <c r="K276" t="str">
        <v>Shipped</v>
      </c>
      <c r="L276">
        <v>29956</v>
      </c>
    </row>
    <row r="277">
      <c r="A277">
        <v>714567</v>
      </c>
      <c r="B277" t="str">
        <v>06503825-A</v>
      </c>
      <c r="C277">
        <v>1580</v>
      </c>
      <c r="E277">
        <v>872</v>
      </c>
      <c r="F277">
        <v>67077</v>
      </c>
      <c r="G277">
        <v>192933</v>
      </c>
      <c r="H277" s="1">
        <v>46240</v>
      </c>
      <c r="I277" t="str">
        <v>6-218-19-D</v>
      </c>
      <c r="K277" t="str">
        <v>Shipped</v>
      </c>
      <c r="L277">
        <v>29956</v>
      </c>
    </row>
    <row r="278">
      <c r="A278">
        <v>714570</v>
      </c>
      <c r="B278" t="str">
        <v>06512349AA</v>
      </c>
      <c r="C278">
        <v>210</v>
      </c>
      <c r="E278">
        <v>533</v>
      </c>
      <c r="F278">
        <v>10967</v>
      </c>
      <c r="G278">
        <v>192933</v>
      </c>
      <c r="H278" s="1">
        <v>46240</v>
      </c>
      <c r="I278" t="str">
        <v>6-218-43-A</v>
      </c>
      <c r="K278" t="str">
        <v>Shipped</v>
      </c>
      <c r="L278">
        <v>29961</v>
      </c>
    </row>
    <row r="279">
      <c r="A279">
        <v>714571</v>
      </c>
      <c r="B279" t="str">
        <v>06512349AA</v>
      </c>
      <c r="C279">
        <v>1676</v>
      </c>
      <c r="E279">
        <v>380</v>
      </c>
      <c r="F279">
        <v>7819</v>
      </c>
      <c r="G279">
        <v>192933</v>
      </c>
      <c r="H279" s="1">
        <v>46240</v>
      </c>
      <c r="I279" t="str">
        <v>6-218-43-B</v>
      </c>
      <c r="K279" t="str">
        <v>Shipped</v>
      </c>
      <c r="L279">
        <v>29964</v>
      </c>
    </row>
    <row r="280">
      <c r="A280">
        <v>714572</v>
      </c>
      <c r="B280" t="str">
        <v>55364498AA</v>
      </c>
      <c r="C280">
        <v>170</v>
      </c>
      <c r="E280">
        <v>571</v>
      </c>
      <c r="F280">
        <v>10018</v>
      </c>
      <c r="G280">
        <v>192933</v>
      </c>
      <c r="H280" s="1">
        <v>46240</v>
      </c>
      <c r="I280" t="str">
        <v>6-218-39-A</v>
      </c>
      <c r="K280" t="str">
        <v>Shipped</v>
      </c>
      <c r="L280">
        <v>29961</v>
      </c>
    </row>
    <row r="281">
      <c r="A281">
        <v>714573</v>
      </c>
      <c r="B281" t="str">
        <v>55364498AA</v>
      </c>
      <c r="C281">
        <v>1053</v>
      </c>
      <c r="E281">
        <v>819</v>
      </c>
      <c r="F281">
        <v>14368</v>
      </c>
      <c r="G281">
        <v>192933</v>
      </c>
      <c r="H281" s="1">
        <v>46240</v>
      </c>
      <c r="I281" t="str">
        <v>6-218-39-B</v>
      </c>
      <c r="K281" t="str">
        <v>Shipped</v>
      </c>
      <c r="L281">
        <v>29961</v>
      </c>
    </row>
    <row r="282">
      <c r="A282">
        <v>715674</v>
      </c>
      <c r="B282">
        <v>61273</v>
      </c>
      <c r="C282">
        <v>896</v>
      </c>
      <c r="E282">
        <v>745</v>
      </c>
      <c r="F282">
        <v>7035</v>
      </c>
      <c r="G282">
        <v>192933</v>
      </c>
      <c r="H282" s="1">
        <v>46240</v>
      </c>
      <c r="I282" t="str">
        <v>6-218-37-A</v>
      </c>
      <c r="K282" t="str">
        <v>Shipped</v>
      </c>
      <c r="L282">
        <v>29954</v>
      </c>
    </row>
    <row r="283">
      <c r="A283">
        <v>715675</v>
      </c>
      <c r="B283">
        <v>61273</v>
      </c>
      <c r="C283">
        <v>418</v>
      </c>
      <c r="E283">
        <v>819</v>
      </c>
      <c r="F283">
        <v>7734</v>
      </c>
      <c r="G283">
        <v>192933</v>
      </c>
      <c r="H283" s="1">
        <v>46240</v>
      </c>
      <c r="I283" t="str">
        <v>6-218-37-B</v>
      </c>
      <c r="K283" t="str">
        <v>Shipped</v>
      </c>
      <c r="L283">
        <v>29956</v>
      </c>
    </row>
    <row r="284">
      <c r="A284">
        <v>714444</v>
      </c>
      <c r="B284" t="str">
        <v>11549171-MY-AK</v>
      </c>
      <c r="C284">
        <v>844</v>
      </c>
      <c r="E284">
        <v>1041</v>
      </c>
      <c r="F284">
        <v>9052</v>
      </c>
      <c r="G284">
        <v>192950</v>
      </c>
      <c r="H284" s="1">
        <v>46241</v>
      </c>
      <c r="I284" t="str">
        <v>TRAVELERRECEIVED</v>
      </c>
      <c r="K284" t="str">
        <v>Shipped</v>
      </c>
      <c r="L284">
        <v>29967</v>
      </c>
    </row>
    <row r="285">
      <c r="A285">
        <v>714445</v>
      </c>
      <c r="B285" t="str">
        <v>11549171-MY-AK</v>
      </c>
      <c r="C285">
        <v>1673</v>
      </c>
      <c r="E285">
        <v>1202</v>
      </c>
      <c r="F285">
        <v>10452</v>
      </c>
      <c r="G285">
        <v>192950</v>
      </c>
      <c r="H285" s="1">
        <v>46241</v>
      </c>
      <c r="I285" t="str">
        <v>TRAVELERRECEIVED</v>
      </c>
      <c r="K285" t="str">
        <v>Shipped</v>
      </c>
      <c r="L285">
        <v>29967</v>
      </c>
    </row>
    <row r="286">
      <c r="A286">
        <v>714450</v>
      </c>
      <c r="B286" t="str">
        <v>11549171-MY-AK</v>
      </c>
      <c r="C286">
        <v>1443</v>
      </c>
      <c r="E286">
        <v>1042</v>
      </c>
      <c r="F286">
        <v>9061</v>
      </c>
      <c r="G286">
        <v>192950</v>
      </c>
      <c r="H286" s="1">
        <v>46241</v>
      </c>
      <c r="I286" t="str">
        <v>TRAVELERRECEIVED</v>
      </c>
      <c r="K286" t="str">
        <v>Shipped</v>
      </c>
      <c r="L286">
        <v>29967</v>
      </c>
    </row>
    <row r="287">
      <c r="A287">
        <v>714451</v>
      </c>
      <c r="B287" t="str">
        <v>11549171-MY-AK</v>
      </c>
      <c r="C287">
        <v>1508</v>
      </c>
      <c r="E287">
        <v>1211</v>
      </c>
      <c r="F287">
        <v>10530</v>
      </c>
      <c r="G287">
        <v>192950</v>
      </c>
      <c r="H287" s="1">
        <v>46241</v>
      </c>
      <c r="I287" t="str">
        <v>TRAVELERRECEIVED</v>
      </c>
      <c r="K287" t="str">
        <v>Shipped</v>
      </c>
      <c r="L287">
        <v>29967</v>
      </c>
    </row>
    <row r="288">
      <c r="A288">
        <v>714452</v>
      </c>
      <c r="B288" t="str">
        <v>11549171-MY-AK</v>
      </c>
      <c r="C288">
        <v>392</v>
      </c>
      <c r="E288">
        <v>1081</v>
      </c>
      <c r="F288">
        <v>9400</v>
      </c>
      <c r="G288">
        <v>192950</v>
      </c>
      <c r="H288" s="1">
        <v>46241</v>
      </c>
      <c r="I288" t="str">
        <v>TRAVELERRECEIVED</v>
      </c>
      <c r="K288" t="str">
        <v>Shipped</v>
      </c>
      <c r="L288">
        <v>29972</v>
      </c>
    </row>
    <row r="289">
      <c r="A289">
        <v>714453</v>
      </c>
      <c r="B289" t="str">
        <v>11549171-MY-AK</v>
      </c>
      <c r="C289">
        <v>475</v>
      </c>
      <c r="E289">
        <v>1162</v>
      </c>
      <c r="F289">
        <v>10104</v>
      </c>
      <c r="G289">
        <v>192950</v>
      </c>
      <c r="H289" s="1">
        <v>46241</v>
      </c>
      <c r="I289" t="str">
        <v>TRAVELERRECEIVED</v>
      </c>
      <c r="K289" t="str">
        <v>Shipped</v>
      </c>
      <c r="L289">
        <v>29972</v>
      </c>
    </row>
    <row r="290">
      <c r="A290">
        <v>714454</v>
      </c>
      <c r="B290" t="str">
        <v>47336AE</v>
      </c>
      <c r="C290">
        <v>1430</v>
      </c>
      <c r="E290">
        <v>1087</v>
      </c>
      <c r="F290">
        <v>24372</v>
      </c>
      <c r="G290">
        <v>192950</v>
      </c>
      <c r="H290" s="1">
        <v>46241</v>
      </c>
      <c r="I290" t="str">
        <v>TRAVELERRECEIVED</v>
      </c>
      <c r="K290" t="str">
        <v>Shipped</v>
      </c>
      <c r="L290">
        <v>29970</v>
      </c>
    </row>
    <row r="291">
      <c r="A291">
        <v>714455</v>
      </c>
      <c r="B291" t="str">
        <v>47336AE</v>
      </c>
      <c r="C291">
        <v>82</v>
      </c>
      <c r="E291">
        <v>1060</v>
      </c>
      <c r="F291">
        <v>23767</v>
      </c>
      <c r="G291">
        <v>192950</v>
      </c>
      <c r="H291" s="1">
        <v>46241</v>
      </c>
      <c r="I291" t="str">
        <v>TRAVELERRECEIVED</v>
      </c>
      <c r="K291" t="str">
        <v>Shipped</v>
      </c>
      <c r="L291">
        <v>29970</v>
      </c>
    </row>
    <row r="292">
      <c r="A292">
        <v>715600</v>
      </c>
      <c r="B292" t="str">
        <v>06513904AA</v>
      </c>
      <c r="C292">
        <v>149</v>
      </c>
      <c r="E292">
        <v>987</v>
      </c>
      <c r="F292">
        <v>9950</v>
      </c>
      <c r="G292">
        <v>192950</v>
      </c>
      <c r="H292" s="1">
        <v>46241</v>
      </c>
      <c r="I292" t="str">
        <v>TRAVELERRECEIVED</v>
      </c>
      <c r="K292" t="str">
        <v>Shipped</v>
      </c>
      <c r="L292">
        <v>29970</v>
      </c>
    </row>
    <row r="293">
      <c r="A293">
        <v>715601</v>
      </c>
      <c r="B293" t="str">
        <v>06513904AA</v>
      </c>
      <c r="C293">
        <v>343</v>
      </c>
      <c r="E293">
        <v>1186</v>
      </c>
      <c r="F293">
        <v>11956</v>
      </c>
      <c r="G293">
        <v>192950</v>
      </c>
      <c r="H293" s="1">
        <v>46241</v>
      </c>
      <c r="I293" t="str">
        <v>TRAVELERRECEIVED</v>
      </c>
      <c r="K293" t="str">
        <v>Shipped</v>
      </c>
      <c r="L293">
        <v>29970</v>
      </c>
    </row>
    <row r="294">
      <c r="A294">
        <v>715840</v>
      </c>
      <c r="B294" t="str">
        <v>06510997AA</v>
      </c>
      <c r="C294">
        <v>1763</v>
      </c>
      <c r="E294">
        <v>684</v>
      </c>
      <c r="F294">
        <v>2280</v>
      </c>
      <c r="G294">
        <v>192950</v>
      </c>
      <c r="H294" s="1">
        <v>46241</v>
      </c>
      <c r="I294" t="str">
        <v>TRAVELERRECEIVED</v>
      </c>
      <c r="K294" t="str">
        <v>Shipped</v>
      </c>
      <c r="L294">
        <v>29967</v>
      </c>
    </row>
    <row r="295">
      <c r="A295">
        <v>715841</v>
      </c>
      <c r="B295" t="str">
        <v>06510997AA</v>
      </c>
      <c r="C295">
        <v>658</v>
      </c>
      <c r="E295">
        <v>689</v>
      </c>
      <c r="F295">
        <v>2297</v>
      </c>
      <c r="G295">
        <v>192950</v>
      </c>
      <c r="H295" s="1">
        <v>46241</v>
      </c>
      <c r="I295" t="str">
        <v>TRAVELERRECEIVED</v>
      </c>
      <c r="K295" t="str">
        <v>Shipped</v>
      </c>
      <c r="L295">
        <v>29967</v>
      </c>
    </row>
    <row r="296">
      <c r="A296">
        <v>715842</v>
      </c>
      <c r="B296" t="str">
        <v>06510997AA</v>
      </c>
      <c r="C296">
        <v>874</v>
      </c>
      <c r="E296">
        <v>660</v>
      </c>
      <c r="F296">
        <v>2200</v>
      </c>
      <c r="G296">
        <v>192950</v>
      </c>
      <c r="H296" s="1">
        <v>46241</v>
      </c>
      <c r="I296" t="str">
        <v>TRAVELERRECEIVED</v>
      </c>
      <c r="K296" t="str">
        <v>Shipped</v>
      </c>
      <c r="L296">
        <v>29967</v>
      </c>
    </row>
    <row r="297">
      <c r="A297">
        <v>715843</v>
      </c>
      <c r="B297" t="str">
        <v>06510997AA</v>
      </c>
      <c r="C297">
        <v>923</v>
      </c>
      <c r="D297" t="str">
        <v>TB</v>
      </c>
      <c r="E297">
        <v>698</v>
      </c>
      <c r="F297">
        <v>2327</v>
      </c>
      <c r="G297">
        <v>192950</v>
      </c>
      <c r="H297" s="1">
        <v>46241</v>
      </c>
      <c r="I297" t="str">
        <v>TRAVELERRECEIVED</v>
      </c>
      <c r="K297">
        <f>IF(ISERROR(MATCH(WORKORDER[[#This Row],[TRAVELER]],Table1[TRAVELER],0)),K297,"Shipped")</f>
        <v>0</v>
      </c>
      <c r="L297">
        <f>+IF(ISERROR(MATCH(WORKORDER[[#This Row],[TRAVELER]],Table1[TRAVELER],0)),L297,'PACKING SLIP'!$F$5)</f>
        <v>0</v>
      </c>
    </row>
    <row r="298">
      <c r="A298">
        <v>715844</v>
      </c>
      <c r="B298" t="str">
        <v>06510997AA</v>
      </c>
      <c r="C298">
        <v>1547</v>
      </c>
      <c r="E298">
        <v>641</v>
      </c>
      <c r="F298">
        <v>2137</v>
      </c>
      <c r="G298">
        <v>192950</v>
      </c>
      <c r="H298" s="1">
        <v>46241</v>
      </c>
      <c r="I298" t="str">
        <v>TRAVELERRECEIVED</v>
      </c>
      <c r="K298" t="str">
        <v>Shipped</v>
      </c>
      <c r="L298">
        <v>29967</v>
      </c>
    </row>
    <row r="299">
      <c r="A299">
        <v>715845</v>
      </c>
      <c r="B299" t="str">
        <v>06510997AA</v>
      </c>
      <c r="C299">
        <v>1695</v>
      </c>
      <c r="E299">
        <v>709</v>
      </c>
      <c r="F299">
        <v>2363</v>
      </c>
      <c r="G299">
        <v>192950</v>
      </c>
      <c r="H299" s="1">
        <v>46241</v>
      </c>
      <c r="I299" t="str">
        <v>TRAVELERRECEIVED</v>
      </c>
      <c r="K299" t="str">
        <v>Shipped</v>
      </c>
      <c r="L299">
        <v>29967</v>
      </c>
    </row>
    <row r="300">
      <c r="A300">
        <v>715872</v>
      </c>
      <c r="B300">
        <v>11549204</v>
      </c>
      <c r="C300">
        <v>1764</v>
      </c>
      <c r="E300">
        <v>1224</v>
      </c>
      <c r="F300">
        <v>8047</v>
      </c>
      <c r="G300">
        <v>192950</v>
      </c>
      <c r="H300" s="1">
        <v>46241</v>
      </c>
      <c r="I300" t="str">
        <v>TRAVELERRECEIVED</v>
      </c>
      <c r="K300" t="str">
        <v>Shipped</v>
      </c>
      <c r="L300">
        <v>29967</v>
      </c>
    </row>
    <row r="301">
      <c r="A301">
        <v>715873</v>
      </c>
      <c r="B301">
        <v>11549204</v>
      </c>
      <c r="C301">
        <v>387</v>
      </c>
      <c r="E301">
        <v>1099</v>
      </c>
      <c r="F301">
        <v>7226</v>
      </c>
      <c r="G301">
        <v>192950</v>
      </c>
      <c r="H301" s="1">
        <v>46241</v>
      </c>
      <c r="I301" t="str">
        <v>TRAVELERRECEIVED</v>
      </c>
      <c r="K301" t="str">
        <v>Shipped</v>
      </c>
      <c r="L301">
        <v>30006</v>
      </c>
    </row>
    <row r="302">
      <c r="A302">
        <v>715874</v>
      </c>
      <c r="B302">
        <v>11549204</v>
      </c>
      <c r="C302">
        <v>1551</v>
      </c>
      <c r="E302">
        <v>1110</v>
      </c>
      <c r="F302">
        <v>7298</v>
      </c>
      <c r="G302">
        <v>192950</v>
      </c>
      <c r="H302" s="1">
        <v>46241</v>
      </c>
      <c r="I302" t="str">
        <v>TRAVELERRECEIVED</v>
      </c>
      <c r="K302" t="str">
        <v>Shipped</v>
      </c>
      <c r="L302">
        <v>29970</v>
      </c>
    </row>
    <row r="303">
      <c r="A303">
        <v>715875</v>
      </c>
      <c r="B303">
        <v>11549204</v>
      </c>
      <c r="C303">
        <v>445</v>
      </c>
      <c r="E303">
        <v>1188</v>
      </c>
      <c r="F303">
        <v>7811</v>
      </c>
      <c r="G303">
        <v>192950</v>
      </c>
      <c r="H303" s="1">
        <v>46241</v>
      </c>
      <c r="I303" t="str">
        <v>TRAVELERRECEIVED</v>
      </c>
      <c r="K303" t="str">
        <v>Shipped</v>
      </c>
      <c r="L303">
        <v>29967</v>
      </c>
    </row>
    <row r="304">
      <c r="A304">
        <v>715876</v>
      </c>
      <c r="B304">
        <v>11549204</v>
      </c>
      <c r="C304">
        <v>333</v>
      </c>
      <c r="E304">
        <v>1189</v>
      </c>
      <c r="F304">
        <v>7817</v>
      </c>
      <c r="G304">
        <v>192950</v>
      </c>
      <c r="H304" s="1">
        <v>46241</v>
      </c>
      <c r="I304" t="str">
        <v>TRAVELERRECEIVED</v>
      </c>
      <c r="K304" t="str">
        <v>Shipped</v>
      </c>
      <c r="L304">
        <v>30006</v>
      </c>
    </row>
    <row r="305">
      <c r="A305">
        <v>715877</v>
      </c>
      <c r="B305">
        <v>11549204</v>
      </c>
      <c r="C305">
        <v>421</v>
      </c>
      <c r="E305">
        <v>1124</v>
      </c>
      <c r="F305">
        <v>7390</v>
      </c>
      <c r="G305">
        <v>192950</v>
      </c>
      <c r="H305" s="1">
        <v>46241</v>
      </c>
      <c r="I305" t="str">
        <v>TRAVELERRECEIVED</v>
      </c>
      <c r="K305" t="str">
        <v>Shipped</v>
      </c>
      <c r="L305">
        <v>29967</v>
      </c>
    </row>
    <row r="306">
      <c r="A306">
        <v>715878</v>
      </c>
      <c r="B306">
        <v>11549204</v>
      </c>
      <c r="C306">
        <v>687</v>
      </c>
      <c r="E306">
        <v>1230</v>
      </c>
      <c r="F306">
        <v>8087</v>
      </c>
      <c r="G306">
        <v>192950</v>
      </c>
      <c r="H306" s="1">
        <v>46241</v>
      </c>
      <c r="I306" t="str">
        <v>TRAVELERRECEIVED</v>
      </c>
      <c r="K306" t="str">
        <v>Shipped</v>
      </c>
      <c r="L306">
        <v>29967</v>
      </c>
    </row>
    <row r="307">
      <c r="A307">
        <v>715879</v>
      </c>
      <c r="B307">
        <v>11549204</v>
      </c>
      <c r="C307">
        <v>1558</v>
      </c>
      <c r="E307">
        <v>1067</v>
      </c>
      <c r="F307">
        <v>7015</v>
      </c>
      <c r="G307">
        <v>192950</v>
      </c>
      <c r="H307" s="1">
        <v>46241</v>
      </c>
      <c r="I307" t="str">
        <v>TRAVELERRECEIVED</v>
      </c>
      <c r="K307" t="str">
        <v>Shipped</v>
      </c>
      <c r="L307">
        <v>29967</v>
      </c>
    </row>
    <row r="308">
      <c r="A308">
        <v>715880</v>
      </c>
      <c r="B308">
        <v>11549204</v>
      </c>
      <c r="C308">
        <v>1833</v>
      </c>
      <c r="E308">
        <v>1250</v>
      </c>
      <c r="F308">
        <v>8218</v>
      </c>
      <c r="G308">
        <v>192950</v>
      </c>
      <c r="H308" s="1">
        <v>46241</v>
      </c>
      <c r="I308" t="str">
        <v>TRAVELERRECEIVED</v>
      </c>
      <c r="K308" t="str">
        <v>Shipped</v>
      </c>
      <c r="L308">
        <v>29972</v>
      </c>
    </row>
    <row r="309">
      <c r="A309">
        <v>715881</v>
      </c>
      <c r="B309">
        <v>11549204</v>
      </c>
      <c r="C309">
        <v>1834</v>
      </c>
      <c r="E309">
        <v>1110</v>
      </c>
      <c r="F309">
        <v>7298</v>
      </c>
      <c r="G309">
        <v>192950</v>
      </c>
      <c r="H309" s="1">
        <v>46241</v>
      </c>
      <c r="I309" t="str">
        <v>TRAVELERRECEIVED</v>
      </c>
      <c r="K309" t="str">
        <v>Shipped</v>
      </c>
      <c r="L309">
        <v>29967</v>
      </c>
    </row>
    <row r="310">
      <c r="A310">
        <v>715882</v>
      </c>
      <c r="B310">
        <v>11549204</v>
      </c>
      <c r="C310">
        <v>1827</v>
      </c>
      <c r="E310">
        <v>1226</v>
      </c>
      <c r="F310">
        <v>8060</v>
      </c>
      <c r="G310">
        <v>192950</v>
      </c>
      <c r="H310" s="1">
        <v>46241</v>
      </c>
      <c r="I310" t="str">
        <v>TRAVELERRECEIVED</v>
      </c>
      <c r="K310" t="str">
        <v>Shipped</v>
      </c>
      <c r="L310">
        <v>29970</v>
      </c>
    </row>
    <row r="311">
      <c r="A311">
        <v>715883</v>
      </c>
      <c r="B311">
        <v>11549204</v>
      </c>
      <c r="C311">
        <v>1828</v>
      </c>
      <c r="E311">
        <v>1136</v>
      </c>
      <c r="F311">
        <v>7469</v>
      </c>
      <c r="G311">
        <v>192950</v>
      </c>
      <c r="H311" s="1">
        <v>46241</v>
      </c>
      <c r="I311" t="str">
        <v>TRAVELERRECEIVED</v>
      </c>
      <c r="K311" t="str">
        <v>Shipped</v>
      </c>
      <c r="L311">
        <v>29972</v>
      </c>
    </row>
    <row r="312">
      <c r="A312">
        <v>715884</v>
      </c>
      <c r="B312">
        <v>11549204</v>
      </c>
      <c r="C312">
        <v>1577</v>
      </c>
      <c r="E312">
        <v>1259</v>
      </c>
      <c r="F312">
        <v>8277</v>
      </c>
      <c r="G312">
        <v>192950</v>
      </c>
      <c r="H312" s="1">
        <v>46241</v>
      </c>
      <c r="I312" t="str">
        <v>TRAVELERRECEIVED</v>
      </c>
      <c r="K312" t="str">
        <v>Shipped</v>
      </c>
      <c r="L312">
        <v>29970</v>
      </c>
    </row>
    <row r="313">
      <c r="A313">
        <v>715885</v>
      </c>
      <c r="B313">
        <v>11549204</v>
      </c>
      <c r="C313">
        <v>969</v>
      </c>
      <c r="E313">
        <v>1059</v>
      </c>
      <c r="F313">
        <v>6963</v>
      </c>
      <c r="G313">
        <v>192950</v>
      </c>
      <c r="H313" s="1">
        <v>46241</v>
      </c>
      <c r="I313" t="str">
        <v>TRAVELERRECEIVED</v>
      </c>
      <c r="K313" t="str">
        <v>Shipped</v>
      </c>
      <c r="L313">
        <v>29967</v>
      </c>
    </row>
    <row r="314">
      <c r="A314">
        <v>716202</v>
      </c>
      <c r="B314">
        <v>40161567</v>
      </c>
      <c r="C314">
        <v>186</v>
      </c>
      <c r="E314">
        <v>833</v>
      </c>
      <c r="F314">
        <v>5174</v>
      </c>
      <c r="G314">
        <v>192950</v>
      </c>
      <c r="H314" s="1">
        <v>46241</v>
      </c>
      <c r="I314" t="str">
        <v>TRAVELERRECEIVED</v>
      </c>
      <c r="K314" t="str">
        <v>Shipped</v>
      </c>
      <c r="L314">
        <v>29964</v>
      </c>
    </row>
    <row r="315">
      <c r="A315">
        <v>716203</v>
      </c>
      <c r="B315">
        <v>40161567</v>
      </c>
      <c r="C315">
        <v>938</v>
      </c>
      <c r="E315">
        <v>766</v>
      </c>
      <c r="F315">
        <v>4758</v>
      </c>
      <c r="G315">
        <v>192950</v>
      </c>
      <c r="H315" s="1">
        <v>46241</v>
      </c>
      <c r="I315" t="str">
        <v>TRAVELERRECEIVED</v>
      </c>
      <c r="K315" t="str">
        <v>Shipped</v>
      </c>
      <c r="L315">
        <v>29964</v>
      </c>
    </row>
    <row r="316">
      <c r="A316">
        <v>716204</v>
      </c>
      <c r="B316">
        <v>40161567</v>
      </c>
      <c r="C316">
        <v>153</v>
      </c>
      <c r="E316">
        <v>841</v>
      </c>
      <c r="F316">
        <v>5224</v>
      </c>
      <c r="G316">
        <v>192950</v>
      </c>
      <c r="H316" s="1">
        <v>46241</v>
      </c>
      <c r="I316" t="str">
        <v>TRAVELERRECEIVED</v>
      </c>
      <c r="K316" t="str">
        <v>Shipped</v>
      </c>
      <c r="L316">
        <v>29965</v>
      </c>
    </row>
    <row r="317">
      <c r="A317">
        <v>716205</v>
      </c>
      <c r="B317">
        <v>40161567</v>
      </c>
      <c r="C317">
        <v>1603</v>
      </c>
      <c r="E317">
        <v>779</v>
      </c>
      <c r="F317">
        <v>4839</v>
      </c>
      <c r="G317">
        <v>192950</v>
      </c>
      <c r="H317" s="1">
        <v>46241</v>
      </c>
      <c r="I317" t="str">
        <v>TRAVELERRECEIVED</v>
      </c>
      <c r="K317" t="str">
        <v>Shipped</v>
      </c>
      <c r="L317">
        <v>29965</v>
      </c>
    </row>
    <row r="318">
      <c r="A318">
        <v>716206</v>
      </c>
      <c r="B318">
        <v>40161567</v>
      </c>
      <c r="C318">
        <v>1653</v>
      </c>
      <c r="E318">
        <v>881</v>
      </c>
      <c r="F318">
        <v>5472</v>
      </c>
      <c r="G318">
        <v>192950</v>
      </c>
      <c r="H318" s="1">
        <v>46241</v>
      </c>
      <c r="I318" t="str">
        <v>TRAVELERRECEIVED</v>
      </c>
      <c r="K318" t="str">
        <v>Shipped</v>
      </c>
      <c r="L318">
        <v>29965</v>
      </c>
    </row>
    <row r="319">
      <c r="A319">
        <v>716207</v>
      </c>
      <c r="B319">
        <v>40161567</v>
      </c>
      <c r="C319">
        <v>20</v>
      </c>
      <c r="E319">
        <v>745</v>
      </c>
      <c r="F319">
        <v>4627</v>
      </c>
      <c r="G319">
        <v>192950</v>
      </c>
      <c r="H319" s="1">
        <v>46241</v>
      </c>
      <c r="I319" t="str">
        <v>TRAVELERRECEIVED</v>
      </c>
      <c r="K319" t="str">
        <v>Shipped</v>
      </c>
      <c r="L319">
        <v>29965</v>
      </c>
    </row>
    <row r="320">
      <c r="A320">
        <v>713266</v>
      </c>
      <c r="B320" t="str">
        <v>W711468-S437</v>
      </c>
      <c r="C320">
        <v>450</v>
      </c>
      <c r="E320">
        <v>968</v>
      </c>
      <c r="F320">
        <v>55954</v>
      </c>
      <c r="G320">
        <v>192954</v>
      </c>
      <c r="H320" s="1">
        <v>46241</v>
      </c>
      <c r="I320" t="str">
        <v>6-216-18-A</v>
      </c>
      <c r="K320" t="str">
        <v>Shipped</v>
      </c>
      <c r="L320">
        <v>29970</v>
      </c>
    </row>
    <row r="321">
      <c r="A321">
        <v>713269</v>
      </c>
      <c r="B321" t="str">
        <v>W711468-S437</v>
      </c>
      <c r="C321">
        <v>859</v>
      </c>
      <c r="E321">
        <v>914</v>
      </c>
      <c r="F321">
        <v>52832</v>
      </c>
      <c r="G321">
        <v>192954</v>
      </c>
      <c r="H321" s="1">
        <v>46241</v>
      </c>
      <c r="I321" t="str">
        <v>6-216-18-B</v>
      </c>
      <c r="K321" t="str">
        <v>Shipped</v>
      </c>
      <c r="L321">
        <v>29964</v>
      </c>
    </row>
    <row r="322">
      <c r="A322">
        <v>713300</v>
      </c>
      <c r="B322">
        <v>91058</v>
      </c>
      <c r="C322">
        <v>262</v>
      </c>
      <c r="E322">
        <v>1084</v>
      </c>
      <c r="F322">
        <v>40448</v>
      </c>
      <c r="G322">
        <v>192954</v>
      </c>
      <c r="H322" s="1">
        <v>46241</v>
      </c>
      <c r="I322" t="str">
        <v>6-219-18-A</v>
      </c>
      <c r="K322" t="str">
        <v>Shipped</v>
      </c>
      <c r="L322">
        <v>29972</v>
      </c>
    </row>
    <row r="323">
      <c r="A323">
        <v>713301</v>
      </c>
      <c r="B323">
        <v>91058</v>
      </c>
      <c r="C323">
        <v>304</v>
      </c>
      <c r="E323">
        <v>1216</v>
      </c>
      <c r="F323">
        <v>45373</v>
      </c>
      <c r="G323">
        <v>192954</v>
      </c>
      <c r="H323" s="1">
        <v>46241</v>
      </c>
      <c r="I323" t="str">
        <v>6-219-18-B</v>
      </c>
      <c r="K323" t="str">
        <v>Shipped</v>
      </c>
      <c r="L323">
        <v>29974</v>
      </c>
    </row>
    <row r="324">
      <c r="A324">
        <v>713988</v>
      </c>
      <c r="B324" t="str">
        <v>06502979-A</v>
      </c>
      <c r="C324">
        <v>1633</v>
      </c>
      <c r="E324">
        <v>745</v>
      </c>
      <c r="F324">
        <v>18813</v>
      </c>
      <c r="G324">
        <v>192954</v>
      </c>
      <c r="H324" s="1">
        <v>46241</v>
      </c>
      <c r="I324" t="str">
        <v>6-216-43-A</v>
      </c>
      <c r="K324" t="str">
        <v>Shipped</v>
      </c>
      <c r="L324">
        <v>29964</v>
      </c>
    </row>
    <row r="325">
      <c r="A325">
        <v>714009</v>
      </c>
      <c r="B325" t="str">
        <v>F1302AB</v>
      </c>
      <c r="C325">
        <v>1618</v>
      </c>
      <c r="E325">
        <v>912</v>
      </c>
      <c r="F325">
        <v>29515</v>
      </c>
      <c r="G325">
        <v>192954</v>
      </c>
      <c r="H325" s="1">
        <v>46241</v>
      </c>
      <c r="I325" t="str">
        <v>6-219-19-A</v>
      </c>
      <c r="K325" t="str">
        <v>Shipped</v>
      </c>
      <c r="L325">
        <v>29961</v>
      </c>
    </row>
    <row r="326">
      <c r="A326">
        <v>714012</v>
      </c>
      <c r="B326" t="str">
        <v>06514720AA</v>
      </c>
      <c r="C326">
        <v>436</v>
      </c>
      <c r="E326">
        <v>973</v>
      </c>
      <c r="F326">
        <v>44027</v>
      </c>
      <c r="G326">
        <v>192954</v>
      </c>
      <c r="H326" s="1">
        <v>46241</v>
      </c>
      <c r="I326" t="str">
        <v>6-217-19-A</v>
      </c>
      <c r="K326" t="str">
        <v>Shipped</v>
      </c>
      <c r="L326">
        <v>29961</v>
      </c>
    </row>
    <row r="327">
      <c r="A327">
        <v>714013</v>
      </c>
      <c r="B327" t="str">
        <v>06514720AA</v>
      </c>
      <c r="C327">
        <v>673</v>
      </c>
      <c r="E327">
        <v>800</v>
      </c>
      <c r="F327">
        <v>39199</v>
      </c>
      <c r="G327">
        <v>192954</v>
      </c>
      <c r="H327" s="1">
        <v>46241</v>
      </c>
      <c r="I327" t="str">
        <v>6-217-19-B</v>
      </c>
      <c r="K327" t="str">
        <v>Shipped</v>
      </c>
      <c r="L327">
        <v>29964</v>
      </c>
    </row>
    <row r="328">
      <c r="A328">
        <v>714074</v>
      </c>
      <c r="B328" t="str">
        <v>F1302AB</v>
      </c>
      <c r="C328">
        <v>932</v>
      </c>
      <c r="E328">
        <v>934</v>
      </c>
      <c r="F328">
        <v>30227</v>
      </c>
      <c r="G328">
        <v>192954</v>
      </c>
      <c r="H328" s="1">
        <v>46241</v>
      </c>
      <c r="I328" t="str">
        <v>6-219-19-B</v>
      </c>
      <c r="K328" t="str">
        <v>Shipped</v>
      </c>
      <c r="L328">
        <v>29961</v>
      </c>
    </row>
    <row r="329">
      <c r="A329">
        <v>714590</v>
      </c>
      <c r="B329" t="str">
        <v>11609789-IN-MR</v>
      </c>
      <c r="C329">
        <v>976</v>
      </c>
      <c r="E329">
        <v>543</v>
      </c>
      <c r="F329">
        <v>50748</v>
      </c>
      <c r="G329">
        <v>192954</v>
      </c>
      <c r="H329" s="1">
        <v>46241</v>
      </c>
      <c r="I329" t="str">
        <v>6-218-36-A</v>
      </c>
      <c r="K329" t="str">
        <v>Shipped</v>
      </c>
      <c r="L329">
        <v>29964</v>
      </c>
    </row>
    <row r="330">
      <c r="A330">
        <v>714708</v>
      </c>
      <c r="B330" t="str">
        <v>N620483-S2</v>
      </c>
      <c r="C330">
        <v>1687</v>
      </c>
      <c r="E330">
        <v>1230</v>
      </c>
      <c r="F330">
        <v>23251</v>
      </c>
      <c r="G330">
        <v>192954</v>
      </c>
      <c r="H330" s="1">
        <v>46241</v>
      </c>
      <c r="I330" t="str">
        <v>6-218-44-A</v>
      </c>
      <c r="K330" t="str">
        <v>Shipped</v>
      </c>
      <c r="L330">
        <v>29967</v>
      </c>
    </row>
    <row r="331">
      <c r="A331">
        <v>714709</v>
      </c>
      <c r="B331" t="str">
        <v>N620483-S2</v>
      </c>
      <c r="C331">
        <v>851</v>
      </c>
      <c r="E331">
        <v>1144</v>
      </c>
      <c r="F331">
        <v>21626</v>
      </c>
      <c r="G331">
        <v>192954</v>
      </c>
      <c r="H331" s="1">
        <v>46241</v>
      </c>
      <c r="I331" t="str">
        <v>6-218-44-B</v>
      </c>
      <c r="K331" t="str">
        <v>Shipped</v>
      </c>
      <c r="L331">
        <v>29970</v>
      </c>
    </row>
    <row r="332">
      <c r="A332">
        <v>714194</v>
      </c>
      <c r="B332" t="str">
        <v>11546367-MY-AK</v>
      </c>
      <c r="C332">
        <v>441</v>
      </c>
      <c r="E332">
        <v>1117</v>
      </c>
      <c r="F332">
        <v>24022</v>
      </c>
      <c r="G332">
        <v>192978</v>
      </c>
      <c r="H332" s="1">
        <v>46244</v>
      </c>
      <c r="I332" t="str">
        <v>TRAVELERRECEIVED</v>
      </c>
      <c r="K332" t="str">
        <v>Shipped</v>
      </c>
      <c r="L332">
        <v>29977</v>
      </c>
    </row>
    <row r="333">
      <c r="A333">
        <v>714195</v>
      </c>
      <c r="B333" t="str">
        <v>11546367-MY-AK</v>
      </c>
      <c r="C333">
        <v>944</v>
      </c>
      <c r="E333">
        <v>1205</v>
      </c>
      <c r="F333">
        <v>25914</v>
      </c>
      <c r="G333">
        <v>192978</v>
      </c>
      <c r="H333" s="1">
        <v>46244</v>
      </c>
      <c r="I333" t="str">
        <v>TRAVELERRECEIVED</v>
      </c>
      <c r="K333" t="str">
        <v>Shipped</v>
      </c>
      <c r="L333">
        <v>29972</v>
      </c>
    </row>
    <row r="334">
      <c r="A334">
        <v>714196</v>
      </c>
      <c r="B334" t="str">
        <v>11546367-MY-AK</v>
      </c>
      <c r="C334">
        <v>295</v>
      </c>
      <c r="E334">
        <v>1194</v>
      </c>
      <c r="F334">
        <v>25677</v>
      </c>
      <c r="G334">
        <v>192978</v>
      </c>
      <c r="H334" s="1">
        <v>46244</v>
      </c>
      <c r="I334" t="str">
        <v>TRAVELERRECEIVED</v>
      </c>
      <c r="K334" t="str">
        <v>Shipped</v>
      </c>
      <c r="L334">
        <v>29987</v>
      </c>
    </row>
    <row r="335">
      <c r="A335">
        <v>714197</v>
      </c>
      <c r="B335" t="str">
        <v>11546367-MY-AK</v>
      </c>
      <c r="C335">
        <v>48</v>
      </c>
      <c r="E335">
        <v>1110</v>
      </c>
      <c r="F335">
        <v>23871</v>
      </c>
      <c r="G335">
        <v>192978</v>
      </c>
      <c r="H335" s="1">
        <v>46244</v>
      </c>
      <c r="I335" t="str">
        <v>TRAVELERRECEIVED</v>
      </c>
      <c r="K335" t="str">
        <v>Shipped</v>
      </c>
      <c r="L335">
        <v>29974</v>
      </c>
    </row>
    <row r="336">
      <c r="A336">
        <v>714198</v>
      </c>
      <c r="B336" t="str">
        <v>11546367-MY-AK</v>
      </c>
      <c r="C336">
        <v>458</v>
      </c>
      <c r="E336">
        <v>1150</v>
      </c>
      <c r="F336">
        <v>24731</v>
      </c>
      <c r="G336">
        <v>192978</v>
      </c>
      <c r="H336" s="1">
        <v>46244</v>
      </c>
      <c r="I336" t="str">
        <v>TRAVELERRECEIVED</v>
      </c>
      <c r="K336" t="str">
        <v>Shipped</v>
      </c>
      <c r="L336">
        <v>29979</v>
      </c>
    </row>
    <row r="337">
      <c r="A337">
        <v>714199</v>
      </c>
      <c r="B337" t="str">
        <v>11546367-MY-AK</v>
      </c>
      <c r="C337">
        <v>897</v>
      </c>
      <c r="E337">
        <v>1132</v>
      </c>
      <c r="F337">
        <v>24344</v>
      </c>
      <c r="G337">
        <v>192978</v>
      </c>
      <c r="H337" s="1">
        <v>46244</v>
      </c>
      <c r="I337" t="str">
        <v>TRAVELERRECEIVED</v>
      </c>
      <c r="K337" t="str">
        <v>Shipped</v>
      </c>
      <c r="L337">
        <v>29979</v>
      </c>
    </row>
    <row r="338">
      <c r="A338">
        <v>715684</v>
      </c>
      <c r="B338" t="str">
        <v>06105049AA</v>
      </c>
      <c r="C338" t="str">
        <v>KIB</v>
      </c>
      <c r="E338">
        <v>1468</v>
      </c>
      <c r="F338">
        <v>40000</v>
      </c>
      <c r="G338">
        <v>192978</v>
      </c>
      <c r="H338" s="1">
        <v>46244</v>
      </c>
      <c r="I338" t="str">
        <v>TRAVELERRECEIVED</v>
      </c>
      <c r="K338" t="str">
        <v>Shipped</v>
      </c>
      <c r="L338">
        <v>29970</v>
      </c>
    </row>
    <row r="339">
      <c r="A339">
        <v>715685</v>
      </c>
      <c r="B339" t="str">
        <v>06105049AA</v>
      </c>
      <c r="C339" t="str">
        <v>KIB</v>
      </c>
      <c r="E339">
        <v>1468</v>
      </c>
      <c r="F339">
        <v>40000</v>
      </c>
      <c r="G339">
        <v>192978</v>
      </c>
      <c r="H339" s="1">
        <v>46244</v>
      </c>
      <c r="I339" t="str">
        <v>SPLIT FROM TR#715684</v>
      </c>
      <c r="K339" t="str">
        <v>Shipped</v>
      </c>
      <c r="L339">
        <v>29974</v>
      </c>
    </row>
    <row r="340">
      <c r="A340">
        <v>715990</v>
      </c>
      <c r="B340" t="str">
        <v>W520414-S440</v>
      </c>
      <c r="C340">
        <v>1402</v>
      </c>
      <c r="E340">
        <v>879</v>
      </c>
      <c r="F340">
        <v>33678</v>
      </c>
      <c r="G340">
        <v>192978</v>
      </c>
      <c r="H340" s="1">
        <v>46244</v>
      </c>
      <c r="I340" t="str">
        <v>TRAVELERRECEIVED</v>
      </c>
      <c r="K340" t="str">
        <v>Shipped</v>
      </c>
      <c r="L340">
        <v>29972</v>
      </c>
    </row>
    <row r="341">
      <c r="A341">
        <v>715991</v>
      </c>
      <c r="B341" t="str">
        <v>W520414-S440</v>
      </c>
      <c r="C341">
        <v>662</v>
      </c>
      <c r="E341">
        <v>1068</v>
      </c>
      <c r="F341">
        <v>40920</v>
      </c>
      <c r="G341">
        <v>192978</v>
      </c>
      <c r="H341" s="1">
        <v>46244</v>
      </c>
      <c r="I341" t="str">
        <v>TRAVELERRECEIVED</v>
      </c>
      <c r="K341" t="str">
        <v>Shipped</v>
      </c>
      <c r="L341">
        <v>29972</v>
      </c>
    </row>
    <row r="342">
      <c r="A342">
        <v>716074</v>
      </c>
      <c r="B342" t="str">
        <v>11546437-MY-AK</v>
      </c>
      <c r="C342">
        <v>794</v>
      </c>
      <c r="E342">
        <v>1155</v>
      </c>
      <c r="F342">
        <v>88846</v>
      </c>
      <c r="G342">
        <v>192978</v>
      </c>
      <c r="H342" s="1">
        <v>46244</v>
      </c>
      <c r="I342" t="str">
        <v>TRAVELERRECEIVED</v>
      </c>
      <c r="K342" t="str">
        <v>Shipped</v>
      </c>
      <c r="L342">
        <v>29998</v>
      </c>
    </row>
    <row r="343">
      <c r="A343">
        <v>716075</v>
      </c>
      <c r="B343" t="str">
        <v>11546437-MY-AK</v>
      </c>
      <c r="C343">
        <v>1848</v>
      </c>
      <c r="E343">
        <v>1103</v>
      </c>
      <c r="F343">
        <v>84846</v>
      </c>
      <c r="G343">
        <v>192978</v>
      </c>
      <c r="H343" s="1">
        <v>46244</v>
      </c>
      <c r="I343" t="str">
        <v>TRAVELERRECEIVED</v>
      </c>
      <c r="K343" t="str">
        <v>Shipped</v>
      </c>
      <c r="L343">
        <v>29977</v>
      </c>
    </row>
    <row r="344">
      <c r="A344">
        <v>716076</v>
      </c>
      <c r="B344" t="str">
        <v>11546437-MY-AK</v>
      </c>
      <c r="C344">
        <v>1038</v>
      </c>
      <c r="E344">
        <v>1076</v>
      </c>
      <c r="F344">
        <v>82769</v>
      </c>
      <c r="G344">
        <v>192978</v>
      </c>
      <c r="H344" s="1">
        <v>46244</v>
      </c>
      <c r="I344" t="str">
        <v>TRAVELERRECEIVED</v>
      </c>
      <c r="K344" t="str">
        <v>Shipped</v>
      </c>
      <c r="L344">
        <v>29977</v>
      </c>
    </row>
    <row r="345">
      <c r="A345">
        <v>716077</v>
      </c>
      <c r="B345" t="str">
        <v>11546437-MY-AK</v>
      </c>
      <c r="C345">
        <v>154</v>
      </c>
      <c r="E345">
        <v>1136</v>
      </c>
      <c r="F345">
        <v>87385</v>
      </c>
      <c r="G345">
        <v>192978</v>
      </c>
      <c r="H345" s="1">
        <v>46244</v>
      </c>
      <c r="I345" t="str">
        <v>TRAVELERRECEIVED</v>
      </c>
      <c r="K345" t="str">
        <v>Shipped</v>
      </c>
      <c r="L345">
        <v>29988</v>
      </c>
    </row>
    <row r="346">
      <c r="A346">
        <v>716078</v>
      </c>
      <c r="B346" t="str">
        <v>11546437-MY-AK</v>
      </c>
      <c r="C346">
        <v>1838</v>
      </c>
      <c r="E346">
        <v>1084</v>
      </c>
      <c r="F346">
        <v>83385</v>
      </c>
      <c r="G346">
        <v>192978</v>
      </c>
      <c r="H346" s="1">
        <v>46244</v>
      </c>
      <c r="I346" t="str">
        <v>TRAVELERRECEIVED</v>
      </c>
      <c r="K346" t="str">
        <v>Shipped</v>
      </c>
      <c r="L346">
        <v>29991</v>
      </c>
    </row>
    <row r="347">
      <c r="A347">
        <v>716079</v>
      </c>
      <c r="B347" t="str">
        <v>11546437-MY-AK</v>
      </c>
      <c r="C347">
        <v>555</v>
      </c>
      <c r="E347">
        <v>1165</v>
      </c>
      <c r="F347">
        <v>89615</v>
      </c>
      <c r="G347">
        <v>192978</v>
      </c>
      <c r="H347" s="1">
        <v>46244</v>
      </c>
      <c r="I347" t="str">
        <v>TRAVELERRECEIVED</v>
      </c>
      <c r="K347" t="str">
        <v>Shipped</v>
      </c>
      <c r="L347">
        <v>29979</v>
      </c>
    </row>
    <row r="348">
      <c r="A348">
        <v>716156</v>
      </c>
      <c r="B348" t="str">
        <v>11546437-MY-AK</v>
      </c>
      <c r="C348">
        <v>1305</v>
      </c>
      <c r="E348">
        <v>1114</v>
      </c>
      <c r="F348">
        <v>85692</v>
      </c>
      <c r="G348">
        <v>192978</v>
      </c>
      <c r="H348" s="1">
        <v>46244</v>
      </c>
      <c r="I348" t="str">
        <v>TRAVELERRECEIVED</v>
      </c>
      <c r="K348" t="str">
        <v>Shipped</v>
      </c>
      <c r="L348">
        <v>29979</v>
      </c>
    </row>
    <row r="349">
      <c r="A349">
        <v>716157</v>
      </c>
      <c r="B349" t="str">
        <v>11546437-MY-AK</v>
      </c>
      <c r="C349">
        <v>5</v>
      </c>
      <c r="E349">
        <v>1360</v>
      </c>
      <c r="F349">
        <v>104615</v>
      </c>
      <c r="G349">
        <v>192978</v>
      </c>
      <c r="H349" s="1">
        <v>46244</v>
      </c>
      <c r="I349" t="str">
        <v>TRAVELERRECEIVED</v>
      </c>
      <c r="K349" t="str">
        <v>Shipped</v>
      </c>
      <c r="L349">
        <v>29977</v>
      </c>
    </row>
    <row r="350">
      <c r="A350">
        <v>716158</v>
      </c>
      <c r="B350" t="str">
        <v>11546437-MY-AK</v>
      </c>
      <c r="C350">
        <v>873</v>
      </c>
      <c r="E350">
        <v>1070</v>
      </c>
      <c r="F350">
        <v>82308</v>
      </c>
      <c r="G350">
        <v>192978</v>
      </c>
      <c r="H350" s="1">
        <v>46244</v>
      </c>
      <c r="I350" t="str">
        <v>TRAVELERRECEIVED</v>
      </c>
      <c r="K350" t="str">
        <v>Shipped</v>
      </c>
      <c r="L350">
        <v>29979</v>
      </c>
    </row>
    <row r="351">
      <c r="A351">
        <v>716159</v>
      </c>
      <c r="B351" t="str">
        <v>11546437-MY-AK</v>
      </c>
      <c r="C351">
        <v>1510</v>
      </c>
      <c r="E351">
        <v>1412</v>
      </c>
      <c r="F351">
        <v>108615</v>
      </c>
      <c r="G351">
        <v>192978</v>
      </c>
      <c r="H351" s="1">
        <v>46244</v>
      </c>
      <c r="I351" t="str">
        <v>TRAVELERRECEIVED</v>
      </c>
      <c r="K351" t="str">
        <v>Shipped</v>
      </c>
      <c r="L351">
        <v>29994</v>
      </c>
    </row>
    <row r="352">
      <c r="A352">
        <v>716160</v>
      </c>
      <c r="B352" t="str">
        <v>11546437-MY-AK</v>
      </c>
      <c r="C352">
        <v>1811</v>
      </c>
      <c r="E352">
        <v>1123</v>
      </c>
      <c r="F352">
        <v>86385</v>
      </c>
      <c r="G352">
        <v>192978</v>
      </c>
      <c r="H352" s="1">
        <v>46244</v>
      </c>
      <c r="I352" t="str">
        <v>TRAVELERRECEIVED</v>
      </c>
      <c r="K352" t="str">
        <v>Shipped</v>
      </c>
      <c r="L352">
        <v>29988</v>
      </c>
    </row>
    <row r="353">
      <c r="A353">
        <v>716161</v>
      </c>
      <c r="B353" t="str">
        <v>11546437-MY-AK</v>
      </c>
      <c r="C353">
        <v>1835</v>
      </c>
      <c r="E353">
        <v>1123</v>
      </c>
      <c r="F353">
        <v>86385</v>
      </c>
      <c r="G353">
        <v>192978</v>
      </c>
      <c r="H353" s="1">
        <v>46244</v>
      </c>
      <c r="I353" t="str">
        <v>TRAVELERRECEIVED</v>
      </c>
      <c r="K353" t="str">
        <v>Shipped</v>
      </c>
      <c r="L353">
        <v>29994</v>
      </c>
    </row>
    <row r="354">
      <c r="A354">
        <v>716166</v>
      </c>
      <c r="B354">
        <v>11548414</v>
      </c>
      <c r="C354">
        <v>878</v>
      </c>
      <c r="E354">
        <v>1135</v>
      </c>
      <c r="F354">
        <v>17597</v>
      </c>
      <c r="G354">
        <v>192978</v>
      </c>
      <c r="H354" s="1">
        <v>46244</v>
      </c>
      <c r="I354" t="str">
        <v>TRAVELERRECEIVED</v>
      </c>
      <c r="K354" t="str">
        <v>Shipped</v>
      </c>
      <c r="L354">
        <v>29972</v>
      </c>
    </row>
    <row r="355">
      <c r="A355">
        <v>716167</v>
      </c>
      <c r="B355">
        <v>11548414</v>
      </c>
      <c r="C355">
        <v>108</v>
      </c>
      <c r="E355">
        <v>1084</v>
      </c>
      <c r="F355">
        <v>16806</v>
      </c>
      <c r="G355">
        <v>192978</v>
      </c>
      <c r="H355" s="1">
        <v>46244</v>
      </c>
      <c r="I355" t="str">
        <v>TRAVELERRECEIVED</v>
      </c>
      <c r="K355" t="str">
        <v>Shipped</v>
      </c>
      <c r="L355">
        <v>29972</v>
      </c>
    </row>
    <row r="356">
      <c r="A356">
        <v>716168</v>
      </c>
      <c r="B356">
        <v>11548414</v>
      </c>
      <c r="C356">
        <v>1409</v>
      </c>
      <c r="E356">
        <v>1137</v>
      </c>
      <c r="F356">
        <v>17628</v>
      </c>
      <c r="G356">
        <v>192978</v>
      </c>
      <c r="H356" s="1">
        <v>46244</v>
      </c>
      <c r="I356" t="str">
        <v>TRAVELERRECEIVED</v>
      </c>
      <c r="K356" t="str">
        <v>Shipped</v>
      </c>
      <c r="L356">
        <v>29991</v>
      </c>
    </row>
    <row r="357">
      <c r="A357">
        <v>716169</v>
      </c>
      <c r="B357">
        <v>11548414</v>
      </c>
      <c r="C357">
        <v>1539</v>
      </c>
      <c r="E357">
        <v>1065</v>
      </c>
      <c r="F357">
        <v>16512</v>
      </c>
      <c r="G357">
        <v>192978</v>
      </c>
      <c r="H357" s="1">
        <v>46244</v>
      </c>
      <c r="I357" t="str">
        <v>TRAVELERRECEIVED</v>
      </c>
      <c r="K357" t="str">
        <v>Shipped</v>
      </c>
      <c r="L357">
        <v>29972</v>
      </c>
    </row>
    <row r="358">
      <c r="A358">
        <v>716170</v>
      </c>
      <c r="B358">
        <v>11546463</v>
      </c>
      <c r="C358">
        <v>233</v>
      </c>
      <c r="E358">
        <v>1036</v>
      </c>
      <c r="F358">
        <v>16037</v>
      </c>
      <c r="G358">
        <v>192978</v>
      </c>
      <c r="H358" s="1">
        <v>46244</v>
      </c>
      <c r="I358" t="str">
        <v>TRAVELERRECEIVED</v>
      </c>
      <c r="K358" t="str">
        <v>Shipped</v>
      </c>
      <c r="L358">
        <v>29977</v>
      </c>
    </row>
    <row r="359">
      <c r="A359">
        <v>716171</v>
      </c>
      <c r="B359">
        <v>11546463</v>
      </c>
      <c r="C359">
        <v>584</v>
      </c>
      <c r="E359">
        <v>935</v>
      </c>
      <c r="F359">
        <v>14474</v>
      </c>
      <c r="G359">
        <v>192978</v>
      </c>
      <c r="H359" s="1">
        <v>46244</v>
      </c>
      <c r="I359" t="str">
        <v>TRAVELERRECEIVED</v>
      </c>
      <c r="K359" t="str">
        <v>Shipped</v>
      </c>
      <c r="L359">
        <v>29979</v>
      </c>
    </row>
    <row r="360">
      <c r="A360">
        <v>716172</v>
      </c>
      <c r="B360">
        <v>11546463</v>
      </c>
      <c r="C360">
        <v>1000</v>
      </c>
      <c r="E360">
        <v>1027</v>
      </c>
      <c r="F360">
        <v>15898</v>
      </c>
      <c r="G360">
        <v>192978</v>
      </c>
      <c r="H360" s="1">
        <v>46244</v>
      </c>
      <c r="I360" t="str">
        <v>TRAVELERRECEIVED</v>
      </c>
      <c r="K360" t="str">
        <v>Shipped</v>
      </c>
      <c r="L360">
        <v>29979</v>
      </c>
    </row>
    <row r="361">
      <c r="A361">
        <v>716173</v>
      </c>
      <c r="B361">
        <v>11546463</v>
      </c>
      <c r="C361">
        <v>42</v>
      </c>
      <c r="E361">
        <v>945</v>
      </c>
      <c r="F361">
        <v>14628</v>
      </c>
      <c r="G361">
        <v>192978</v>
      </c>
      <c r="H361" s="1">
        <v>46244</v>
      </c>
      <c r="I361" t="str">
        <v>TRAVELERRECEIVED</v>
      </c>
      <c r="K361" t="str">
        <v>Shipped</v>
      </c>
      <c r="L361">
        <v>29979</v>
      </c>
    </row>
    <row r="362">
      <c r="A362">
        <v>716184</v>
      </c>
      <c r="B362">
        <v>11546462</v>
      </c>
      <c r="C362">
        <v>798</v>
      </c>
      <c r="E362">
        <v>981</v>
      </c>
      <c r="F362">
        <v>24525</v>
      </c>
      <c r="G362">
        <v>192978</v>
      </c>
      <c r="H362" s="1">
        <v>46244</v>
      </c>
      <c r="I362" t="str">
        <v>TRAVELERRECEIVED</v>
      </c>
      <c r="K362" t="str">
        <v>Shipped</v>
      </c>
      <c r="L362">
        <v>29972</v>
      </c>
    </row>
    <row r="363">
      <c r="A363">
        <v>716185</v>
      </c>
      <c r="B363">
        <v>11546462</v>
      </c>
      <c r="C363">
        <v>1037</v>
      </c>
      <c r="E363">
        <v>832</v>
      </c>
      <c r="F363">
        <v>20800</v>
      </c>
      <c r="G363">
        <v>192978</v>
      </c>
      <c r="H363" s="1">
        <v>46244</v>
      </c>
      <c r="I363" t="str">
        <v>TRAVELERRECEIVED</v>
      </c>
      <c r="K363" t="str">
        <v>Shipped</v>
      </c>
      <c r="L363">
        <v>29974</v>
      </c>
    </row>
    <row r="364">
      <c r="A364">
        <v>716186</v>
      </c>
      <c r="B364">
        <v>11546462</v>
      </c>
      <c r="C364">
        <v>830</v>
      </c>
      <c r="E364">
        <v>888</v>
      </c>
      <c r="F364">
        <v>22200</v>
      </c>
      <c r="G364">
        <v>192978</v>
      </c>
      <c r="H364" s="1">
        <v>46244</v>
      </c>
      <c r="I364" t="str">
        <v>TRAVELERRECEIVED</v>
      </c>
      <c r="K364">
        <f>IF(ISERROR(MATCH(WORKORDER[[#This Row],[TRAVELER]],Table1[TRAVELER],0)),K364,"Shipped")</f>
        <v>0</v>
      </c>
      <c r="L364">
        <f>+IF(ISERROR(MATCH(WORKORDER[[#This Row],[TRAVELER]],Table1[TRAVELER],0)),L364,'PACKING SLIP'!$F$5)</f>
        <v>0</v>
      </c>
    </row>
    <row r="365">
      <c r="A365">
        <v>716187</v>
      </c>
      <c r="B365">
        <v>11546462</v>
      </c>
      <c r="C365">
        <v>1578</v>
      </c>
      <c r="E365">
        <v>946</v>
      </c>
      <c r="F365">
        <v>23650</v>
      </c>
      <c r="G365">
        <v>192978</v>
      </c>
      <c r="H365" s="1">
        <v>46244</v>
      </c>
      <c r="I365" t="str">
        <v>TRAVELERRECEIVED</v>
      </c>
      <c r="K365" t="str">
        <v>Shipped</v>
      </c>
      <c r="L365">
        <v>29972</v>
      </c>
    </row>
    <row r="366">
      <c r="A366">
        <v>714188</v>
      </c>
      <c r="B366" t="str">
        <v>11546367-MY-AK</v>
      </c>
      <c r="C366">
        <v>980</v>
      </c>
      <c r="E366">
        <v>1166</v>
      </c>
      <c r="F366">
        <v>25075</v>
      </c>
      <c r="G366">
        <v>192981</v>
      </c>
      <c r="H366" s="1">
        <v>46244</v>
      </c>
      <c r="I366" t="str">
        <v>TRAVELERRECEIVED</v>
      </c>
      <c r="K366" t="str">
        <v>Shipped</v>
      </c>
      <c r="L366">
        <v>29987</v>
      </c>
    </row>
    <row r="367">
      <c r="A367">
        <v>714189</v>
      </c>
      <c r="B367" t="str">
        <v>11546367-MY-AK</v>
      </c>
      <c r="C367">
        <v>121</v>
      </c>
      <c r="E367">
        <v>1124</v>
      </c>
      <c r="F367">
        <v>24172</v>
      </c>
      <c r="G367">
        <v>192981</v>
      </c>
      <c r="H367" s="1">
        <v>46244</v>
      </c>
      <c r="I367" t="str">
        <v>TRAVELERRECEIVED</v>
      </c>
      <c r="K367" t="str">
        <v>Shipped</v>
      </c>
      <c r="L367">
        <v>29974</v>
      </c>
    </row>
    <row r="368">
      <c r="A368">
        <v>714190</v>
      </c>
      <c r="B368" t="str">
        <v>11546367-MY-AK</v>
      </c>
      <c r="C368">
        <v>408</v>
      </c>
      <c r="E368">
        <v>1192</v>
      </c>
      <c r="F368">
        <v>25634</v>
      </c>
      <c r="G368">
        <v>192981</v>
      </c>
      <c r="H368" s="1">
        <v>46244</v>
      </c>
      <c r="I368" t="str">
        <v>TRAVELERRECEIVED</v>
      </c>
      <c r="K368" t="str">
        <v>Shipped</v>
      </c>
      <c r="L368">
        <v>29974</v>
      </c>
    </row>
    <row r="369">
      <c r="A369">
        <v>714191</v>
      </c>
      <c r="B369" t="str">
        <v>11546367-MY-AK</v>
      </c>
      <c r="C369">
        <v>931</v>
      </c>
      <c r="E369">
        <v>1100</v>
      </c>
      <c r="F369">
        <v>23656</v>
      </c>
      <c r="G369">
        <v>192981</v>
      </c>
      <c r="H369" s="1">
        <v>46244</v>
      </c>
      <c r="I369" t="str">
        <v>TRAVELERRECEIVED</v>
      </c>
      <c r="K369" t="str">
        <v>Shipped</v>
      </c>
      <c r="L369">
        <v>29974</v>
      </c>
    </row>
    <row r="370">
      <c r="A370">
        <v>714192</v>
      </c>
      <c r="B370" t="str">
        <v>11546367-MY-AK</v>
      </c>
      <c r="C370">
        <v>1441</v>
      </c>
      <c r="E370">
        <v>1146</v>
      </c>
      <c r="F370">
        <v>24645</v>
      </c>
      <c r="G370">
        <v>192981</v>
      </c>
      <c r="H370" s="1">
        <v>46244</v>
      </c>
      <c r="I370" t="str">
        <v>TRAVELERRECEIVED</v>
      </c>
      <c r="K370" t="str">
        <v>Shipped</v>
      </c>
      <c r="L370">
        <v>29974</v>
      </c>
    </row>
    <row r="371">
      <c r="A371">
        <v>714193</v>
      </c>
      <c r="B371" t="str">
        <v>11546367-MY-AK</v>
      </c>
      <c r="C371">
        <v>260</v>
      </c>
      <c r="E371">
        <v>1144</v>
      </c>
      <c r="F371">
        <v>24602</v>
      </c>
      <c r="G371">
        <v>192981</v>
      </c>
      <c r="H371" s="1">
        <v>46244</v>
      </c>
      <c r="I371" t="str">
        <v>TRAVELERRECEIVED</v>
      </c>
      <c r="K371" t="str">
        <v>Shipped</v>
      </c>
      <c r="L371">
        <v>29974</v>
      </c>
    </row>
    <row r="372">
      <c r="A372">
        <v>715853</v>
      </c>
      <c r="B372" t="str">
        <v>06101831-A</v>
      </c>
      <c r="C372">
        <v>1627</v>
      </c>
      <c r="E372">
        <v>1135</v>
      </c>
      <c r="F372">
        <v>41123</v>
      </c>
      <c r="G372">
        <v>192981</v>
      </c>
      <c r="H372" s="1">
        <v>46244</v>
      </c>
      <c r="I372" t="str">
        <v>TRAVELERRECEIVED</v>
      </c>
      <c r="K372" t="str">
        <v>Shipped</v>
      </c>
      <c r="L372">
        <v>29977</v>
      </c>
    </row>
    <row r="373">
      <c r="A373">
        <v>715854</v>
      </c>
      <c r="B373" t="str">
        <v>06101831-A</v>
      </c>
      <c r="C373">
        <v>632</v>
      </c>
      <c r="E373">
        <v>1096</v>
      </c>
      <c r="F373">
        <v>39710</v>
      </c>
      <c r="G373">
        <v>192981</v>
      </c>
      <c r="H373" s="1">
        <v>46244</v>
      </c>
      <c r="I373" t="str">
        <v>TRAVELERRECEIVED</v>
      </c>
      <c r="K373" t="str">
        <v>Shipped</v>
      </c>
      <c r="L373">
        <v>29972</v>
      </c>
    </row>
    <row r="374">
      <c r="A374">
        <v>715855</v>
      </c>
      <c r="B374" t="str">
        <v>06101831-A</v>
      </c>
      <c r="C374">
        <v>1043</v>
      </c>
      <c r="E374">
        <v>1071</v>
      </c>
      <c r="F374">
        <v>38804</v>
      </c>
      <c r="G374">
        <v>192981</v>
      </c>
      <c r="H374" s="1">
        <v>46244</v>
      </c>
      <c r="I374" t="str">
        <v>TRAVELERRECEIVED</v>
      </c>
      <c r="K374" t="str">
        <v>Shipped</v>
      </c>
      <c r="L374">
        <v>29974</v>
      </c>
    </row>
    <row r="375">
      <c r="A375">
        <v>715857</v>
      </c>
      <c r="B375" t="str">
        <v>06101831-A</v>
      </c>
      <c r="C375">
        <v>709</v>
      </c>
      <c r="E375">
        <v>1066</v>
      </c>
      <c r="F375">
        <v>38623</v>
      </c>
      <c r="G375">
        <v>192981</v>
      </c>
      <c r="H375" s="1">
        <v>46244</v>
      </c>
      <c r="I375" t="str">
        <v>TRAVELERRECEIVED</v>
      </c>
      <c r="K375" t="str">
        <v>Shipped</v>
      </c>
      <c r="L375">
        <v>29974</v>
      </c>
    </row>
    <row r="376">
      <c r="A376">
        <v>715858</v>
      </c>
      <c r="B376" t="str">
        <v>06101831-A</v>
      </c>
      <c r="C376">
        <v>227</v>
      </c>
      <c r="E376">
        <v>1025</v>
      </c>
      <c r="F376">
        <v>37138</v>
      </c>
      <c r="G376">
        <v>192981</v>
      </c>
      <c r="H376" s="1">
        <v>46244</v>
      </c>
      <c r="I376" t="str">
        <v>TRAVELERRECEIVED</v>
      </c>
      <c r="K376" t="str">
        <v>Shipped</v>
      </c>
      <c r="L376">
        <v>29972</v>
      </c>
    </row>
    <row r="377">
      <c r="A377">
        <v>715864</v>
      </c>
      <c r="B377" t="str">
        <v>06104388AA</v>
      </c>
      <c r="C377">
        <v>1765</v>
      </c>
      <c r="E377">
        <v>821</v>
      </c>
      <c r="F377">
        <v>19879</v>
      </c>
      <c r="G377">
        <v>192981</v>
      </c>
      <c r="H377" s="1">
        <v>46244</v>
      </c>
      <c r="I377" t="str">
        <v>TRAVELERRECEIVED</v>
      </c>
      <c r="K377" t="str">
        <v>Shipped</v>
      </c>
      <c r="L377">
        <v>29979</v>
      </c>
    </row>
    <row r="378">
      <c r="A378">
        <v>715865</v>
      </c>
      <c r="B378" t="str">
        <v>06104388AA</v>
      </c>
      <c r="C378">
        <v>1571</v>
      </c>
      <c r="E378">
        <v>883</v>
      </c>
      <c r="F378">
        <v>21380</v>
      </c>
      <c r="G378">
        <v>192981</v>
      </c>
      <c r="H378" s="1">
        <v>46244</v>
      </c>
      <c r="I378" t="str">
        <v>TRAVELERRECEIVED</v>
      </c>
      <c r="K378" t="str">
        <v>Shipped</v>
      </c>
      <c r="L378">
        <v>29998</v>
      </c>
    </row>
    <row r="379">
      <c r="A379">
        <v>715866</v>
      </c>
      <c r="B379" t="str">
        <v>06104388AA</v>
      </c>
      <c r="C379">
        <v>843</v>
      </c>
      <c r="E379">
        <v>911</v>
      </c>
      <c r="F379">
        <v>22058</v>
      </c>
      <c r="G379">
        <v>192981</v>
      </c>
      <c r="H379" s="1">
        <v>46244</v>
      </c>
      <c r="I379" t="str">
        <v>TRAVELERRECEIVED</v>
      </c>
      <c r="K379" t="str">
        <v>Shipped</v>
      </c>
      <c r="L379">
        <v>29994</v>
      </c>
    </row>
    <row r="380">
      <c r="A380">
        <v>715867</v>
      </c>
      <c r="B380" t="str">
        <v>06104388AA</v>
      </c>
      <c r="C380">
        <v>29</v>
      </c>
      <c r="E380">
        <v>758</v>
      </c>
      <c r="F380">
        <v>18354</v>
      </c>
      <c r="G380">
        <v>192981</v>
      </c>
      <c r="H380" s="1">
        <v>46244</v>
      </c>
      <c r="I380" t="str">
        <v>TRAVELERRECEIVED</v>
      </c>
      <c r="K380" t="str">
        <v>Shipped</v>
      </c>
      <c r="L380">
        <v>29979</v>
      </c>
    </row>
    <row r="381">
      <c r="A381">
        <v>716080</v>
      </c>
      <c r="B381" t="str">
        <v>06101968-A</v>
      </c>
      <c r="C381">
        <v>1839</v>
      </c>
      <c r="E381">
        <v>1061</v>
      </c>
      <c r="F381">
        <v>80379</v>
      </c>
      <c r="G381">
        <v>192981</v>
      </c>
      <c r="H381" s="1">
        <v>46244</v>
      </c>
      <c r="I381" t="str">
        <v>TRAVELERRECEIVED</v>
      </c>
      <c r="K381" t="str">
        <v>Shipped</v>
      </c>
      <c r="L381">
        <v>29974</v>
      </c>
    </row>
    <row r="382">
      <c r="A382">
        <v>716081</v>
      </c>
      <c r="B382" t="str">
        <v>06101968-A</v>
      </c>
      <c r="C382">
        <v>1840</v>
      </c>
      <c r="E382">
        <v>972</v>
      </c>
      <c r="F382">
        <v>73636</v>
      </c>
      <c r="G382">
        <v>192981</v>
      </c>
      <c r="H382" s="1">
        <v>46244</v>
      </c>
      <c r="I382" t="str">
        <v>TRAVELERRECEIVED</v>
      </c>
      <c r="K382" t="str">
        <v>Shipped</v>
      </c>
      <c r="L382">
        <v>29996</v>
      </c>
    </row>
    <row r="383">
      <c r="A383">
        <v>716100</v>
      </c>
      <c r="B383">
        <v>11548147</v>
      </c>
      <c r="C383" t="str">
        <v>KIB</v>
      </c>
      <c r="E383">
        <v>1575</v>
      </c>
      <c r="F383">
        <v>12500</v>
      </c>
      <c r="G383">
        <v>192981</v>
      </c>
      <c r="H383" s="1">
        <v>46244</v>
      </c>
      <c r="I383" t="str">
        <v>TRAVELERRECEIVED</v>
      </c>
      <c r="K383" t="str">
        <v>Shipped</v>
      </c>
      <c r="L383">
        <v>29970</v>
      </c>
    </row>
    <row r="384">
      <c r="A384">
        <v>716101</v>
      </c>
      <c r="B384">
        <v>11548147</v>
      </c>
      <c r="C384" t="str">
        <v>KIB</v>
      </c>
      <c r="E384">
        <v>1575</v>
      </c>
      <c r="F384">
        <v>12500</v>
      </c>
      <c r="G384">
        <v>192981</v>
      </c>
      <c r="H384" s="1">
        <v>46244</v>
      </c>
      <c r="I384" t="str">
        <v>SPLIT FROM TR#716100</v>
      </c>
      <c r="K384" t="str">
        <v>Shipped</v>
      </c>
      <c r="L384">
        <v>29970</v>
      </c>
    </row>
    <row r="385">
      <c r="A385">
        <v>716108</v>
      </c>
      <c r="B385" t="str">
        <v>06105102AA</v>
      </c>
      <c r="C385" t="str">
        <v>KIB</v>
      </c>
      <c r="E385">
        <v>1736</v>
      </c>
      <c r="F385">
        <v>40000</v>
      </c>
      <c r="G385">
        <v>192981</v>
      </c>
      <c r="H385" s="1">
        <v>46244</v>
      </c>
      <c r="I385" t="str">
        <v>TRAVELERRECEIVED</v>
      </c>
      <c r="K385" t="str">
        <v>Shipped</v>
      </c>
      <c r="L385">
        <v>29970</v>
      </c>
    </row>
    <row r="386">
      <c r="A386">
        <v>716109</v>
      </c>
      <c r="B386" t="str">
        <v>06105102AA</v>
      </c>
      <c r="C386" t="str">
        <v>KIB</v>
      </c>
      <c r="E386">
        <v>1736</v>
      </c>
      <c r="F386">
        <v>40000</v>
      </c>
      <c r="G386">
        <v>192981</v>
      </c>
      <c r="H386" s="1">
        <v>46244</v>
      </c>
      <c r="I386" t="str">
        <v>SPLIT FROM TR#716108</v>
      </c>
      <c r="K386" t="str">
        <v>Shipped</v>
      </c>
      <c r="L386">
        <v>29970</v>
      </c>
    </row>
    <row r="387">
      <c r="A387">
        <v>716110</v>
      </c>
      <c r="B387" t="str">
        <v>06105102AA</v>
      </c>
      <c r="C387" t="str">
        <v>KIB</v>
      </c>
      <c r="E387">
        <v>1736</v>
      </c>
      <c r="F387">
        <v>40000</v>
      </c>
      <c r="G387">
        <v>192981</v>
      </c>
      <c r="H387" s="1">
        <v>46244</v>
      </c>
      <c r="I387" t="str">
        <v>TRAVELERRECEIVED</v>
      </c>
      <c r="K387" t="str">
        <v>Shipped</v>
      </c>
      <c r="L387">
        <v>29974</v>
      </c>
    </row>
    <row r="388">
      <c r="A388">
        <v>716111</v>
      </c>
      <c r="B388" t="str">
        <v>06105102AA</v>
      </c>
      <c r="C388" t="str">
        <v>KIB</v>
      </c>
      <c r="E388">
        <v>1736</v>
      </c>
      <c r="F388">
        <v>40000</v>
      </c>
      <c r="G388">
        <v>192981</v>
      </c>
      <c r="H388" s="1">
        <v>46244</v>
      </c>
      <c r="I388" t="str">
        <v>SPLIT FROM TR#716110</v>
      </c>
      <c r="K388" t="str">
        <v>Shipped</v>
      </c>
      <c r="L388">
        <v>29987</v>
      </c>
    </row>
    <row r="389">
      <c r="A389">
        <v>716114</v>
      </c>
      <c r="B389" t="str">
        <v>06105102AA</v>
      </c>
      <c r="C389" t="str">
        <v>KIB</v>
      </c>
      <c r="E389">
        <v>1736</v>
      </c>
      <c r="F389">
        <v>40000</v>
      </c>
      <c r="G389">
        <v>192981</v>
      </c>
      <c r="H389" s="1">
        <v>46244</v>
      </c>
      <c r="I389" t="str">
        <v>TRAVELERRECEIVED</v>
      </c>
      <c r="K389" t="str">
        <v>Shipped</v>
      </c>
      <c r="L389">
        <v>29974</v>
      </c>
    </row>
    <row r="390">
      <c r="A390">
        <v>716115</v>
      </c>
      <c r="B390" t="str">
        <v>06105102AA</v>
      </c>
      <c r="C390" t="str">
        <v>KIB</v>
      </c>
      <c r="E390">
        <v>1736</v>
      </c>
      <c r="F390">
        <v>40000</v>
      </c>
      <c r="G390">
        <v>192981</v>
      </c>
      <c r="H390" s="1">
        <v>46244</v>
      </c>
      <c r="I390" t="str">
        <v>SPLIT FROM TR#716114</v>
      </c>
      <c r="K390" t="str">
        <v>Shipped</v>
      </c>
      <c r="L390">
        <v>29987</v>
      </c>
    </row>
    <row r="391">
      <c r="A391">
        <v>716116</v>
      </c>
      <c r="B391" t="str">
        <v>06105102AA</v>
      </c>
      <c r="C391" t="str">
        <v>KIB</v>
      </c>
      <c r="E391">
        <v>1736</v>
      </c>
      <c r="F391">
        <v>40000</v>
      </c>
      <c r="G391">
        <v>192981</v>
      </c>
      <c r="H391" s="1">
        <v>46244</v>
      </c>
      <c r="I391" t="str">
        <v>TRAVELERRECEIVED</v>
      </c>
      <c r="K391" t="str">
        <v>Shipped</v>
      </c>
      <c r="L391">
        <v>29970</v>
      </c>
    </row>
    <row r="392">
      <c r="A392">
        <v>716117</v>
      </c>
      <c r="B392" t="str">
        <v>06105102AA</v>
      </c>
      <c r="C392" t="str">
        <v>KIB</v>
      </c>
      <c r="E392">
        <v>1736</v>
      </c>
      <c r="F392">
        <v>40000</v>
      </c>
      <c r="G392">
        <v>192981</v>
      </c>
      <c r="H392" s="1">
        <v>46244</v>
      </c>
      <c r="I392" t="str">
        <v>SPLIT FROM TR#716116</v>
      </c>
      <c r="K392" t="str">
        <v>Shipped</v>
      </c>
      <c r="L392">
        <v>29970</v>
      </c>
    </row>
    <row r="393">
      <c r="A393">
        <v>716118</v>
      </c>
      <c r="B393" t="str">
        <v>06105102AA</v>
      </c>
      <c r="C393" t="str">
        <v>KIB</v>
      </c>
      <c r="E393">
        <v>1736</v>
      </c>
      <c r="F393">
        <v>40000</v>
      </c>
      <c r="G393">
        <v>192981</v>
      </c>
      <c r="H393" s="1">
        <v>46244</v>
      </c>
      <c r="I393" t="str">
        <v>TRAVELERRECEIVED</v>
      </c>
      <c r="K393" t="str">
        <v>Shipped</v>
      </c>
      <c r="L393">
        <v>29970</v>
      </c>
    </row>
    <row r="394">
      <c r="A394">
        <v>716119</v>
      </c>
      <c r="B394" t="str">
        <v>06105102AA</v>
      </c>
      <c r="C394" t="str">
        <v>KIB</v>
      </c>
      <c r="E394">
        <v>1736</v>
      </c>
      <c r="F394">
        <v>40000</v>
      </c>
      <c r="G394">
        <v>192981</v>
      </c>
      <c r="H394" s="1">
        <v>46244</v>
      </c>
      <c r="I394" t="str">
        <v>SPLIT FROM TR#716118</v>
      </c>
      <c r="K394" t="str">
        <v>Shipped</v>
      </c>
      <c r="L394">
        <v>29970</v>
      </c>
    </row>
    <row r="395">
      <c r="A395">
        <v>716152</v>
      </c>
      <c r="B395" t="str">
        <v>06511701AA</v>
      </c>
      <c r="C395">
        <v>892</v>
      </c>
      <c r="E395">
        <v>1147</v>
      </c>
      <c r="F395">
        <v>82518</v>
      </c>
      <c r="G395">
        <v>192981</v>
      </c>
      <c r="H395" s="1">
        <v>46244</v>
      </c>
      <c r="I395" t="str">
        <v>TRAVELERRECEIVED</v>
      </c>
      <c r="K395" t="str">
        <v>Shipped</v>
      </c>
      <c r="L395">
        <v>29979</v>
      </c>
    </row>
    <row r="396">
      <c r="A396">
        <v>716153</v>
      </c>
      <c r="B396" t="str">
        <v>06511701AA</v>
      </c>
      <c r="C396">
        <v>258</v>
      </c>
      <c r="E396">
        <v>1006</v>
      </c>
      <c r="F396">
        <v>72374</v>
      </c>
      <c r="G396">
        <v>192981</v>
      </c>
      <c r="H396" s="1">
        <v>46244</v>
      </c>
      <c r="I396" t="str">
        <v>TRAVELERRECEIVED</v>
      </c>
      <c r="K396" t="str">
        <v>Shipped</v>
      </c>
      <c r="L396">
        <v>29979</v>
      </c>
    </row>
    <row r="397">
      <c r="A397">
        <v>716176</v>
      </c>
      <c r="B397">
        <v>11546462</v>
      </c>
      <c r="C397">
        <v>374</v>
      </c>
      <c r="E397">
        <v>870</v>
      </c>
      <c r="F397">
        <v>21750</v>
      </c>
      <c r="G397">
        <v>192981</v>
      </c>
      <c r="H397" s="1">
        <v>46244</v>
      </c>
      <c r="I397" t="str">
        <v>TRAVELERRECEIVED</v>
      </c>
      <c r="K397" t="str">
        <v>Shipped</v>
      </c>
      <c r="L397">
        <v>29977</v>
      </c>
    </row>
    <row r="398">
      <c r="A398">
        <v>716177</v>
      </c>
      <c r="B398">
        <v>11546462</v>
      </c>
      <c r="C398">
        <v>837</v>
      </c>
      <c r="E398">
        <v>933</v>
      </c>
      <c r="F398">
        <v>23325</v>
      </c>
      <c r="G398">
        <v>192981</v>
      </c>
      <c r="H398" s="1">
        <v>46244</v>
      </c>
      <c r="I398" t="str">
        <v>TRAVELERRECEIVED</v>
      </c>
      <c r="K398" t="str">
        <v>Shipped</v>
      </c>
      <c r="L398">
        <v>29987</v>
      </c>
    </row>
    <row r="399">
      <c r="A399">
        <v>716178</v>
      </c>
      <c r="B399">
        <v>11546463</v>
      </c>
      <c r="C399">
        <v>318</v>
      </c>
      <c r="E399">
        <v>1027</v>
      </c>
      <c r="F399">
        <v>15898</v>
      </c>
      <c r="G399">
        <v>192981</v>
      </c>
      <c r="H399" s="1">
        <v>46244</v>
      </c>
      <c r="I399" t="str">
        <v>TRAVELERRECEIVED</v>
      </c>
      <c r="K399" t="str">
        <v>Shipped</v>
      </c>
      <c r="L399">
        <v>29979</v>
      </c>
    </row>
    <row r="400">
      <c r="A400">
        <v>716179</v>
      </c>
      <c r="B400">
        <v>11546463</v>
      </c>
      <c r="C400">
        <v>148</v>
      </c>
      <c r="E400">
        <v>956</v>
      </c>
      <c r="F400">
        <v>14799</v>
      </c>
      <c r="G400">
        <v>192981</v>
      </c>
      <c r="H400" s="1">
        <v>46244</v>
      </c>
      <c r="I400" t="str">
        <v>TRAVELERRECEIVED</v>
      </c>
      <c r="K400" t="str">
        <v>Shipped</v>
      </c>
      <c r="L400">
        <v>29988</v>
      </c>
    </row>
    <row r="401">
      <c r="A401">
        <v>716180</v>
      </c>
      <c r="B401">
        <v>11546463</v>
      </c>
      <c r="C401">
        <v>1720</v>
      </c>
      <c r="E401">
        <v>1021</v>
      </c>
      <c r="F401">
        <v>15805</v>
      </c>
      <c r="G401">
        <v>192981</v>
      </c>
      <c r="H401" s="1">
        <v>46244</v>
      </c>
      <c r="I401" t="str">
        <v>TRAVELERRECEIVED</v>
      </c>
      <c r="K401" t="str">
        <v>Shipped</v>
      </c>
      <c r="L401">
        <v>29988</v>
      </c>
    </row>
    <row r="402">
      <c r="A402">
        <v>716181</v>
      </c>
      <c r="B402">
        <v>11546463</v>
      </c>
      <c r="C402">
        <v>1446</v>
      </c>
      <c r="E402">
        <v>931</v>
      </c>
      <c r="F402">
        <v>14412</v>
      </c>
      <c r="G402">
        <v>192981</v>
      </c>
      <c r="H402" s="1">
        <v>46244</v>
      </c>
      <c r="I402" t="str">
        <v>TRAVELERRECEIVED</v>
      </c>
      <c r="K402" t="str">
        <v>Shipped</v>
      </c>
      <c r="L402">
        <v>30006</v>
      </c>
    </row>
    <row r="403">
      <c r="A403">
        <v>716182</v>
      </c>
      <c r="B403">
        <v>11546462</v>
      </c>
      <c r="C403">
        <v>100</v>
      </c>
      <c r="E403">
        <v>892</v>
      </c>
      <c r="F403">
        <v>22300</v>
      </c>
      <c r="G403">
        <v>192981</v>
      </c>
      <c r="H403" s="1">
        <v>46244</v>
      </c>
      <c r="I403" t="str">
        <v>TRAVELERRECEIVED</v>
      </c>
      <c r="K403" t="str">
        <v>Shipped</v>
      </c>
      <c r="L403">
        <v>29987</v>
      </c>
    </row>
    <row r="404">
      <c r="A404">
        <v>716183</v>
      </c>
      <c r="B404">
        <v>11546462</v>
      </c>
      <c r="C404">
        <v>1432</v>
      </c>
      <c r="E404">
        <v>912</v>
      </c>
      <c r="F404">
        <v>22800</v>
      </c>
      <c r="G404">
        <v>192981</v>
      </c>
      <c r="H404" s="1">
        <v>46244</v>
      </c>
      <c r="I404" t="str">
        <v>TRAVELERRECEIVED</v>
      </c>
      <c r="K404" t="str">
        <v>Shipped</v>
      </c>
      <c r="L404">
        <v>29974</v>
      </c>
    </row>
    <row r="405">
      <c r="A405">
        <v>715836</v>
      </c>
      <c r="B405" t="str">
        <v>NU1510-00</v>
      </c>
      <c r="C405">
        <v>193</v>
      </c>
      <c r="E405">
        <v>1096</v>
      </c>
      <c r="F405">
        <v>40000</v>
      </c>
      <c r="G405">
        <v>192989</v>
      </c>
      <c r="H405" s="1">
        <v>46244</v>
      </c>
      <c r="I405" t="str">
        <v>6-222-38-A</v>
      </c>
      <c r="K405" t="str">
        <v>Shipped</v>
      </c>
      <c r="L405">
        <v>29980</v>
      </c>
    </row>
    <row r="406">
      <c r="A406">
        <v>715837</v>
      </c>
      <c r="B406" t="str">
        <v>NU1510-00</v>
      </c>
      <c r="C406">
        <v>1662</v>
      </c>
      <c r="E406">
        <v>1151</v>
      </c>
      <c r="F406">
        <v>42000</v>
      </c>
      <c r="G406">
        <v>192989</v>
      </c>
      <c r="H406" s="1">
        <v>46244</v>
      </c>
      <c r="I406" t="str">
        <v>6-222-38-B</v>
      </c>
      <c r="K406" t="str">
        <v>Shipped</v>
      </c>
      <c r="L406">
        <v>29980</v>
      </c>
    </row>
    <row r="407">
      <c r="A407">
        <v>716150</v>
      </c>
      <c r="B407" t="str">
        <v>NU1405-00</v>
      </c>
      <c r="C407">
        <v>788</v>
      </c>
      <c r="E407">
        <v>1110</v>
      </c>
      <c r="F407">
        <v>72078</v>
      </c>
      <c r="G407">
        <v>192989</v>
      </c>
      <c r="H407" s="1">
        <v>46244</v>
      </c>
      <c r="I407" t="str">
        <v>6-222-39-A</v>
      </c>
      <c r="K407" t="str">
        <v>Shipped</v>
      </c>
      <c r="L407">
        <v>29980</v>
      </c>
    </row>
    <row r="408">
      <c r="A408">
        <v>716151</v>
      </c>
      <c r="B408" t="str">
        <v>NU1405-00</v>
      </c>
      <c r="C408">
        <v>66</v>
      </c>
      <c r="E408">
        <v>1450</v>
      </c>
      <c r="F408">
        <v>94156</v>
      </c>
      <c r="G408">
        <v>192989</v>
      </c>
      <c r="H408" s="1">
        <v>46244</v>
      </c>
      <c r="I408" t="str">
        <v>6-222-39-B</v>
      </c>
      <c r="K408" t="str">
        <v>Shipped</v>
      </c>
      <c r="L408">
        <v>29980</v>
      </c>
    </row>
    <row r="409">
      <c r="A409">
        <v>716699</v>
      </c>
      <c r="B409" t="str">
        <v>W705606-S440</v>
      </c>
      <c r="C409" t="str">
        <v>KIB</v>
      </c>
      <c r="E409">
        <v>1936</v>
      </c>
      <c r="F409">
        <v>40000</v>
      </c>
      <c r="G409">
        <v>192989</v>
      </c>
      <c r="H409" s="1">
        <v>46244</v>
      </c>
      <c r="I409" t="str">
        <v>6-222-26-A</v>
      </c>
      <c r="K409" t="str">
        <v>Shipped</v>
      </c>
      <c r="L409">
        <v>29967</v>
      </c>
    </row>
    <row r="410">
      <c r="A410">
        <v>716700</v>
      </c>
      <c r="B410" t="str">
        <v>W705606-S440</v>
      </c>
      <c r="C410" t="str">
        <v>KIB</v>
      </c>
      <c r="E410">
        <v>1936</v>
      </c>
      <c r="F410">
        <v>40000</v>
      </c>
      <c r="G410">
        <v>192989</v>
      </c>
      <c r="H410" s="1">
        <v>46244</v>
      </c>
      <c r="I410" t="str">
        <v>SPLIT FROM TR#716699</v>
      </c>
      <c r="K410" t="str">
        <v>Shipped</v>
      </c>
      <c r="L410">
        <v>29967</v>
      </c>
    </row>
    <row r="411">
      <c r="A411">
        <v>716701</v>
      </c>
      <c r="B411" t="str">
        <v>W705606-S440</v>
      </c>
      <c r="C411" t="str">
        <v>KIB</v>
      </c>
      <c r="E411">
        <v>1936</v>
      </c>
      <c r="F411">
        <v>40000</v>
      </c>
      <c r="G411">
        <v>192989</v>
      </c>
      <c r="H411" s="1">
        <v>46244</v>
      </c>
      <c r="I411" t="str">
        <v>6-222-27-A</v>
      </c>
      <c r="K411" t="str">
        <v>Shipped</v>
      </c>
      <c r="L411">
        <v>29970</v>
      </c>
    </row>
    <row r="412">
      <c r="A412">
        <v>716702</v>
      </c>
      <c r="B412" t="str">
        <v>W705606-S440</v>
      </c>
      <c r="C412" t="str">
        <v>KIB</v>
      </c>
      <c r="E412">
        <v>1936</v>
      </c>
      <c r="F412">
        <v>40000</v>
      </c>
      <c r="G412">
        <v>192989</v>
      </c>
      <c r="H412" s="1">
        <v>46244</v>
      </c>
      <c r="I412" t="str">
        <v>SPLIT FROM TR#716701</v>
      </c>
      <c r="K412" t="str">
        <v>Shipped</v>
      </c>
      <c r="L412">
        <v>29970</v>
      </c>
    </row>
    <row r="413">
      <c r="A413">
        <v>716703</v>
      </c>
      <c r="B413">
        <v>1420503001</v>
      </c>
      <c r="C413" t="str">
        <v>KIB</v>
      </c>
      <c r="E413">
        <v>846</v>
      </c>
      <c r="F413">
        <v>47000</v>
      </c>
      <c r="G413">
        <v>192989</v>
      </c>
      <c r="H413" s="1">
        <v>46244</v>
      </c>
      <c r="I413" t="str">
        <v>6-222-28-A</v>
      </c>
      <c r="K413" t="str">
        <v>Shipped</v>
      </c>
      <c r="L413">
        <v>29967</v>
      </c>
    </row>
    <row r="414">
      <c r="A414">
        <v>716704</v>
      </c>
      <c r="B414">
        <v>1420503001</v>
      </c>
      <c r="C414" t="str">
        <v>KIB</v>
      </c>
      <c r="E414">
        <v>846</v>
      </c>
      <c r="F414">
        <v>47000</v>
      </c>
      <c r="G414">
        <v>192989</v>
      </c>
      <c r="H414" s="1">
        <v>46244</v>
      </c>
      <c r="I414" t="str">
        <v>SPLIT FROM TR#7160703</v>
      </c>
      <c r="K414" t="str">
        <v>Shipped</v>
      </c>
      <c r="L414">
        <v>29967</v>
      </c>
    </row>
    <row r="415">
      <c r="A415">
        <v>716705</v>
      </c>
      <c r="B415" t="str">
        <v>K1046AB</v>
      </c>
      <c r="C415" t="str">
        <v>KIB</v>
      </c>
      <c r="E415">
        <v>1431</v>
      </c>
      <c r="F415">
        <v>94160</v>
      </c>
      <c r="G415">
        <v>192989</v>
      </c>
      <c r="H415" s="1">
        <v>46244</v>
      </c>
      <c r="I415" t="str">
        <v>6-222-34-A</v>
      </c>
      <c r="K415" t="str">
        <v>Shipped</v>
      </c>
      <c r="L415">
        <v>29967</v>
      </c>
    </row>
    <row r="416">
      <c r="A416">
        <v>716706</v>
      </c>
      <c r="B416" t="str">
        <v>K1046AB</v>
      </c>
      <c r="C416" t="str">
        <v>KIB</v>
      </c>
      <c r="E416">
        <v>1431</v>
      </c>
      <c r="F416">
        <v>94160</v>
      </c>
      <c r="G416">
        <v>192989</v>
      </c>
      <c r="H416" s="1">
        <v>46244</v>
      </c>
      <c r="I416" t="str">
        <v>SPLIT FROM TR#716705</v>
      </c>
      <c r="K416" t="str">
        <v>Shipped</v>
      </c>
      <c r="L416">
        <v>29967</v>
      </c>
    </row>
    <row r="417">
      <c r="A417">
        <v>716707</v>
      </c>
      <c r="B417" t="str">
        <v>K1046AB</v>
      </c>
      <c r="C417" t="str">
        <v>KIB</v>
      </c>
      <c r="E417">
        <v>972</v>
      </c>
      <c r="F417">
        <v>63980</v>
      </c>
      <c r="G417">
        <v>192989</v>
      </c>
      <c r="H417" s="1">
        <v>46244</v>
      </c>
      <c r="I417" t="str">
        <v>6-222-34-C</v>
      </c>
      <c r="K417" t="str">
        <v>Shipped</v>
      </c>
      <c r="L417">
        <v>29970</v>
      </c>
    </row>
    <row r="418">
      <c r="A418">
        <v>716708</v>
      </c>
      <c r="B418" t="str">
        <v>K1046AB</v>
      </c>
      <c r="C418" t="str">
        <v>KIB</v>
      </c>
      <c r="E418">
        <v>972</v>
      </c>
      <c r="F418">
        <v>63980</v>
      </c>
      <c r="G418">
        <v>192989</v>
      </c>
      <c r="H418" s="1">
        <v>46244</v>
      </c>
      <c r="I418" t="str">
        <v>SPLIT FROM TR#716707</v>
      </c>
      <c r="K418" t="str">
        <v>Shipped</v>
      </c>
      <c r="L418">
        <v>29970</v>
      </c>
    </row>
    <row r="419">
      <c r="A419">
        <v>716709</v>
      </c>
      <c r="B419">
        <v>61525</v>
      </c>
      <c r="C419" t="str">
        <v>KIB</v>
      </c>
      <c r="E419">
        <v>918</v>
      </c>
      <c r="F419">
        <v>85000</v>
      </c>
      <c r="G419">
        <v>192989</v>
      </c>
      <c r="H419" s="1">
        <v>46244</v>
      </c>
      <c r="I419" t="str">
        <v>6-222-29-A</v>
      </c>
      <c r="K419" t="str">
        <v>Shipped</v>
      </c>
      <c r="L419">
        <v>29967</v>
      </c>
    </row>
    <row r="420">
      <c r="A420">
        <v>716710</v>
      </c>
      <c r="B420">
        <v>61525</v>
      </c>
      <c r="C420" t="str">
        <v>KIB</v>
      </c>
      <c r="E420">
        <v>918</v>
      </c>
      <c r="F420">
        <v>85000</v>
      </c>
      <c r="G420">
        <v>192989</v>
      </c>
      <c r="H420" s="1">
        <v>46244</v>
      </c>
      <c r="I420" t="str">
        <v>SPLIT FROM TR#716709</v>
      </c>
      <c r="K420" t="str">
        <v>Shipped</v>
      </c>
      <c r="L420">
        <v>29967</v>
      </c>
    </row>
    <row r="421">
      <c r="A421">
        <v>710142</v>
      </c>
      <c r="B421" t="str">
        <v>06511672AA</v>
      </c>
      <c r="C421">
        <v>519</v>
      </c>
      <c r="E421">
        <v>743</v>
      </c>
      <c r="F421">
        <v>32026</v>
      </c>
      <c r="G421">
        <v>193047</v>
      </c>
      <c r="H421" s="1">
        <v>46245</v>
      </c>
      <c r="I421" t="str">
        <v>6-223-13-A</v>
      </c>
      <c r="K421" t="str">
        <v>Shipped</v>
      </c>
      <c r="L421">
        <v>29974</v>
      </c>
    </row>
    <row r="422">
      <c r="A422">
        <v>710176</v>
      </c>
      <c r="B422" t="str">
        <v>11612078-B</v>
      </c>
      <c r="C422">
        <v>1697</v>
      </c>
      <c r="E422">
        <v>1320</v>
      </c>
      <c r="F422">
        <v>75000</v>
      </c>
      <c r="G422">
        <v>193047</v>
      </c>
      <c r="H422" s="1">
        <v>46245</v>
      </c>
      <c r="I422" t="str">
        <v>SORT&amp;RETURN</v>
      </c>
      <c r="K422">
        <f>IF(ISERROR(MATCH(WORKORDER[[#This Row],[TRAVELER]],Table1[TRAVELER],0)),K422,"Shipped")</f>
        <v>0</v>
      </c>
      <c r="L422">
        <f>+IF(ISERROR(MATCH(WORKORDER[[#This Row],[TRAVELER]],Table1[TRAVELER],0)),L422,'PACKING SLIP'!$F$5)</f>
        <v>0</v>
      </c>
    </row>
    <row r="423">
      <c r="A423">
        <v>711772</v>
      </c>
      <c r="B423" t="str">
        <v>06511672AA</v>
      </c>
      <c r="C423">
        <v>919</v>
      </c>
      <c r="E423">
        <v>886</v>
      </c>
      <c r="F423">
        <v>38190</v>
      </c>
      <c r="G423">
        <v>193047</v>
      </c>
      <c r="H423" s="1">
        <v>46245</v>
      </c>
      <c r="I423" t="str">
        <v>6-223-13-B</v>
      </c>
      <c r="K423" t="str">
        <v>Shipped</v>
      </c>
      <c r="L423">
        <v>29974</v>
      </c>
    </row>
    <row r="424">
      <c r="A424">
        <v>712579</v>
      </c>
      <c r="B424">
        <v>11546703</v>
      </c>
      <c r="C424">
        <v>518</v>
      </c>
      <c r="E424">
        <v>912</v>
      </c>
      <c r="F424">
        <v>112593</v>
      </c>
      <c r="G424">
        <v>193047</v>
      </c>
      <c r="H424" s="1">
        <v>46245</v>
      </c>
      <c r="I424" t="str">
        <v>6-222-40-A</v>
      </c>
      <c r="K424" t="str">
        <v>Shipped</v>
      </c>
      <c r="L424">
        <v>29987</v>
      </c>
    </row>
    <row r="425">
      <c r="A425">
        <v>712586</v>
      </c>
      <c r="B425">
        <v>11546703</v>
      </c>
      <c r="C425">
        <v>1530</v>
      </c>
      <c r="E425">
        <v>1120</v>
      </c>
      <c r="F425">
        <v>138272</v>
      </c>
      <c r="G425">
        <v>193047</v>
      </c>
      <c r="H425" s="1">
        <v>46245</v>
      </c>
      <c r="I425" t="str">
        <v>6-222-40-B</v>
      </c>
      <c r="K425" t="str">
        <v>Shipped</v>
      </c>
      <c r="L425">
        <v>29974</v>
      </c>
    </row>
    <row r="426">
      <c r="A426">
        <v>712587</v>
      </c>
      <c r="B426">
        <v>11546703</v>
      </c>
      <c r="C426">
        <v>234</v>
      </c>
      <c r="E426">
        <v>918</v>
      </c>
      <c r="F426">
        <v>113333</v>
      </c>
      <c r="G426">
        <v>193047</v>
      </c>
      <c r="H426" s="1">
        <v>46245</v>
      </c>
      <c r="I426" t="str">
        <v>6-222-41-A</v>
      </c>
      <c r="K426" t="str">
        <v>Shipped</v>
      </c>
      <c r="L426">
        <v>29979</v>
      </c>
    </row>
    <row r="427">
      <c r="A427">
        <v>713198</v>
      </c>
      <c r="B427">
        <v>11546703</v>
      </c>
      <c r="C427">
        <v>455</v>
      </c>
      <c r="E427">
        <v>1040</v>
      </c>
      <c r="F427">
        <v>128395</v>
      </c>
      <c r="G427">
        <v>193047</v>
      </c>
      <c r="H427" s="1">
        <v>46245</v>
      </c>
      <c r="I427" t="str">
        <v>6-222-41-B</v>
      </c>
      <c r="K427" t="str">
        <v>Shipped</v>
      </c>
      <c r="L427">
        <v>29974</v>
      </c>
    </row>
    <row r="428">
      <c r="A428">
        <v>713199</v>
      </c>
      <c r="B428">
        <v>11546703</v>
      </c>
      <c r="C428">
        <v>56</v>
      </c>
      <c r="E428">
        <v>968</v>
      </c>
      <c r="F428">
        <v>119506</v>
      </c>
      <c r="G428">
        <v>193047</v>
      </c>
      <c r="H428" s="1">
        <v>46245</v>
      </c>
      <c r="I428" t="str">
        <v>6-222-42-A</v>
      </c>
      <c r="K428" t="str">
        <v>Shipped</v>
      </c>
      <c r="L428">
        <v>29974</v>
      </c>
    </row>
    <row r="429">
      <c r="A429">
        <v>713200</v>
      </c>
      <c r="B429">
        <v>11546703</v>
      </c>
      <c r="C429">
        <v>1759</v>
      </c>
      <c r="E429">
        <v>1021</v>
      </c>
      <c r="F429">
        <v>126049</v>
      </c>
      <c r="G429">
        <v>193047</v>
      </c>
      <c r="H429" s="1">
        <v>46245</v>
      </c>
      <c r="I429" t="str">
        <v>6-222-42-B</v>
      </c>
      <c r="K429" t="str">
        <v>Shipped</v>
      </c>
      <c r="L429">
        <v>29987</v>
      </c>
    </row>
    <row r="430">
      <c r="A430">
        <v>713201</v>
      </c>
      <c r="B430">
        <v>11546703</v>
      </c>
      <c r="C430">
        <v>1758</v>
      </c>
      <c r="E430">
        <v>1056</v>
      </c>
      <c r="F430">
        <v>130370</v>
      </c>
      <c r="G430">
        <v>193047</v>
      </c>
      <c r="H430" s="1">
        <v>46245</v>
      </c>
      <c r="I430" t="str">
        <v>6-222-43-A</v>
      </c>
      <c r="K430" t="str">
        <v>Shipped</v>
      </c>
      <c r="L430">
        <v>29979</v>
      </c>
    </row>
    <row r="431">
      <c r="A431">
        <v>713202</v>
      </c>
      <c r="B431">
        <v>11546703</v>
      </c>
      <c r="C431">
        <v>1770</v>
      </c>
      <c r="E431">
        <v>1095</v>
      </c>
      <c r="F431">
        <v>135185</v>
      </c>
      <c r="G431">
        <v>193047</v>
      </c>
      <c r="H431" s="1">
        <v>46245</v>
      </c>
      <c r="I431" t="str">
        <v>6-222-43-B</v>
      </c>
      <c r="K431" t="str">
        <v>Shipped</v>
      </c>
      <c r="L431">
        <v>29979</v>
      </c>
    </row>
    <row r="432">
      <c r="A432">
        <v>713203</v>
      </c>
      <c r="B432">
        <v>11546703</v>
      </c>
      <c r="C432">
        <v>1771</v>
      </c>
      <c r="E432">
        <v>980</v>
      </c>
      <c r="F432">
        <v>120988</v>
      </c>
      <c r="G432">
        <v>193047</v>
      </c>
      <c r="H432" s="1">
        <v>46245</v>
      </c>
      <c r="I432" t="str">
        <v>6-222-44-A</v>
      </c>
      <c r="K432" t="str">
        <v>Shipped</v>
      </c>
      <c r="L432">
        <v>29974</v>
      </c>
    </row>
    <row r="433">
      <c r="A433">
        <v>713204</v>
      </c>
      <c r="B433">
        <v>11546703</v>
      </c>
      <c r="C433">
        <v>1777</v>
      </c>
      <c r="E433">
        <v>1100</v>
      </c>
      <c r="F433">
        <v>135802</v>
      </c>
      <c r="G433">
        <v>193047</v>
      </c>
      <c r="H433" s="1">
        <v>46245</v>
      </c>
      <c r="I433" t="str">
        <v>6-222-44-B</v>
      </c>
      <c r="K433" t="str">
        <v>Shipped</v>
      </c>
      <c r="L433">
        <v>29974</v>
      </c>
    </row>
    <row r="434">
      <c r="A434">
        <v>713205</v>
      </c>
      <c r="B434">
        <v>11546703</v>
      </c>
      <c r="C434">
        <v>1308</v>
      </c>
      <c r="E434">
        <v>950</v>
      </c>
      <c r="F434">
        <v>117284</v>
      </c>
      <c r="G434">
        <v>193047</v>
      </c>
      <c r="H434" s="1">
        <v>46245</v>
      </c>
      <c r="I434" t="str">
        <v>6-222-45-A</v>
      </c>
      <c r="K434" t="str">
        <v>Shipped</v>
      </c>
      <c r="L434">
        <v>29974</v>
      </c>
    </row>
    <row r="435">
      <c r="A435">
        <v>713857</v>
      </c>
      <c r="B435">
        <v>11546703</v>
      </c>
      <c r="C435">
        <v>1552</v>
      </c>
      <c r="E435">
        <v>1006</v>
      </c>
      <c r="F435">
        <v>124198</v>
      </c>
      <c r="G435">
        <v>193047</v>
      </c>
      <c r="H435" s="1">
        <v>46245</v>
      </c>
      <c r="I435" t="str">
        <v>6-222-46-B</v>
      </c>
      <c r="K435" t="str">
        <v>Shipped</v>
      </c>
      <c r="L435">
        <v>29972</v>
      </c>
    </row>
    <row r="436">
      <c r="A436">
        <v>713866</v>
      </c>
      <c r="B436" t="str">
        <v>06511672AA</v>
      </c>
      <c r="C436">
        <v>444</v>
      </c>
      <c r="E436">
        <v>1103</v>
      </c>
      <c r="F436">
        <v>47543</v>
      </c>
      <c r="G436">
        <v>193047</v>
      </c>
      <c r="H436" s="1">
        <v>46245</v>
      </c>
      <c r="I436" t="str">
        <v>6-223-13-D</v>
      </c>
      <c r="K436" t="str">
        <v>Shipped</v>
      </c>
      <c r="L436">
        <v>29974</v>
      </c>
    </row>
    <row r="437">
      <c r="A437">
        <v>714168</v>
      </c>
      <c r="B437" t="str">
        <v>11610091-MY-AK</v>
      </c>
      <c r="C437">
        <v>747</v>
      </c>
      <c r="E437">
        <v>1250</v>
      </c>
      <c r="F437">
        <v>81169</v>
      </c>
      <c r="G437">
        <v>193047</v>
      </c>
      <c r="H437" s="1">
        <v>46245</v>
      </c>
      <c r="I437" t="str">
        <v>6-223-01-A</v>
      </c>
      <c r="K437" t="str">
        <v>Shipped</v>
      </c>
      <c r="L437">
        <v>29977</v>
      </c>
    </row>
    <row r="438">
      <c r="A438">
        <v>714169</v>
      </c>
      <c r="B438" t="str">
        <v>11610091-MY-AK</v>
      </c>
      <c r="C438">
        <v>755</v>
      </c>
      <c r="E438">
        <v>1068</v>
      </c>
      <c r="F438">
        <v>69351</v>
      </c>
      <c r="G438">
        <v>193047</v>
      </c>
      <c r="H438" s="1">
        <v>46245</v>
      </c>
      <c r="I438" t="str">
        <v>6-223-01-B</v>
      </c>
      <c r="K438" t="str">
        <v>Shipped</v>
      </c>
      <c r="L438">
        <v>29979</v>
      </c>
    </row>
    <row r="439">
      <c r="A439">
        <v>714170</v>
      </c>
      <c r="B439" t="str">
        <v>11610091-MY-AK</v>
      </c>
      <c r="C439">
        <v>274</v>
      </c>
      <c r="E439">
        <v>1186</v>
      </c>
      <c r="F439">
        <v>77013</v>
      </c>
      <c r="G439">
        <v>193047</v>
      </c>
      <c r="H439" s="1">
        <v>46245</v>
      </c>
      <c r="I439" t="str">
        <v>6-223-02-A</v>
      </c>
      <c r="K439" t="str">
        <v>Shipped</v>
      </c>
      <c r="L439">
        <v>29974</v>
      </c>
    </row>
    <row r="440">
      <c r="A440">
        <v>714171</v>
      </c>
      <c r="B440" t="str">
        <v>11610091-MY-AK</v>
      </c>
      <c r="C440">
        <v>1781</v>
      </c>
      <c r="E440">
        <v>1176</v>
      </c>
      <c r="F440">
        <v>76364</v>
      </c>
      <c r="G440">
        <v>193047</v>
      </c>
      <c r="H440" s="1">
        <v>46245</v>
      </c>
      <c r="I440" t="str">
        <v>6-223-02-B</v>
      </c>
      <c r="K440" t="str">
        <v>Shipped</v>
      </c>
      <c r="L440">
        <v>29977</v>
      </c>
    </row>
    <row r="441">
      <c r="A441">
        <v>714421</v>
      </c>
      <c r="B441">
        <v>11546703</v>
      </c>
      <c r="C441">
        <v>1411</v>
      </c>
      <c r="E441">
        <v>1108</v>
      </c>
      <c r="F441">
        <v>136790</v>
      </c>
      <c r="G441">
        <v>193047</v>
      </c>
      <c r="H441" s="1">
        <v>46245</v>
      </c>
      <c r="I441" t="str">
        <v>6-222-47-A</v>
      </c>
      <c r="K441" t="str">
        <v>Shipped</v>
      </c>
      <c r="L441">
        <v>29974</v>
      </c>
    </row>
    <row r="442">
      <c r="A442">
        <v>714720</v>
      </c>
      <c r="B442">
        <v>94012078</v>
      </c>
      <c r="C442">
        <v>1351</v>
      </c>
      <c r="E442">
        <v>869</v>
      </c>
      <c r="F442">
        <v>2846</v>
      </c>
      <c r="G442">
        <v>193047</v>
      </c>
      <c r="H442" s="1">
        <v>46245</v>
      </c>
      <c r="I442" t="str">
        <v>6-222-37-A</v>
      </c>
      <c r="K442" t="str">
        <v>Shipped</v>
      </c>
      <c r="L442">
        <v>29977</v>
      </c>
    </row>
    <row r="443">
      <c r="A443">
        <v>714721</v>
      </c>
      <c r="B443">
        <v>94012078</v>
      </c>
      <c r="C443">
        <v>1345</v>
      </c>
      <c r="E443">
        <v>678</v>
      </c>
      <c r="F443">
        <v>2221</v>
      </c>
      <c r="G443">
        <v>193047</v>
      </c>
      <c r="H443" s="1">
        <v>46245</v>
      </c>
      <c r="I443" t="str">
        <v>6-222-37-B</v>
      </c>
      <c r="K443" t="str">
        <v>Shipped</v>
      </c>
      <c r="L443">
        <v>29977</v>
      </c>
    </row>
    <row r="444">
      <c r="A444">
        <v>714722</v>
      </c>
      <c r="B444">
        <v>94012078</v>
      </c>
      <c r="C444">
        <v>1423</v>
      </c>
      <c r="E444">
        <v>822</v>
      </c>
      <c r="F444">
        <v>2692</v>
      </c>
      <c r="G444">
        <v>193047</v>
      </c>
      <c r="H444" s="1">
        <v>46245</v>
      </c>
      <c r="I444" t="str">
        <v>6-222-37-C</v>
      </c>
      <c r="K444" t="str">
        <v>Shipped</v>
      </c>
      <c r="L444">
        <v>29987</v>
      </c>
    </row>
    <row r="445">
      <c r="A445">
        <v>714723</v>
      </c>
      <c r="B445">
        <v>94012078</v>
      </c>
      <c r="C445">
        <v>1667</v>
      </c>
      <c r="E445">
        <v>700</v>
      </c>
      <c r="F445">
        <v>2293</v>
      </c>
      <c r="G445">
        <v>193047</v>
      </c>
      <c r="H445" s="1">
        <v>46245</v>
      </c>
      <c r="I445" t="str">
        <v>6-222-37-D</v>
      </c>
      <c r="K445" t="str">
        <v>Shipped</v>
      </c>
      <c r="L445">
        <v>29974</v>
      </c>
    </row>
    <row r="446">
      <c r="A446">
        <v>715970</v>
      </c>
      <c r="B446" t="str">
        <v>NU3019-00</v>
      </c>
      <c r="C446">
        <v>1325</v>
      </c>
      <c r="E446">
        <v>1058</v>
      </c>
      <c r="F446">
        <v>5067</v>
      </c>
      <c r="G446">
        <v>193047</v>
      </c>
      <c r="H446" s="1">
        <v>46245</v>
      </c>
      <c r="I446" t="str">
        <v>6-223-12-A</v>
      </c>
      <c r="K446" t="str">
        <v>Shipped</v>
      </c>
      <c r="L446">
        <v>29980</v>
      </c>
    </row>
    <row r="447">
      <c r="A447">
        <v>715971</v>
      </c>
      <c r="B447" t="str">
        <v>NU3019-00</v>
      </c>
      <c r="C447">
        <v>1374</v>
      </c>
      <c r="E447">
        <v>1048</v>
      </c>
      <c r="F447">
        <v>5019</v>
      </c>
      <c r="G447">
        <v>193047</v>
      </c>
      <c r="H447" s="1">
        <v>46245</v>
      </c>
      <c r="I447" t="str">
        <v>6-223-12-B</v>
      </c>
      <c r="K447" t="str">
        <v>Shipped</v>
      </c>
      <c r="L447">
        <v>29980</v>
      </c>
    </row>
    <row r="448">
      <c r="A448">
        <v>715972</v>
      </c>
      <c r="B448" t="str">
        <v>NU3019-00</v>
      </c>
      <c r="C448">
        <v>507</v>
      </c>
      <c r="E448">
        <v>1087</v>
      </c>
      <c r="F448">
        <v>5206</v>
      </c>
      <c r="G448">
        <v>193047</v>
      </c>
      <c r="H448" s="1">
        <v>46245</v>
      </c>
      <c r="I448" t="str">
        <v>6-223-12-C</v>
      </c>
      <c r="K448" t="str">
        <v>Shipped</v>
      </c>
      <c r="L448">
        <v>29980</v>
      </c>
    </row>
    <row r="449">
      <c r="A449">
        <v>715974</v>
      </c>
      <c r="B449" t="str">
        <v>NU3019-00</v>
      </c>
      <c r="C449">
        <v>560</v>
      </c>
      <c r="E449">
        <v>1106</v>
      </c>
      <c r="F449">
        <v>5297</v>
      </c>
      <c r="G449">
        <v>193047</v>
      </c>
      <c r="H449" s="1">
        <v>46245</v>
      </c>
      <c r="I449" t="str">
        <v>6-223-12-D</v>
      </c>
      <c r="K449" t="str">
        <v>Shipped</v>
      </c>
      <c r="L449">
        <v>29980</v>
      </c>
    </row>
    <row r="450">
      <c r="A450">
        <v>715975</v>
      </c>
      <c r="B450" t="str">
        <v>NU3019-00</v>
      </c>
      <c r="C450">
        <v>197</v>
      </c>
      <c r="E450">
        <v>993</v>
      </c>
      <c r="F450">
        <v>4756</v>
      </c>
      <c r="G450">
        <v>193047</v>
      </c>
      <c r="H450" s="1">
        <v>46245</v>
      </c>
      <c r="I450" t="str">
        <v>6-223-12-E</v>
      </c>
      <c r="K450" t="str">
        <v>Shipped</v>
      </c>
      <c r="L450">
        <v>29980</v>
      </c>
    </row>
    <row r="451">
      <c r="A451">
        <v>715976</v>
      </c>
      <c r="B451" t="str">
        <v>NU3019-00</v>
      </c>
      <c r="C451">
        <v>1584</v>
      </c>
      <c r="E451">
        <v>1052</v>
      </c>
      <c r="F451">
        <v>5038</v>
      </c>
      <c r="G451">
        <v>193047</v>
      </c>
      <c r="H451" s="1">
        <v>46245</v>
      </c>
      <c r="I451" t="str">
        <v>6-223-12-F</v>
      </c>
      <c r="K451" t="str">
        <v>Shipped</v>
      </c>
      <c r="L451">
        <v>29980</v>
      </c>
    </row>
    <row r="452">
      <c r="A452">
        <v>715977</v>
      </c>
      <c r="B452" t="str">
        <v>NU3019-00</v>
      </c>
      <c r="C452">
        <v>1604</v>
      </c>
      <c r="E452">
        <v>1054</v>
      </c>
      <c r="F452">
        <v>5048</v>
      </c>
      <c r="G452">
        <v>193047</v>
      </c>
      <c r="H452" s="1">
        <v>46245</v>
      </c>
      <c r="I452" t="str">
        <v>6-223-12-G</v>
      </c>
      <c r="K452" t="str">
        <v>Shipped</v>
      </c>
      <c r="L452">
        <v>29980</v>
      </c>
    </row>
    <row r="453">
      <c r="A453">
        <v>715978</v>
      </c>
      <c r="B453" t="str">
        <v>NU3019-00</v>
      </c>
      <c r="C453">
        <v>578</v>
      </c>
      <c r="E453">
        <v>991</v>
      </c>
      <c r="F453">
        <v>4746</v>
      </c>
      <c r="G453">
        <v>193047</v>
      </c>
      <c r="H453" s="1">
        <v>46245</v>
      </c>
      <c r="I453" t="str">
        <v>6-223-12-H</v>
      </c>
      <c r="K453" t="str">
        <v>Shipped</v>
      </c>
      <c r="L453">
        <v>29980</v>
      </c>
    </row>
    <row r="454">
      <c r="A454">
        <v>715979</v>
      </c>
      <c r="B454" t="str">
        <v>NU3019-00</v>
      </c>
      <c r="C454">
        <v>1626</v>
      </c>
      <c r="E454">
        <v>1109</v>
      </c>
      <c r="F454">
        <v>5311</v>
      </c>
      <c r="G454">
        <v>193047</v>
      </c>
      <c r="H454" s="1">
        <v>46245</v>
      </c>
      <c r="I454" t="str">
        <v>6-223-12-I</v>
      </c>
      <c r="K454" t="str">
        <v>Shipped</v>
      </c>
      <c r="L454">
        <v>29980</v>
      </c>
    </row>
    <row r="455">
      <c r="A455">
        <v>715980</v>
      </c>
      <c r="B455" t="str">
        <v>NU3019-00</v>
      </c>
      <c r="C455">
        <v>1049</v>
      </c>
      <c r="E455">
        <v>1037</v>
      </c>
      <c r="F455">
        <v>4966</v>
      </c>
      <c r="G455">
        <v>193047</v>
      </c>
      <c r="H455" s="1">
        <v>46245</v>
      </c>
      <c r="I455" t="str">
        <v>6-223-11-A</v>
      </c>
      <c r="K455" t="str">
        <v>Shipped</v>
      </c>
      <c r="L455">
        <v>29980</v>
      </c>
    </row>
    <row r="456">
      <c r="A456">
        <v>715981</v>
      </c>
      <c r="B456" t="str">
        <v>NU3019-00</v>
      </c>
      <c r="C456">
        <v>198</v>
      </c>
      <c r="E456">
        <v>1044</v>
      </c>
      <c r="F456">
        <v>5000</v>
      </c>
      <c r="G456">
        <v>193047</v>
      </c>
      <c r="H456" s="1">
        <v>46245</v>
      </c>
      <c r="I456" t="str">
        <v>6-223-11-B</v>
      </c>
      <c r="K456" t="str">
        <v>Shipped</v>
      </c>
      <c r="L456">
        <v>29980</v>
      </c>
    </row>
    <row r="457">
      <c r="A457">
        <v>714135</v>
      </c>
      <c r="B457">
        <v>11547369</v>
      </c>
      <c r="C457">
        <v>911</v>
      </c>
      <c r="E457">
        <v>1323</v>
      </c>
      <c r="F457">
        <v>10934</v>
      </c>
      <c r="G457">
        <v>193065</v>
      </c>
      <c r="H457" s="1">
        <v>46246</v>
      </c>
      <c r="I457" t="str">
        <v>TRAVELERRECEIVED</v>
      </c>
      <c r="K457" t="str">
        <v>Shipped</v>
      </c>
      <c r="L457">
        <v>29979</v>
      </c>
    </row>
    <row r="458">
      <c r="A458">
        <v>714298</v>
      </c>
      <c r="B458">
        <v>11547369</v>
      </c>
      <c r="C458">
        <v>1685</v>
      </c>
      <c r="E458">
        <v>1408</v>
      </c>
      <c r="F458">
        <v>11636</v>
      </c>
      <c r="G458">
        <v>193065</v>
      </c>
      <c r="H458" s="1">
        <v>46246</v>
      </c>
      <c r="I458" t="str">
        <v>TRAVELERRECEIVED</v>
      </c>
      <c r="K458" t="str">
        <v>Shipped</v>
      </c>
      <c r="L458">
        <v>29977</v>
      </c>
    </row>
    <row r="459">
      <c r="A459">
        <v>714299</v>
      </c>
      <c r="B459">
        <v>11547369</v>
      </c>
      <c r="C459">
        <v>704</v>
      </c>
      <c r="E459">
        <v>1319</v>
      </c>
      <c r="F459">
        <v>10901</v>
      </c>
      <c r="G459">
        <v>193065</v>
      </c>
      <c r="H459" s="1">
        <v>46246</v>
      </c>
      <c r="I459" t="str">
        <v>TRAVELERRECEIVED</v>
      </c>
      <c r="K459" t="str">
        <v>Shipped</v>
      </c>
      <c r="L459">
        <v>29977</v>
      </c>
    </row>
    <row r="460">
      <c r="A460">
        <v>714478</v>
      </c>
      <c r="B460">
        <v>11547369</v>
      </c>
      <c r="C460">
        <v>412</v>
      </c>
      <c r="E460">
        <v>1324</v>
      </c>
      <c r="F460">
        <v>10942</v>
      </c>
      <c r="G460">
        <v>193065</v>
      </c>
      <c r="H460" s="1">
        <v>46246</v>
      </c>
      <c r="I460" t="str">
        <v>TRAVELERRECEIVED</v>
      </c>
      <c r="K460" t="str">
        <v>Shipped</v>
      </c>
      <c r="L460">
        <v>29977</v>
      </c>
    </row>
    <row r="461">
      <c r="A461">
        <v>714484</v>
      </c>
      <c r="B461">
        <v>11547369</v>
      </c>
      <c r="C461">
        <v>871</v>
      </c>
      <c r="E461">
        <v>1366</v>
      </c>
      <c r="F461">
        <v>11289</v>
      </c>
      <c r="G461">
        <v>193065</v>
      </c>
      <c r="H461" s="1">
        <v>46246</v>
      </c>
      <c r="I461" t="str">
        <v>TRAVELERRECEIVED</v>
      </c>
      <c r="K461" t="str">
        <v>Shipped</v>
      </c>
      <c r="L461">
        <v>29977</v>
      </c>
    </row>
    <row r="462">
      <c r="A462">
        <v>714486</v>
      </c>
      <c r="B462">
        <v>11547369</v>
      </c>
      <c r="C462">
        <v>67</v>
      </c>
      <c r="E462">
        <v>1358</v>
      </c>
      <c r="F462">
        <v>11223</v>
      </c>
      <c r="G462">
        <v>193065</v>
      </c>
      <c r="H462" s="1">
        <v>46246</v>
      </c>
      <c r="I462" t="str">
        <v>TRAVELERRECEIVED</v>
      </c>
      <c r="K462" t="str">
        <v>Shipped</v>
      </c>
      <c r="L462">
        <v>29977</v>
      </c>
    </row>
    <row r="463">
      <c r="A463">
        <v>715757</v>
      </c>
      <c r="B463">
        <v>11546449</v>
      </c>
      <c r="C463">
        <v>1711</v>
      </c>
      <c r="E463">
        <v>1001</v>
      </c>
      <c r="F463">
        <v>84831</v>
      </c>
      <c r="G463">
        <v>193065</v>
      </c>
      <c r="H463" s="1">
        <v>46246</v>
      </c>
      <c r="I463" t="str">
        <v>TRAVELERRECEIVED</v>
      </c>
      <c r="K463" t="str">
        <v>Shipped</v>
      </c>
      <c r="L463">
        <v>29991</v>
      </c>
    </row>
    <row r="464">
      <c r="A464">
        <v>715758</v>
      </c>
      <c r="B464">
        <v>11546449</v>
      </c>
      <c r="C464">
        <v>1674</v>
      </c>
      <c r="E464">
        <v>1030</v>
      </c>
      <c r="F464">
        <v>87288</v>
      </c>
      <c r="G464">
        <v>193065</v>
      </c>
      <c r="H464" s="1">
        <v>46246</v>
      </c>
      <c r="I464" t="str">
        <v>TRAVELERRECEIVED</v>
      </c>
      <c r="K464" t="str">
        <v>Shipped</v>
      </c>
      <c r="L464">
        <v>29988</v>
      </c>
    </row>
    <row r="465">
      <c r="A465">
        <v>715759</v>
      </c>
      <c r="B465">
        <v>11546449</v>
      </c>
      <c r="C465">
        <v>982</v>
      </c>
      <c r="E465">
        <v>1013</v>
      </c>
      <c r="F465">
        <v>85847</v>
      </c>
      <c r="G465">
        <v>193065</v>
      </c>
      <c r="H465" s="1">
        <v>46246</v>
      </c>
      <c r="I465" t="str">
        <v>TRAVELERRECEIVED</v>
      </c>
      <c r="K465" t="str">
        <v>Shipped</v>
      </c>
      <c r="L465">
        <v>29977</v>
      </c>
    </row>
    <row r="466">
      <c r="A466">
        <v>715760</v>
      </c>
      <c r="B466">
        <v>11546449</v>
      </c>
      <c r="C466">
        <v>619</v>
      </c>
      <c r="E466">
        <v>962</v>
      </c>
      <c r="F466">
        <v>81525</v>
      </c>
      <c r="G466">
        <v>193065</v>
      </c>
      <c r="H466" s="1">
        <v>46246</v>
      </c>
      <c r="I466" t="str">
        <v>TRAVELERRECEIVED</v>
      </c>
      <c r="K466" t="str">
        <v>Shipped</v>
      </c>
      <c r="L466">
        <v>29979</v>
      </c>
    </row>
    <row r="467">
      <c r="A467">
        <v>715761</v>
      </c>
      <c r="B467">
        <v>11546449</v>
      </c>
      <c r="C467">
        <v>241</v>
      </c>
      <c r="E467">
        <v>1095</v>
      </c>
      <c r="F467">
        <v>92797</v>
      </c>
      <c r="G467">
        <v>193065</v>
      </c>
      <c r="H467" s="1">
        <v>46246</v>
      </c>
      <c r="I467" t="str">
        <v>TRAVELERRECEIVED</v>
      </c>
      <c r="K467" t="str">
        <v>Shipped</v>
      </c>
      <c r="L467">
        <v>29979</v>
      </c>
    </row>
    <row r="468">
      <c r="A468">
        <v>715956</v>
      </c>
      <c r="B468" t="str">
        <v>11549169-MY-AK</v>
      </c>
      <c r="C468">
        <v>293</v>
      </c>
      <c r="E468">
        <v>1137</v>
      </c>
      <c r="F468">
        <v>24140</v>
      </c>
      <c r="G468">
        <v>193065</v>
      </c>
      <c r="H468" s="1">
        <v>46246</v>
      </c>
      <c r="I468" t="str">
        <v>TRAVELERRECEIVED</v>
      </c>
      <c r="K468" t="str">
        <v>Shipped</v>
      </c>
      <c r="L468">
        <v>29994</v>
      </c>
    </row>
    <row r="469">
      <c r="A469">
        <v>715957</v>
      </c>
      <c r="B469" t="str">
        <v>11549169-MY-AK</v>
      </c>
      <c r="C469">
        <v>132</v>
      </c>
      <c r="E469">
        <v>1172</v>
      </c>
      <c r="F469">
        <v>24883</v>
      </c>
      <c r="G469">
        <v>193065</v>
      </c>
      <c r="H469" s="1">
        <v>46246</v>
      </c>
      <c r="I469" t="str">
        <v>TRAVELERRECEIVED</v>
      </c>
      <c r="K469" t="str">
        <v>Shipped</v>
      </c>
      <c r="L469">
        <v>29988</v>
      </c>
    </row>
    <row r="470">
      <c r="A470">
        <v>715958</v>
      </c>
      <c r="B470" t="str">
        <v>11549169-MY-AK</v>
      </c>
      <c r="C470">
        <v>1429</v>
      </c>
      <c r="E470">
        <v>1115</v>
      </c>
      <c r="F470">
        <v>23673</v>
      </c>
      <c r="G470">
        <v>193065</v>
      </c>
      <c r="H470" s="1">
        <v>46246</v>
      </c>
      <c r="I470" t="str">
        <v>TRAVELERRECEIVED</v>
      </c>
      <c r="K470" t="str">
        <v>Shipped</v>
      </c>
      <c r="L470">
        <v>29987</v>
      </c>
    </row>
    <row r="471">
      <c r="A471">
        <v>715959</v>
      </c>
      <c r="B471" t="str">
        <v>11549169-MY-AK</v>
      </c>
      <c r="C471">
        <v>1574</v>
      </c>
      <c r="E471">
        <v>1205</v>
      </c>
      <c r="F471">
        <v>25584</v>
      </c>
      <c r="G471">
        <v>193065</v>
      </c>
      <c r="H471" s="1">
        <v>46246</v>
      </c>
      <c r="I471" t="str">
        <v>TRAVELERRECEIVED</v>
      </c>
      <c r="K471" t="str">
        <v>Shipped</v>
      </c>
      <c r="L471">
        <v>29994</v>
      </c>
    </row>
    <row r="472">
      <c r="A472">
        <v>715960</v>
      </c>
      <c r="B472" t="str">
        <v>11549169-MY-AK</v>
      </c>
      <c r="C472">
        <v>139</v>
      </c>
      <c r="E472">
        <v>1178</v>
      </c>
      <c r="F472">
        <v>25011</v>
      </c>
      <c r="G472">
        <v>193065</v>
      </c>
      <c r="H472" s="1">
        <v>46246</v>
      </c>
      <c r="I472" t="str">
        <v>TRAVELERRECEIVED</v>
      </c>
      <c r="K472" t="str">
        <v>Shipped</v>
      </c>
      <c r="L472">
        <v>29987</v>
      </c>
    </row>
    <row r="473">
      <c r="A473">
        <v>715961</v>
      </c>
      <c r="B473" t="str">
        <v>11549169-MY-AK</v>
      </c>
      <c r="C473">
        <v>1582</v>
      </c>
      <c r="E473">
        <v>1110</v>
      </c>
      <c r="F473">
        <v>23567</v>
      </c>
      <c r="G473">
        <v>193065</v>
      </c>
      <c r="H473" s="1">
        <v>46246</v>
      </c>
      <c r="I473" t="str">
        <v>TRAVELERRECEIVED</v>
      </c>
      <c r="K473" t="str">
        <v>Shipped</v>
      </c>
      <c r="L473">
        <v>29987</v>
      </c>
    </row>
    <row r="474">
      <c r="A474">
        <v>716096</v>
      </c>
      <c r="B474" t="str">
        <v>06105049AA</v>
      </c>
      <c r="C474">
        <v>178</v>
      </c>
      <c r="G474">
        <v>193065</v>
      </c>
      <c r="H474" s="1">
        <v>46246</v>
      </c>
      <c r="I474" t="str">
        <v>TRAVELERRECEIVED</v>
      </c>
      <c r="J474" t="str">
        <v>WAS TR#715868-06104388AA</v>
      </c>
      <c r="K474" t="str">
        <v>Shipped</v>
      </c>
      <c r="L474">
        <v>29987</v>
      </c>
    </row>
    <row r="475">
      <c r="A475">
        <v>716097</v>
      </c>
      <c r="B475" t="str">
        <v>06105049AA</v>
      </c>
      <c r="C475">
        <v>1602</v>
      </c>
      <c r="G475">
        <v>193065</v>
      </c>
      <c r="H475" s="1">
        <v>46246</v>
      </c>
      <c r="I475" t="str">
        <v>TRAVELERRECEIVED</v>
      </c>
      <c r="J475" t="str">
        <v>WAS TR#715869-06104388AA</v>
      </c>
      <c r="K475" t="str">
        <v>Shipped</v>
      </c>
      <c r="L475">
        <v>29987</v>
      </c>
    </row>
    <row r="476">
      <c r="A476">
        <v>716098</v>
      </c>
      <c r="B476" t="str">
        <v>06105049AA</v>
      </c>
      <c r="C476">
        <v>735</v>
      </c>
      <c r="G476">
        <v>193065</v>
      </c>
      <c r="H476" s="1">
        <v>46246</v>
      </c>
      <c r="I476" t="str">
        <v>TRAVELERRECEIVED</v>
      </c>
      <c r="J476" t="str">
        <v>WAS TR#715870-06104388AA</v>
      </c>
      <c r="K476" t="str">
        <v>Shipped</v>
      </c>
      <c r="L476">
        <v>29987</v>
      </c>
    </row>
    <row r="477">
      <c r="A477">
        <v>716099</v>
      </c>
      <c r="B477" t="str">
        <v>06105049AA</v>
      </c>
      <c r="C477">
        <v>223</v>
      </c>
      <c r="G477">
        <v>193065</v>
      </c>
      <c r="H477" s="1">
        <v>46246</v>
      </c>
      <c r="I477" t="str">
        <v>TRAVELERRECEIVED</v>
      </c>
      <c r="J477" t="str">
        <v>WAS TR#715871-06104388AA</v>
      </c>
      <c r="K477" t="str">
        <v>Shipped</v>
      </c>
      <c r="L477">
        <v>29987</v>
      </c>
    </row>
    <row r="478">
      <c r="A478">
        <v>716260</v>
      </c>
      <c r="B478">
        <v>11546545</v>
      </c>
      <c r="C478">
        <v>1541</v>
      </c>
      <c r="E478">
        <v>1022</v>
      </c>
      <c r="F478">
        <v>85167</v>
      </c>
      <c r="G478">
        <v>193065</v>
      </c>
      <c r="H478" s="1">
        <v>46246</v>
      </c>
      <c r="I478" t="str">
        <v>TRAVELERRECEIVED</v>
      </c>
      <c r="K478" t="str">
        <v>Shipped</v>
      </c>
      <c r="L478">
        <v>29994</v>
      </c>
    </row>
    <row r="479">
      <c r="A479">
        <v>716261</v>
      </c>
      <c r="B479">
        <v>11546545</v>
      </c>
      <c r="C479">
        <v>829</v>
      </c>
      <c r="E479">
        <v>1138</v>
      </c>
      <c r="F479">
        <v>94833</v>
      </c>
      <c r="G479">
        <v>193065</v>
      </c>
      <c r="H479" s="1">
        <v>46246</v>
      </c>
      <c r="I479" t="str">
        <v>TRAVELERRECEIVED</v>
      </c>
      <c r="K479" t="str">
        <v>Shipped</v>
      </c>
      <c r="L479">
        <v>29987</v>
      </c>
    </row>
    <row r="480">
      <c r="A480">
        <v>716262</v>
      </c>
      <c r="B480">
        <v>11546545</v>
      </c>
      <c r="C480">
        <v>200</v>
      </c>
      <c r="E480">
        <v>1100</v>
      </c>
      <c r="F480">
        <v>91667</v>
      </c>
      <c r="G480">
        <v>193065</v>
      </c>
      <c r="H480" s="1">
        <v>46246</v>
      </c>
      <c r="I480" t="str">
        <v>TRAVELERRECEIVED</v>
      </c>
      <c r="K480" t="str">
        <v>Shipped</v>
      </c>
      <c r="L480">
        <v>29991</v>
      </c>
    </row>
    <row r="481">
      <c r="A481">
        <v>716263</v>
      </c>
      <c r="B481">
        <v>11546545</v>
      </c>
      <c r="C481">
        <v>1069</v>
      </c>
      <c r="E481">
        <v>1061</v>
      </c>
      <c r="F481">
        <v>88417</v>
      </c>
      <c r="G481">
        <v>193065</v>
      </c>
      <c r="H481" s="1">
        <v>46246</v>
      </c>
      <c r="I481" t="str">
        <v>TRAVELERRECEIVED</v>
      </c>
      <c r="K481" t="str">
        <v>Shipped</v>
      </c>
      <c r="L481">
        <v>29994</v>
      </c>
    </row>
    <row r="482">
      <c r="A482">
        <v>716264</v>
      </c>
      <c r="B482">
        <v>11546545</v>
      </c>
      <c r="C482">
        <v>1659</v>
      </c>
      <c r="E482">
        <v>1082</v>
      </c>
      <c r="F482">
        <v>90167</v>
      </c>
      <c r="G482">
        <v>193065</v>
      </c>
      <c r="H482" s="1">
        <v>46246</v>
      </c>
      <c r="I482" t="str">
        <v>TRAVELERRECEIVED</v>
      </c>
      <c r="K482">
        <f>IF(ISERROR(MATCH(WORKORDER[[#This Row],[TRAVELER]],Table1[TRAVELER],0)),K482,"Shipped")</f>
        <v>0</v>
      </c>
      <c r="L482">
        <f>+IF(ISERROR(MATCH(WORKORDER[[#This Row],[TRAVELER]],Table1[TRAVELER],0)),L482,'PACKING SLIP'!$F$5)</f>
        <v>0</v>
      </c>
    </row>
    <row r="483">
      <c r="A483">
        <v>716265</v>
      </c>
      <c r="B483">
        <v>11546545</v>
      </c>
      <c r="C483">
        <v>831</v>
      </c>
      <c r="E483">
        <v>1057</v>
      </c>
      <c r="F483">
        <v>88083</v>
      </c>
      <c r="G483">
        <v>193065</v>
      </c>
      <c r="H483" s="1">
        <v>46246</v>
      </c>
      <c r="I483" t="str">
        <v>TRAVELERRECEIVED</v>
      </c>
      <c r="K483" t="str">
        <v>Shipped</v>
      </c>
      <c r="L483">
        <v>29994</v>
      </c>
    </row>
    <row r="484">
      <c r="A484">
        <v>716266</v>
      </c>
      <c r="B484">
        <v>11546545</v>
      </c>
      <c r="C484">
        <v>854</v>
      </c>
      <c r="E484">
        <v>1073</v>
      </c>
      <c r="F484">
        <v>89417</v>
      </c>
      <c r="G484">
        <v>193065</v>
      </c>
      <c r="H484" s="1">
        <v>46246</v>
      </c>
      <c r="I484" t="str">
        <v>TRAVELERRECEIVED</v>
      </c>
      <c r="K484" t="str">
        <v>Shipped</v>
      </c>
      <c r="L484">
        <v>29987</v>
      </c>
    </row>
    <row r="485">
      <c r="A485">
        <v>716267</v>
      </c>
      <c r="B485">
        <v>11546545</v>
      </c>
      <c r="C485">
        <v>224</v>
      </c>
      <c r="E485">
        <v>1130</v>
      </c>
      <c r="F485">
        <v>94167</v>
      </c>
      <c r="G485">
        <v>193065</v>
      </c>
      <c r="H485" s="1">
        <v>46246</v>
      </c>
      <c r="I485" t="str">
        <v>TRAVELERRECEIVED</v>
      </c>
      <c r="K485" t="str">
        <v>Shipped</v>
      </c>
      <c r="L485">
        <v>29979</v>
      </c>
    </row>
    <row r="486">
      <c r="A486">
        <v>716268</v>
      </c>
      <c r="B486">
        <v>11546545</v>
      </c>
      <c r="C486">
        <v>913</v>
      </c>
      <c r="E486">
        <v>1086</v>
      </c>
      <c r="F486">
        <v>90500</v>
      </c>
      <c r="G486">
        <v>193065</v>
      </c>
      <c r="H486" s="1">
        <v>46246</v>
      </c>
      <c r="I486" t="str">
        <v>TRAVELERRECEIVED</v>
      </c>
      <c r="K486" t="str">
        <v>Shipped</v>
      </c>
      <c r="L486">
        <v>29987</v>
      </c>
    </row>
    <row r="487">
      <c r="A487">
        <v>716269</v>
      </c>
      <c r="B487">
        <v>11546545</v>
      </c>
      <c r="C487">
        <v>541</v>
      </c>
      <c r="E487">
        <v>1118</v>
      </c>
      <c r="F487">
        <v>93167</v>
      </c>
      <c r="G487">
        <v>193065</v>
      </c>
      <c r="H487" s="1">
        <v>46246</v>
      </c>
      <c r="I487" t="str">
        <v>TRAVELERRECEIVED</v>
      </c>
      <c r="K487" t="str">
        <v>Shipped</v>
      </c>
      <c r="L487">
        <v>29991</v>
      </c>
    </row>
    <row r="488">
      <c r="A488">
        <v>716270</v>
      </c>
      <c r="B488">
        <v>11546545</v>
      </c>
      <c r="C488">
        <v>1566</v>
      </c>
      <c r="E488">
        <v>1078</v>
      </c>
      <c r="F488">
        <v>89833</v>
      </c>
      <c r="G488">
        <v>193065</v>
      </c>
      <c r="H488" s="1">
        <v>46246</v>
      </c>
      <c r="I488" t="str">
        <v>TRAVELERRECEIVED</v>
      </c>
      <c r="K488" t="str">
        <v>Shipped</v>
      </c>
      <c r="L488">
        <v>29994</v>
      </c>
    </row>
    <row r="489">
      <c r="A489">
        <v>716271</v>
      </c>
      <c r="B489">
        <v>11546545</v>
      </c>
      <c r="C489">
        <v>284</v>
      </c>
      <c r="E489">
        <v>1128</v>
      </c>
      <c r="F489">
        <v>94000</v>
      </c>
      <c r="G489">
        <v>193065</v>
      </c>
      <c r="H489" s="1">
        <v>46246</v>
      </c>
      <c r="I489" t="str">
        <v>TRAVELERRECEIVED</v>
      </c>
      <c r="K489" t="str">
        <v>Shipped</v>
      </c>
      <c r="L489">
        <v>29988</v>
      </c>
    </row>
    <row r="490">
      <c r="A490">
        <v>710150</v>
      </c>
      <c r="B490" t="str">
        <v>11612078-B</v>
      </c>
      <c r="C490">
        <v>239</v>
      </c>
      <c r="E490">
        <v>1267</v>
      </c>
      <c r="F490">
        <v>72000</v>
      </c>
      <c r="G490">
        <v>193079</v>
      </c>
      <c r="H490" s="1">
        <v>46246</v>
      </c>
      <c r="I490" t="str">
        <v>SORT&amp;RETURN</v>
      </c>
      <c r="K490">
        <f>IF(ISERROR(MATCH(WORKORDER[[#This Row],[TRAVELER]],Table1[TRAVELER],0)),K490,"Shipped")</f>
        <v>0</v>
      </c>
      <c r="L490">
        <f>+IF(ISERROR(MATCH(WORKORDER[[#This Row],[TRAVELER]],Table1[TRAVELER],0)),L490,'PACKING SLIP'!$F$5)</f>
        <v>0</v>
      </c>
    </row>
    <row r="491">
      <c r="A491">
        <v>711774</v>
      </c>
      <c r="B491" t="str">
        <v>06511672AA</v>
      </c>
      <c r="C491">
        <v>1358</v>
      </c>
      <c r="E491">
        <v>1113</v>
      </c>
      <c r="F491">
        <v>47974</v>
      </c>
      <c r="G491">
        <v>193079</v>
      </c>
      <c r="H491" s="1">
        <v>46246</v>
      </c>
      <c r="I491" t="str">
        <v>6-223-13-C</v>
      </c>
      <c r="K491" t="str">
        <v>Shipped</v>
      </c>
      <c r="L491">
        <v>29977</v>
      </c>
    </row>
    <row r="492">
      <c r="A492">
        <v>712205</v>
      </c>
      <c r="B492" t="str">
        <v>06511799AA</v>
      </c>
      <c r="C492" t="str">
        <v>35 CTNS</v>
      </c>
      <c r="E492">
        <v>904</v>
      </c>
      <c r="F492">
        <v>58701</v>
      </c>
      <c r="G492">
        <v>193079</v>
      </c>
      <c r="H492" s="1">
        <v>46246</v>
      </c>
      <c r="I492" t="str">
        <v>6-223-15-A</v>
      </c>
      <c r="K492" t="str">
        <v>Shipped</v>
      </c>
      <c r="L492">
        <v>29980</v>
      </c>
    </row>
    <row r="493">
      <c r="A493">
        <v>712206</v>
      </c>
      <c r="B493" t="str">
        <v>06511799AA</v>
      </c>
      <c r="C493" t="str">
        <v>37CTNS</v>
      </c>
      <c r="E493">
        <v>1031</v>
      </c>
      <c r="F493">
        <v>66948</v>
      </c>
      <c r="G493">
        <v>193079</v>
      </c>
      <c r="H493" s="1">
        <v>46246</v>
      </c>
      <c r="I493" t="str">
        <v>6-223-15-B</v>
      </c>
      <c r="K493" t="str">
        <v>Shipped</v>
      </c>
      <c r="L493">
        <v>29980</v>
      </c>
    </row>
    <row r="494">
      <c r="A494">
        <v>712884</v>
      </c>
      <c r="B494" t="str">
        <v>11612078-B</v>
      </c>
      <c r="C494">
        <v>228</v>
      </c>
      <c r="E494">
        <v>1267</v>
      </c>
      <c r="F494">
        <v>72000</v>
      </c>
      <c r="G494">
        <v>193079</v>
      </c>
      <c r="H494" s="1">
        <v>46246</v>
      </c>
      <c r="I494" t="str">
        <v>SORT&amp;RETURN</v>
      </c>
      <c r="K494">
        <f>IF(ISERROR(MATCH(WORKORDER[[#This Row],[TRAVELER]],Table1[TRAVELER],0)),K494,"Shipped")</f>
        <v>0</v>
      </c>
      <c r="L494">
        <f>+IF(ISERROR(MATCH(WORKORDER[[#This Row],[TRAVELER]],Table1[TRAVELER],0)),L494,'PACKING SLIP'!$F$5)</f>
        <v>0</v>
      </c>
    </row>
    <row r="495">
      <c r="A495">
        <v>712977</v>
      </c>
      <c r="B495" t="str">
        <v>06511799AA</v>
      </c>
      <c r="C495" t="str">
        <v>39CTNS</v>
      </c>
      <c r="E495">
        <v>1065</v>
      </c>
      <c r="F495">
        <v>69156</v>
      </c>
      <c r="G495">
        <v>193079</v>
      </c>
      <c r="H495" s="1">
        <v>46246</v>
      </c>
      <c r="I495" t="str">
        <v>6-223-16-A</v>
      </c>
      <c r="K495" t="str">
        <v>Shipped</v>
      </c>
      <c r="L495">
        <v>29980</v>
      </c>
    </row>
    <row r="496">
      <c r="A496">
        <v>713268</v>
      </c>
      <c r="B496" t="str">
        <v>W711468-S437</v>
      </c>
      <c r="C496">
        <v>546</v>
      </c>
      <c r="E496">
        <v>806</v>
      </c>
      <c r="F496">
        <v>46590</v>
      </c>
      <c r="G496">
        <v>193079</v>
      </c>
      <c r="H496" s="1">
        <v>46246</v>
      </c>
      <c r="I496" t="str">
        <v>6-224-02-A</v>
      </c>
      <c r="K496" t="str">
        <v>Shipped</v>
      </c>
      <c r="L496">
        <v>29988</v>
      </c>
    </row>
    <row r="497">
      <c r="A497">
        <v>713852</v>
      </c>
      <c r="B497">
        <v>11546703</v>
      </c>
      <c r="C497">
        <v>1393</v>
      </c>
      <c r="E497">
        <v>1002</v>
      </c>
      <c r="F497">
        <v>123704</v>
      </c>
      <c r="G497">
        <v>193079</v>
      </c>
      <c r="H497" s="1">
        <v>46246</v>
      </c>
      <c r="I497" t="str">
        <v>6-222-45-B</v>
      </c>
      <c r="K497" t="str">
        <v>Shipped</v>
      </c>
      <c r="L497">
        <v>29977</v>
      </c>
    </row>
    <row r="498">
      <c r="A498">
        <v>713855</v>
      </c>
      <c r="B498">
        <v>11546703</v>
      </c>
      <c r="C498">
        <v>1395</v>
      </c>
      <c r="E498">
        <v>1029</v>
      </c>
      <c r="F498">
        <v>127037</v>
      </c>
      <c r="G498">
        <v>193079</v>
      </c>
      <c r="H498" s="1">
        <v>46246</v>
      </c>
      <c r="I498" t="str">
        <v>6-222-46-A</v>
      </c>
      <c r="K498" t="str">
        <v>Shipped</v>
      </c>
      <c r="L498">
        <v>29977</v>
      </c>
    </row>
    <row r="499">
      <c r="A499">
        <v>713867</v>
      </c>
      <c r="B499" t="str">
        <v>06511672AA</v>
      </c>
      <c r="C499">
        <v>517</v>
      </c>
      <c r="E499">
        <v>1004</v>
      </c>
      <c r="F499">
        <v>43276</v>
      </c>
      <c r="G499">
        <v>193079</v>
      </c>
      <c r="H499" s="1">
        <v>46246</v>
      </c>
      <c r="I499" t="str">
        <v>6-223-13-E</v>
      </c>
      <c r="K499" t="str">
        <v>Shipped</v>
      </c>
      <c r="L499">
        <v>29977</v>
      </c>
    </row>
    <row r="500">
      <c r="A500">
        <v>714428</v>
      </c>
      <c r="B500">
        <v>11561645</v>
      </c>
      <c r="C500">
        <v>1071</v>
      </c>
      <c r="E500">
        <v>965</v>
      </c>
      <c r="F500">
        <v>125325</v>
      </c>
      <c r="G500">
        <v>193079</v>
      </c>
      <c r="H500" s="1">
        <v>46246</v>
      </c>
      <c r="I500" t="str">
        <v>6-217-23-A</v>
      </c>
      <c r="K500" t="str">
        <v>Shipped</v>
      </c>
      <c r="L500">
        <v>29996</v>
      </c>
    </row>
    <row r="501">
      <c r="A501">
        <v>715790</v>
      </c>
      <c r="B501">
        <v>11546566</v>
      </c>
      <c r="C501">
        <v>1416</v>
      </c>
      <c r="E501">
        <v>867</v>
      </c>
      <c r="F501">
        <v>48167</v>
      </c>
      <c r="G501">
        <v>193079</v>
      </c>
      <c r="H501" s="1">
        <v>46246</v>
      </c>
      <c r="I501" t="str">
        <v>6-224-06-A</v>
      </c>
      <c r="K501" t="str">
        <v>Shipped</v>
      </c>
      <c r="L501">
        <v>29977</v>
      </c>
    </row>
    <row r="502">
      <c r="A502">
        <v>715792</v>
      </c>
      <c r="B502" t="str">
        <v>W711953-S900</v>
      </c>
      <c r="C502">
        <v>605</v>
      </c>
      <c r="E502">
        <v>309</v>
      </c>
      <c r="F502">
        <v>20065</v>
      </c>
      <c r="G502">
        <v>193079</v>
      </c>
      <c r="H502" s="1">
        <v>46246</v>
      </c>
      <c r="I502" t="str">
        <v>6-223-18-A</v>
      </c>
      <c r="K502" t="str">
        <v>Shipped</v>
      </c>
      <c r="L502">
        <v>29987</v>
      </c>
    </row>
    <row r="503">
      <c r="A503">
        <v>715799</v>
      </c>
      <c r="B503" t="str">
        <v>1K2GZ0-00</v>
      </c>
      <c r="C503">
        <v>1545</v>
      </c>
      <c r="E503">
        <v>599</v>
      </c>
      <c r="F503">
        <v>93594</v>
      </c>
      <c r="G503">
        <v>193079</v>
      </c>
      <c r="H503" s="1">
        <v>46246</v>
      </c>
      <c r="I503" t="str">
        <v>6-223-17-A</v>
      </c>
      <c r="K503" t="str">
        <v>Shipped</v>
      </c>
      <c r="L503">
        <v>29987</v>
      </c>
    </row>
    <row r="504">
      <c r="A504">
        <v>715802</v>
      </c>
      <c r="B504">
        <v>22800396</v>
      </c>
      <c r="C504">
        <v>161</v>
      </c>
      <c r="E504">
        <v>650</v>
      </c>
      <c r="F504">
        <v>29148</v>
      </c>
      <c r="G504">
        <v>193079</v>
      </c>
      <c r="H504" s="1">
        <v>46246</v>
      </c>
      <c r="I504" t="str">
        <v>6-223-20-A</v>
      </c>
      <c r="K504" t="str">
        <v>Shipped</v>
      </c>
      <c r="L504">
        <v>29977</v>
      </c>
    </row>
    <row r="505">
      <c r="A505">
        <v>715804</v>
      </c>
      <c r="B505">
        <v>7151143403</v>
      </c>
      <c r="C505">
        <v>276</v>
      </c>
      <c r="E505">
        <v>982</v>
      </c>
      <c r="F505">
        <v>58107</v>
      </c>
      <c r="G505">
        <v>193079</v>
      </c>
      <c r="H505" s="1">
        <v>46246</v>
      </c>
      <c r="I505" t="str">
        <v>6-224-24-A</v>
      </c>
      <c r="K505" t="str">
        <v>Shipped</v>
      </c>
      <c r="L505">
        <v>29991</v>
      </c>
    </row>
    <row r="506">
      <c r="A506">
        <v>716000</v>
      </c>
      <c r="B506">
        <v>11546571</v>
      </c>
      <c r="C506">
        <v>341</v>
      </c>
      <c r="E506">
        <v>872</v>
      </c>
      <c r="F506">
        <v>52216</v>
      </c>
      <c r="G506">
        <v>193079</v>
      </c>
      <c r="H506" s="1">
        <v>46246</v>
      </c>
      <c r="I506" t="str">
        <v>6-223-14-A</v>
      </c>
      <c r="K506" t="str">
        <v>Shipped</v>
      </c>
      <c r="L506">
        <v>29977</v>
      </c>
    </row>
    <row r="507">
      <c r="A507">
        <v>716001</v>
      </c>
      <c r="B507">
        <v>11546571</v>
      </c>
      <c r="C507">
        <v>1074</v>
      </c>
      <c r="E507">
        <v>771</v>
      </c>
      <c r="F507">
        <v>46168</v>
      </c>
      <c r="G507">
        <v>193079</v>
      </c>
      <c r="H507" s="1">
        <v>46246</v>
      </c>
      <c r="I507" t="str">
        <v>6-223-14-B</v>
      </c>
      <c r="K507" t="str">
        <v>Shipped</v>
      </c>
      <c r="L507">
        <v>29977</v>
      </c>
    </row>
    <row r="508">
      <c r="A508">
        <v>716003</v>
      </c>
      <c r="B508">
        <v>11546571</v>
      </c>
      <c r="C508">
        <v>1753</v>
      </c>
      <c r="E508">
        <v>748</v>
      </c>
      <c r="F508">
        <v>44790</v>
      </c>
      <c r="G508">
        <v>193079</v>
      </c>
      <c r="H508" s="1">
        <v>46246</v>
      </c>
      <c r="I508" t="str">
        <v>6-223-14-D</v>
      </c>
      <c r="K508" t="str">
        <v>Shipped</v>
      </c>
      <c r="L508">
        <v>29977</v>
      </c>
    </row>
    <row r="509">
      <c r="A509">
        <v>716084</v>
      </c>
      <c r="B509">
        <v>94012038</v>
      </c>
      <c r="C509">
        <v>388</v>
      </c>
      <c r="E509">
        <v>362</v>
      </c>
      <c r="F509">
        <v>46410</v>
      </c>
      <c r="G509">
        <v>193079</v>
      </c>
      <c r="H509" s="1">
        <v>46246</v>
      </c>
      <c r="I509" t="str">
        <v>6-223-19-A</v>
      </c>
      <c r="K509" t="str">
        <v>Shipped</v>
      </c>
      <c r="L509">
        <v>29991</v>
      </c>
    </row>
    <row r="510">
      <c r="A510">
        <v>714518</v>
      </c>
      <c r="B510" t="str">
        <v>11549169-MY-AK</v>
      </c>
      <c r="C510">
        <v>369</v>
      </c>
      <c r="E510">
        <v>1034</v>
      </c>
      <c r="F510">
        <v>21953</v>
      </c>
      <c r="G510">
        <v>193092</v>
      </c>
      <c r="H510" s="1">
        <v>46247</v>
      </c>
      <c r="I510" t="str">
        <v>TRAVELERRECEIVED</v>
      </c>
      <c r="K510" t="str">
        <v>Shipped</v>
      </c>
      <c r="L510">
        <v>30018</v>
      </c>
    </row>
    <row r="511">
      <c r="A511">
        <v>714519</v>
      </c>
      <c r="B511" t="str">
        <v>11549169-MY-AK</v>
      </c>
      <c r="C511">
        <v>494</v>
      </c>
      <c r="E511">
        <v>1265</v>
      </c>
      <c r="F511">
        <v>26858</v>
      </c>
      <c r="G511">
        <v>193092</v>
      </c>
      <c r="H511" s="1">
        <v>46247</v>
      </c>
      <c r="I511" t="str">
        <v>TRAVELERRECEIVED</v>
      </c>
      <c r="K511" t="str">
        <v>Shipped</v>
      </c>
      <c r="L511">
        <v>30008</v>
      </c>
    </row>
    <row r="512">
      <c r="A512">
        <v>714520</v>
      </c>
      <c r="B512" t="str">
        <v>11549169-MY-AK</v>
      </c>
      <c r="C512">
        <v>1365</v>
      </c>
      <c r="E512">
        <v>1090</v>
      </c>
      <c r="F512">
        <v>23142</v>
      </c>
      <c r="G512">
        <v>193092</v>
      </c>
      <c r="H512" s="1">
        <v>46247</v>
      </c>
      <c r="I512" t="str">
        <v>TRAVELERRECEIVED</v>
      </c>
      <c r="K512" t="str">
        <v>Shipped</v>
      </c>
      <c r="L512">
        <v>29998</v>
      </c>
    </row>
    <row r="513">
      <c r="A513">
        <v>714521</v>
      </c>
      <c r="B513" t="str">
        <v>11549169-MY-AK</v>
      </c>
      <c r="C513">
        <v>1800</v>
      </c>
      <c r="E513">
        <v>1249</v>
      </c>
      <c r="F513">
        <v>26518</v>
      </c>
      <c r="G513">
        <v>193092</v>
      </c>
      <c r="H513" s="1">
        <v>46247</v>
      </c>
      <c r="I513" t="str">
        <v>TRAVELERRECEIVED</v>
      </c>
      <c r="K513" t="str">
        <v>Shipped</v>
      </c>
      <c r="L513">
        <v>29998</v>
      </c>
    </row>
    <row r="514">
      <c r="A514">
        <v>715606</v>
      </c>
      <c r="B514" t="str">
        <v>06101968-A</v>
      </c>
      <c r="C514">
        <v>1329</v>
      </c>
      <c r="E514">
        <v>994</v>
      </c>
      <c r="F514">
        <v>75303</v>
      </c>
      <c r="G514">
        <v>193092</v>
      </c>
      <c r="H514" s="1">
        <v>46247</v>
      </c>
      <c r="I514" t="str">
        <v>TRAVELERRECEIVED</v>
      </c>
      <c r="K514" t="str">
        <v>Shipped</v>
      </c>
      <c r="L514">
        <v>29996</v>
      </c>
    </row>
    <row r="515">
      <c r="A515">
        <v>715607</v>
      </c>
      <c r="B515" t="str">
        <v>06101968-A</v>
      </c>
      <c r="C515">
        <v>1066</v>
      </c>
      <c r="E515">
        <v>967</v>
      </c>
      <c r="F515">
        <v>73258</v>
      </c>
      <c r="G515">
        <v>193092</v>
      </c>
      <c r="H515" s="1">
        <v>46247</v>
      </c>
      <c r="I515" t="str">
        <v>TRAVELERRECEIVED</v>
      </c>
      <c r="J515" t="str">
        <v>DONE</v>
      </c>
      <c r="K515" t="str">
        <v>Shipped</v>
      </c>
      <c r="L515">
        <v>30044</v>
      </c>
    </row>
    <row r="516">
      <c r="A516">
        <v>715752</v>
      </c>
      <c r="B516">
        <v>11546449</v>
      </c>
      <c r="C516">
        <v>171</v>
      </c>
      <c r="E516">
        <v>1090</v>
      </c>
      <c r="F516">
        <v>92373</v>
      </c>
      <c r="G516">
        <v>193092</v>
      </c>
      <c r="H516" s="1">
        <v>46247</v>
      </c>
      <c r="I516" t="str">
        <v>TRAVELERRECEIVED</v>
      </c>
      <c r="J516" t="str">
        <v>DONE</v>
      </c>
      <c r="K516" t="str">
        <v>Shipped</v>
      </c>
      <c r="L516">
        <f>+IF(ISERROR(MATCH(WORKORDER[[#This Row],[TRAVELER]],Table1[TRAVELER],0)),L516,'PACKING SLIP'!$F$5)</f>
        <v>0</v>
      </c>
    </row>
    <row r="517">
      <c r="A517">
        <v>715753</v>
      </c>
      <c r="B517">
        <v>11546449</v>
      </c>
      <c r="C517">
        <v>1328</v>
      </c>
      <c r="E517">
        <v>958</v>
      </c>
      <c r="F517">
        <v>81186</v>
      </c>
      <c r="G517">
        <v>193092</v>
      </c>
      <c r="H517" s="1">
        <v>46247</v>
      </c>
      <c r="I517" t="str">
        <v>TRAVELERRECEIVED</v>
      </c>
      <c r="K517" t="str">
        <v>Shipped</v>
      </c>
      <c r="L517">
        <v>29991</v>
      </c>
    </row>
    <row r="518">
      <c r="A518">
        <v>715754</v>
      </c>
      <c r="B518">
        <v>11546449</v>
      </c>
      <c r="C518">
        <v>734</v>
      </c>
      <c r="E518">
        <v>970</v>
      </c>
      <c r="F518">
        <v>82203</v>
      </c>
      <c r="G518">
        <v>193092</v>
      </c>
      <c r="H518" s="1">
        <v>46247</v>
      </c>
      <c r="I518" t="str">
        <v>TRAVELERRECEIVED</v>
      </c>
      <c r="K518" t="str">
        <v>Shipped</v>
      </c>
      <c r="L518">
        <v>29996</v>
      </c>
    </row>
    <row r="519">
      <c r="A519">
        <v>715755</v>
      </c>
      <c r="B519">
        <v>11546449</v>
      </c>
      <c r="C519">
        <v>194</v>
      </c>
      <c r="E519">
        <v>1070</v>
      </c>
      <c r="F519">
        <v>90678</v>
      </c>
      <c r="G519">
        <v>193092</v>
      </c>
      <c r="H519" s="1">
        <v>46247</v>
      </c>
      <c r="I519" t="str">
        <v>TRAVELERRECEIVED</v>
      </c>
      <c r="K519" t="str">
        <v>Shipped</v>
      </c>
      <c r="L519">
        <v>29991</v>
      </c>
    </row>
    <row r="520">
      <c r="A520">
        <v>715756</v>
      </c>
      <c r="B520">
        <v>11546449</v>
      </c>
      <c r="C520">
        <v>683</v>
      </c>
      <c r="E520">
        <v>1047</v>
      </c>
      <c r="F520">
        <v>88729</v>
      </c>
      <c r="G520">
        <v>193092</v>
      </c>
      <c r="H520" s="1">
        <v>46247</v>
      </c>
      <c r="I520" t="str">
        <v>TRAVELERRECEIVED</v>
      </c>
      <c r="K520" t="str">
        <v>Shipped</v>
      </c>
      <c r="L520">
        <v>29991</v>
      </c>
    </row>
    <row r="521">
      <c r="A521">
        <v>715762</v>
      </c>
      <c r="B521">
        <v>11546449</v>
      </c>
      <c r="C521">
        <v>268</v>
      </c>
      <c r="E521">
        <v>1012</v>
      </c>
      <c r="F521">
        <v>85763</v>
      </c>
      <c r="G521">
        <v>193092</v>
      </c>
      <c r="H521" s="1">
        <v>46247</v>
      </c>
      <c r="I521" t="str">
        <v>TRAVELERRECEIVED</v>
      </c>
      <c r="K521" t="str">
        <v>Shipped</v>
      </c>
      <c r="L521">
        <v>30008</v>
      </c>
    </row>
    <row r="522">
      <c r="A522">
        <v>715763</v>
      </c>
      <c r="B522">
        <v>11546449</v>
      </c>
      <c r="C522">
        <v>702</v>
      </c>
      <c r="E522">
        <v>1050</v>
      </c>
      <c r="F522">
        <v>88983</v>
      </c>
      <c r="G522">
        <v>193092</v>
      </c>
      <c r="H522" s="1">
        <v>46247</v>
      </c>
      <c r="I522" t="str">
        <v>TRAVELERRECEIVED</v>
      </c>
      <c r="K522" t="str">
        <v>Shipped</v>
      </c>
      <c r="L522">
        <v>30004</v>
      </c>
    </row>
    <row r="523">
      <c r="A523">
        <v>715764</v>
      </c>
      <c r="B523">
        <v>11546449</v>
      </c>
      <c r="C523">
        <v>32</v>
      </c>
      <c r="E523">
        <v>988</v>
      </c>
      <c r="F523">
        <v>83729</v>
      </c>
      <c r="G523">
        <v>193092</v>
      </c>
      <c r="H523" s="1">
        <v>46247</v>
      </c>
      <c r="I523" t="str">
        <v>TRAVELERRECEIVED</v>
      </c>
      <c r="K523" t="str">
        <v>Shipped</v>
      </c>
      <c r="L523">
        <v>30004</v>
      </c>
    </row>
    <row r="524">
      <c r="A524">
        <v>715765</v>
      </c>
      <c r="B524">
        <v>11546449</v>
      </c>
      <c r="C524">
        <v>951</v>
      </c>
      <c r="E524">
        <v>1056</v>
      </c>
      <c r="F524">
        <v>89492</v>
      </c>
      <c r="G524">
        <v>193092</v>
      </c>
      <c r="H524" s="1">
        <v>46247</v>
      </c>
      <c r="I524" t="str">
        <v>TRAVELERRECEIVED</v>
      </c>
      <c r="K524" t="str">
        <v>Shipped</v>
      </c>
      <c r="L524">
        <v>30018</v>
      </c>
    </row>
    <row r="525">
      <c r="A525">
        <v>715846</v>
      </c>
      <c r="B525" t="str">
        <v>06104384AA</v>
      </c>
      <c r="C525">
        <v>530</v>
      </c>
      <c r="E525">
        <v>935</v>
      </c>
      <c r="F525">
        <v>24735</v>
      </c>
      <c r="G525">
        <v>193092</v>
      </c>
      <c r="H525" s="1">
        <v>46247</v>
      </c>
      <c r="I525" t="str">
        <v>TRAVELERRECEIVED</v>
      </c>
      <c r="K525" t="str">
        <v>Shipped</v>
      </c>
      <c r="L525">
        <v>29991</v>
      </c>
    </row>
    <row r="526">
      <c r="A526">
        <v>715847</v>
      </c>
      <c r="B526" t="str">
        <v>06104384AA</v>
      </c>
      <c r="C526">
        <v>789</v>
      </c>
      <c r="E526">
        <v>85</v>
      </c>
      <c r="F526">
        <v>21561</v>
      </c>
      <c r="G526">
        <v>193092</v>
      </c>
      <c r="H526" s="1">
        <v>46247</v>
      </c>
      <c r="I526" t="str">
        <v>TRAVELERRECEIVED</v>
      </c>
      <c r="K526" t="str">
        <v>Shipped</v>
      </c>
      <c r="L526">
        <v>29994</v>
      </c>
    </row>
    <row r="527">
      <c r="A527">
        <v>715954</v>
      </c>
      <c r="B527" t="str">
        <v>11549169-MY-AK</v>
      </c>
      <c r="C527">
        <v>217</v>
      </c>
      <c r="D527" t="str">
        <v>MC/BF</v>
      </c>
      <c r="E527">
        <v>1158</v>
      </c>
      <c r="F527">
        <v>24586</v>
      </c>
      <c r="G527">
        <v>193092</v>
      </c>
      <c r="H527" s="1">
        <v>46247</v>
      </c>
      <c r="I527" t="str">
        <v>TRAVELERRECEIVED</v>
      </c>
      <c r="J527" t="str">
        <v>DONE</v>
      </c>
      <c r="K527" t="str">
        <f>IF(ISERROR(MATCH(WORKORDER[[#This Row],[TRAVELER]],Table1[TRAVELER],0)),K527,"Shipped")</f>
        <v>Shipped</v>
      </c>
      <c r="L527">
        <f>+IF(ISERROR(MATCH(WORKORDER[[#This Row],[TRAVELER]],Table1[TRAVELER],0)),L527,'PACKING SLIP'!$F$5)</f>
        <v>30069</v>
      </c>
    </row>
    <row r="528">
      <c r="A528">
        <v>715955</v>
      </c>
      <c r="B528" t="str">
        <v>11549169-MY-AK</v>
      </c>
      <c r="C528">
        <v>925</v>
      </c>
      <c r="E528">
        <v>1149</v>
      </c>
      <c r="F528">
        <v>24395</v>
      </c>
      <c r="G528">
        <v>193092</v>
      </c>
      <c r="H528" s="1">
        <v>46247</v>
      </c>
      <c r="I528" t="str">
        <v>TRAVELERRECEIVED</v>
      </c>
      <c r="K528" t="str">
        <v>Shipped</v>
      </c>
      <c r="L528">
        <v>29998</v>
      </c>
    </row>
    <row r="529">
      <c r="A529">
        <v>716272</v>
      </c>
      <c r="B529">
        <v>11546449</v>
      </c>
      <c r="C529">
        <v>545</v>
      </c>
      <c r="E529">
        <v>1047</v>
      </c>
      <c r="F529">
        <v>88729</v>
      </c>
      <c r="G529">
        <v>193092</v>
      </c>
      <c r="H529" s="1">
        <v>46247</v>
      </c>
      <c r="I529" t="str">
        <v>TRAVELERRECEIVED</v>
      </c>
      <c r="K529" t="str">
        <v>Shipped</v>
      </c>
      <c r="L529">
        <v>30006</v>
      </c>
    </row>
    <row r="530">
      <c r="A530">
        <v>716273</v>
      </c>
      <c r="B530">
        <v>11546449</v>
      </c>
      <c r="C530">
        <v>748</v>
      </c>
      <c r="E530">
        <v>1080</v>
      </c>
      <c r="F530">
        <v>91525</v>
      </c>
      <c r="G530">
        <v>193092</v>
      </c>
      <c r="H530" s="1">
        <v>46247</v>
      </c>
      <c r="I530" t="str">
        <v>TRAVELERRECEIVED</v>
      </c>
      <c r="K530" t="str">
        <v>Shipped</v>
      </c>
      <c r="L530">
        <v>29998</v>
      </c>
    </row>
    <row r="531">
      <c r="A531">
        <v>716274</v>
      </c>
      <c r="B531">
        <v>11546449</v>
      </c>
      <c r="C531">
        <v>465</v>
      </c>
      <c r="E531">
        <v>1032</v>
      </c>
      <c r="F531">
        <v>87458</v>
      </c>
      <c r="G531">
        <v>193092</v>
      </c>
      <c r="H531" s="1">
        <v>46247</v>
      </c>
      <c r="I531" t="str">
        <v>TRAVELERRECEIVED</v>
      </c>
      <c r="K531" t="str">
        <v>Shipped</v>
      </c>
      <c r="L531">
        <v>29998</v>
      </c>
    </row>
    <row r="532">
      <c r="A532">
        <v>716275</v>
      </c>
      <c r="B532">
        <v>11546449</v>
      </c>
      <c r="C532">
        <v>1652</v>
      </c>
      <c r="E532">
        <v>1072</v>
      </c>
      <c r="F532">
        <v>90847</v>
      </c>
      <c r="G532">
        <v>193092</v>
      </c>
      <c r="H532" s="1">
        <v>46247</v>
      </c>
      <c r="I532" t="str">
        <v>TRAVELERRECEIVED</v>
      </c>
      <c r="K532" t="str">
        <v>Shipped</v>
      </c>
      <c r="L532">
        <v>30006</v>
      </c>
    </row>
    <row r="533">
      <c r="A533">
        <v>716276</v>
      </c>
      <c r="B533">
        <v>11546449</v>
      </c>
      <c r="C533">
        <v>1632</v>
      </c>
      <c r="E533">
        <v>1096</v>
      </c>
      <c r="F533">
        <v>92881</v>
      </c>
      <c r="G533">
        <v>193092</v>
      </c>
      <c r="H533" s="1">
        <v>46247</v>
      </c>
      <c r="I533" t="str">
        <v>TRAVELERRECEIVED</v>
      </c>
      <c r="K533" t="str">
        <v>Shipped</v>
      </c>
      <c r="L533">
        <v>30004</v>
      </c>
    </row>
    <row r="534">
      <c r="A534">
        <v>716277</v>
      </c>
      <c r="B534">
        <v>11546449</v>
      </c>
      <c r="C534">
        <v>1776</v>
      </c>
      <c r="E534">
        <v>1044</v>
      </c>
      <c r="F534">
        <v>88475</v>
      </c>
      <c r="G534">
        <v>193092</v>
      </c>
      <c r="H534" s="1">
        <v>46247</v>
      </c>
      <c r="I534" t="str">
        <v>TRAVELERRECEIVED</v>
      </c>
      <c r="K534" t="str">
        <v>Shipped</v>
      </c>
      <c r="L534">
        <v>29998</v>
      </c>
    </row>
    <row r="535">
      <c r="A535">
        <v>716278</v>
      </c>
      <c r="B535">
        <v>11546449</v>
      </c>
      <c r="C535">
        <v>180</v>
      </c>
      <c r="E535">
        <v>1021</v>
      </c>
      <c r="F535">
        <v>86525</v>
      </c>
      <c r="G535">
        <v>193092</v>
      </c>
      <c r="H535" s="1">
        <v>46247</v>
      </c>
      <c r="I535" t="str">
        <v>TRAVELERRECEIVED</v>
      </c>
      <c r="K535" t="str">
        <v>Shipped</v>
      </c>
      <c r="L535">
        <v>29996</v>
      </c>
    </row>
    <row r="536">
      <c r="A536">
        <v>716279</v>
      </c>
      <c r="B536">
        <v>11546449</v>
      </c>
      <c r="C536">
        <v>1102</v>
      </c>
      <c r="E536">
        <v>1079</v>
      </c>
      <c r="F536">
        <v>91441</v>
      </c>
      <c r="G536">
        <v>193092</v>
      </c>
      <c r="H536" s="1">
        <v>46247</v>
      </c>
      <c r="I536" t="str">
        <v>TRAVELERRECEIVED</v>
      </c>
      <c r="K536" t="str">
        <v>Shipped</v>
      </c>
      <c r="L536">
        <v>30026</v>
      </c>
    </row>
    <row r="537">
      <c r="A537">
        <v>716280</v>
      </c>
      <c r="B537">
        <v>11546449</v>
      </c>
      <c r="C537">
        <v>411</v>
      </c>
      <c r="E537">
        <v>1008</v>
      </c>
      <c r="F537">
        <v>85424</v>
      </c>
      <c r="G537">
        <v>193092</v>
      </c>
      <c r="H537" s="1">
        <v>46247</v>
      </c>
      <c r="I537" t="str">
        <v>TRAVELERRECEIVED</v>
      </c>
      <c r="K537" t="str">
        <v>Shipped</v>
      </c>
      <c r="L537">
        <v>29996</v>
      </c>
    </row>
    <row r="538">
      <c r="A538">
        <v>716281</v>
      </c>
      <c r="B538">
        <v>11546449</v>
      </c>
      <c r="C538">
        <v>1786</v>
      </c>
      <c r="E538">
        <v>1112</v>
      </c>
      <c r="F538">
        <v>94237</v>
      </c>
      <c r="G538">
        <v>193092</v>
      </c>
      <c r="H538" s="1">
        <v>46247</v>
      </c>
      <c r="I538" t="str">
        <v>TRAVELERRECEIVED</v>
      </c>
      <c r="K538" t="str">
        <v>Shipped</v>
      </c>
      <c r="L538">
        <v>29994</v>
      </c>
    </row>
    <row r="539">
      <c r="A539">
        <v>716282</v>
      </c>
      <c r="B539">
        <v>11546449</v>
      </c>
      <c r="C539">
        <v>363</v>
      </c>
      <c r="E539">
        <v>1041</v>
      </c>
      <c r="F539">
        <v>88220</v>
      </c>
      <c r="G539">
        <v>193092</v>
      </c>
      <c r="H539" s="1">
        <v>46247</v>
      </c>
      <c r="I539" t="str">
        <v>TRAVELERRECEIVED</v>
      </c>
      <c r="K539" t="str">
        <v>Shipped</v>
      </c>
      <c r="L539">
        <v>30004</v>
      </c>
    </row>
    <row r="540">
      <c r="A540">
        <v>716283</v>
      </c>
      <c r="B540">
        <v>11546449</v>
      </c>
      <c r="C540">
        <v>3</v>
      </c>
      <c r="E540">
        <v>1051</v>
      </c>
      <c r="F540">
        <v>89068</v>
      </c>
      <c r="G540">
        <v>193092</v>
      </c>
      <c r="H540" s="1">
        <v>46247</v>
      </c>
      <c r="I540" t="str">
        <v>TRAVELERRECEIVED</v>
      </c>
      <c r="K540" t="str">
        <v>Shipped</v>
      </c>
      <c r="L540">
        <v>29991</v>
      </c>
    </row>
    <row r="541">
      <c r="A541">
        <v>716593</v>
      </c>
      <c r="B541">
        <v>11546463</v>
      </c>
      <c r="C541">
        <v>1410</v>
      </c>
      <c r="E541">
        <v>970</v>
      </c>
      <c r="F541">
        <v>15015</v>
      </c>
      <c r="G541">
        <v>193092</v>
      </c>
      <c r="H541" s="1">
        <v>46247</v>
      </c>
      <c r="I541" t="str">
        <v>TRAVELERRECEIVED</v>
      </c>
      <c r="K541" t="str">
        <v>Shipped</v>
      </c>
      <c r="L541">
        <v>30008</v>
      </c>
    </row>
    <row r="542">
      <c r="A542">
        <v>716594</v>
      </c>
      <c r="B542">
        <v>11546463</v>
      </c>
      <c r="C542">
        <v>99</v>
      </c>
      <c r="E542">
        <v>1004</v>
      </c>
      <c r="F542">
        <v>15542</v>
      </c>
      <c r="G542">
        <v>193092</v>
      </c>
      <c r="H542" s="1">
        <v>46247</v>
      </c>
      <c r="I542" t="str">
        <v>TRAVELERRECEIVED</v>
      </c>
      <c r="K542" t="str">
        <v>Shipped</v>
      </c>
      <c r="L542">
        <v>30008</v>
      </c>
    </row>
    <row r="543">
      <c r="A543">
        <v>716595</v>
      </c>
      <c r="B543">
        <v>11546463</v>
      </c>
      <c r="C543">
        <v>1106</v>
      </c>
      <c r="E543">
        <v>1015</v>
      </c>
      <c r="F543">
        <v>15712</v>
      </c>
      <c r="G543">
        <v>193092</v>
      </c>
      <c r="H543" s="1">
        <v>46247</v>
      </c>
      <c r="I543" t="str">
        <v>TRAVELERRECEIVED</v>
      </c>
      <c r="K543" t="str">
        <v>Shipped</v>
      </c>
      <c r="L543">
        <v>30018</v>
      </c>
    </row>
    <row r="544">
      <c r="A544">
        <v>716596</v>
      </c>
      <c r="B544">
        <v>11546463</v>
      </c>
      <c r="C544">
        <v>801</v>
      </c>
      <c r="E544">
        <v>932</v>
      </c>
      <c r="F544">
        <v>14427</v>
      </c>
      <c r="G544">
        <v>193092</v>
      </c>
      <c r="H544" s="1">
        <v>46247</v>
      </c>
      <c r="I544" t="str">
        <v>TRAVELERRECEIVED</v>
      </c>
      <c r="K544" t="str">
        <v>Shipped</v>
      </c>
      <c r="L544">
        <v>30008</v>
      </c>
    </row>
    <row r="545">
      <c r="A545">
        <v>712888</v>
      </c>
      <c r="B545" t="str">
        <v>11612078-B</v>
      </c>
      <c r="C545">
        <v>262</v>
      </c>
      <c r="E545">
        <v>1267</v>
      </c>
      <c r="F545">
        <v>72000</v>
      </c>
      <c r="G545">
        <v>193122</v>
      </c>
      <c r="H545" s="1">
        <v>46247</v>
      </c>
      <c r="I545" t="str">
        <v>SORT&amp;RETURN</v>
      </c>
      <c r="K545" t="str">
        <v>Shipped</v>
      </c>
      <c r="L545">
        <v>30011</v>
      </c>
    </row>
    <row r="546">
      <c r="A546">
        <v>713304</v>
      </c>
      <c r="B546" t="str">
        <v>NU3516-00</v>
      </c>
      <c r="C546">
        <v>54</v>
      </c>
      <c r="G546">
        <v>193122</v>
      </c>
      <c r="H546" s="1">
        <v>46247</v>
      </c>
      <c r="I546" t="str">
        <v>6-223-04-A</v>
      </c>
      <c r="K546" t="str">
        <v>Shipped</v>
      </c>
      <c r="L546">
        <v>29980</v>
      </c>
    </row>
    <row r="547">
      <c r="A547">
        <v>713305</v>
      </c>
      <c r="B547" t="str">
        <v>NU3516-00</v>
      </c>
      <c r="C547">
        <v>806</v>
      </c>
      <c r="G547">
        <v>193122</v>
      </c>
      <c r="H547" s="1">
        <v>46247</v>
      </c>
      <c r="I547" t="str">
        <v>6-223-04-B</v>
      </c>
      <c r="K547" t="str">
        <v>Shipped</v>
      </c>
      <c r="L547">
        <v>29980</v>
      </c>
    </row>
    <row r="548">
      <c r="A548">
        <v>713306</v>
      </c>
      <c r="B548" t="str">
        <v>NU3516-00</v>
      </c>
      <c r="C548">
        <v>915</v>
      </c>
      <c r="G548">
        <v>193122</v>
      </c>
      <c r="H548" s="1">
        <v>46247</v>
      </c>
      <c r="I548" t="str">
        <v>6-223-04-C</v>
      </c>
      <c r="K548" t="str">
        <v>Shipped</v>
      </c>
      <c r="L548">
        <v>29980</v>
      </c>
    </row>
    <row r="549">
      <c r="A549">
        <v>713309</v>
      </c>
      <c r="B549" t="str">
        <v>NU3516-00</v>
      </c>
      <c r="C549">
        <v>1366</v>
      </c>
      <c r="G549">
        <v>193122</v>
      </c>
      <c r="H549" s="1">
        <v>46247</v>
      </c>
      <c r="I549" t="str">
        <v>6-223-04-D</v>
      </c>
      <c r="K549" t="str">
        <v>Shipped</v>
      </c>
      <c r="L549">
        <v>29980</v>
      </c>
    </row>
    <row r="550">
      <c r="A550">
        <v>713310</v>
      </c>
      <c r="B550" t="str">
        <v>NU3516-00</v>
      </c>
      <c r="C550">
        <v>297</v>
      </c>
      <c r="G550">
        <v>193122</v>
      </c>
      <c r="H550" s="1">
        <v>46247</v>
      </c>
      <c r="I550" t="str">
        <v>6-223-04-E</v>
      </c>
      <c r="K550" t="str">
        <v>Shipped</v>
      </c>
      <c r="L550">
        <v>29980</v>
      </c>
    </row>
    <row r="551">
      <c r="A551">
        <v>713311</v>
      </c>
      <c r="B551" t="str">
        <v>NU3516-00</v>
      </c>
      <c r="C551">
        <v>72</v>
      </c>
      <c r="G551">
        <v>193122</v>
      </c>
      <c r="H551" s="1">
        <v>46247</v>
      </c>
      <c r="I551" t="str">
        <v>6-223-04-F</v>
      </c>
      <c r="K551" t="str">
        <v>Shipped</v>
      </c>
      <c r="L551">
        <v>29980</v>
      </c>
    </row>
    <row r="552">
      <c r="A552">
        <v>713790</v>
      </c>
      <c r="B552" t="str">
        <v>NU3516-00</v>
      </c>
      <c r="C552">
        <v>375</v>
      </c>
      <c r="G552">
        <v>193122</v>
      </c>
      <c r="H552" s="1">
        <v>46247</v>
      </c>
      <c r="I552" t="str">
        <v>6-223-04-G</v>
      </c>
      <c r="K552" t="str">
        <v>Shipped</v>
      </c>
      <c r="L552">
        <v>29980</v>
      </c>
    </row>
    <row r="553">
      <c r="A553">
        <v>714016</v>
      </c>
      <c r="B553">
        <v>11609746</v>
      </c>
      <c r="C553">
        <v>739</v>
      </c>
      <c r="E553">
        <v>1149</v>
      </c>
      <c r="F553">
        <v>65284</v>
      </c>
      <c r="G553">
        <v>193122</v>
      </c>
      <c r="H553" s="1">
        <v>46247</v>
      </c>
      <c r="I553" t="str">
        <v>6-225-33-A</v>
      </c>
      <c r="K553" t="str">
        <v>Shipped</v>
      </c>
      <c r="L553">
        <v>29980</v>
      </c>
    </row>
    <row r="554">
      <c r="A554">
        <v>714056</v>
      </c>
      <c r="B554" t="str">
        <v>11612078-B</v>
      </c>
      <c r="C554">
        <v>332</v>
      </c>
      <c r="E554">
        <v>1232</v>
      </c>
      <c r="F554">
        <v>70000</v>
      </c>
      <c r="G554">
        <v>193122</v>
      </c>
      <c r="H554" s="1">
        <v>46247</v>
      </c>
      <c r="I554" t="str">
        <v>SORT&amp;RETURN</v>
      </c>
      <c r="K554" t="str">
        <v>Shipped</v>
      </c>
      <c r="L554">
        <v>30011</v>
      </c>
    </row>
    <row r="555">
      <c r="A555">
        <v>714425</v>
      </c>
      <c r="B555" t="str">
        <v>W716298-S450</v>
      </c>
      <c r="C555">
        <v>487</v>
      </c>
      <c r="E555">
        <v>1003</v>
      </c>
      <c r="F555">
        <v>131974</v>
      </c>
      <c r="G555">
        <v>193122</v>
      </c>
      <c r="H555" s="1">
        <v>46247</v>
      </c>
      <c r="I555" t="str">
        <v>6-223-21-A</v>
      </c>
      <c r="K555" t="str">
        <v>Shipped</v>
      </c>
      <c r="L555">
        <v>30006</v>
      </c>
    </row>
    <row r="556">
      <c r="A556">
        <v>714703</v>
      </c>
      <c r="B556" t="str">
        <v>W520413-S450L</v>
      </c>
      <c r="C556">
        <v>1318</v>
      </c>
      <c r="E556">
        <v>891</v>
      </c>
      <c r="F556">
        <v>57857</v>
      </c>
      <c r="G556">
        <v>193122</v>
      </c>
      <c r="H556" s="1">
        <v>46247</v>
      </c>
      <c r="I556" t="str">
        <v>6-224-26-B</v>
      </c>
      <c r="K556" t="str">
        <v>Shipped</v>
      </c>
      <c r="L556">
        <v>29996</v>
      </c>
    </row>
    <row r="557">
      <c r="A557">
        <v>714710</v>
      </c>
      <c r="B557">
        <v>11547059</v>
      </c>
      <c r="C557">
        <v>400</v>
      </c>
      <c r="E557">
        <v>1070</v>
      </c>
      <c r="F557">
        <v>23516</v>
      </c>
      <c r="G557">
        <v>193122</v>
      </c>
      <c r="H557" s="1">
        <v>46247</v>
      </c>
      <c r="I557" t="str">
        <v>6-222-35-A</v>
      </c>
      <c r="K557" t="str">
        <v>Shipped</v>
      </c>
      <c r="L557">
        <v>29991</v>
      </c>
    </row>
    <row r="558">
      <c r="A558">
        <v>714711</v>
      </c>
      <c r="B558">
        <v>11547059</v>
      </c>
      <c r="C558">
        <v>1312</v>
      </c>
      <c r="E558">
        <v>998</v>
      </c>
      <c r="F558">
        <v>21934</v>
      </c>
      <c r="G558">
        <v>193122</v>
      </c>
      <c r="H558" s="1">
        <v>46247</v>
      </c>
      <c r="I558" t="str">
        <v>6-222-35-B</v>
      </c>
      <c r="K558" t="str">
        <v>Shipped</v>
      </c>
      <c r="L558">
        <v>29998</v>
      </c>
    </row>
    <row r="559">
      <c r="A559">
        <v>714712</v>
      </c>
      <c r="B559">
        <v>11547059</v>
      </c>
      <c r="C559">
        <v>83</v>
      </c>
      <c r="E559">
        <v>1030</v>
      </c>
      <c r="F559">
        <v>22637</v>
      </c>
      <c r="G559">
        <v>193122</v>
      </c>
      <c r="H559" s="1">
        <v>46247</v>
      </c>
      <c r="I559" t="str">
        <v>6-222-36-A</v>
      </c>
      <c r="K559" t="str">
        <v>Shipped</v>
      </c>
      <c r="L559">
        <v>29998</v>
      </c>
    </row>
    <row r="560">
      <c r="A560">
        <v>714713</v>
      </c>
      <c r="B560">
        <v>11547059</v>
      </c>
      <c r="C560">
        <v>1336</v>
      </c>
      <c r="E560">
        <v>1056</v>
      </c>
      <c r="F560">
        <v>23209</v>
      </c>
      <c r="G560">
        <v>193122</v>
      </c>
      <c r="H560" s="1">
        <v>46247</v>
      </c>
      <c r="I560" t="str">
        <v>6-222-36-B</v>
      </c>
      <c r="K560" t="str">
        <v>Shipped</v>
      </c>
      <c r="L560">
        <v>29991</v>
      </c>
    </row>
    <row r="561">
      <c r="A561">
        <v>715788</v>
      </c>
      <c r="B561">
        <v>11610126</v>
      </c>
      <c r="C561">
        <v>1036</v>
      </c>
      <c r="E561">
        <v>815</v>
      </c>
      <c r="F561">
        <v>32087</v>
      </c>
      <c r="G561">
        <v>193122</v>
      </c>
      <c r="H561" s="1">
        <v>46247</v>
      </c>
      <c r="I561" t="str">
        <v>6-224-07-A</v>
      </c>
      <c r="K561" t="str">
        <v>Shipped</v>
      </c>
      <c r="L561">
        <v>29991</v>
      </c>
    </row>
    <row r="562">
      <c r="A562">
        <v>715789</v>
      </c>
      <c r="B562">
        <v>11610126</v>
      </c>
      <c r="C562">
        <v>382</v>
      </c>
      <c r="E562">
        <v>874</v>
      </c>
      <c r="F562">
        <v>34409</v>
      </c>
      <c r="G562">
        <v>193122</v>
      </c>
      <c r="H562" s="1">
        <v>46247</v>
      </c>
      <c r="I562" t="str">
        <v>6-224-07-B</v>
      </c>
      <c r="K562" t="str">
        <v>Shipped</v>
      </c>
      <c r="L562">
        <v>29988</v>
      </c>
    </row>
    <row r="563">
      <c r="A563">
        <v>715791</v>
      </c>
      <c r="B563">
        <v>11546566</v>
      </c>
      <c r="C563">
        <v>515</v>
      </c>
      <c r="E563">
        <v>872</v>
      </c>
      <c r="F563">
        <v>48444</v>
      </c>
      <c r="G563">
        <v>193122</v>
      </c>
      <c r="H563" s="1">
        <v>46247</v>
      </c>
      <c r="I563" t="str">
        <v>6-224-06-B</v>
      </c>
      <c r="K563" t="str">
        <v>Shipped</v>
      </c>
      <c r="L563">
        <v>29988</v>
      </c>
    </row>
    <row r="564">
      <c r="A564">
        <v>715800</v>
      </c>
      <c r="B564" t="str">
        <v>W715851-S450B</v>
      </c>
      <c r="C564">
        <v>282</v>
      </c>
      <c r="E564">
        <v>851</v>
      </c>
      <c r="F564">
        <v>55260</v>
      </c>
      <c r="G564">
        <v>193122</v>
      </c>
      <c r="H564" s="1">
        <v>46247</v>
      </c>
      <c r="I564" t="str">
        <v>6-224-04-A</v>
      </c>
      <c r="K564" t="str">
        <v>Shipped</v>
      </c>
      <c r="L564">
        <v>29988</v>
      </c>
    </row>
    <row r="565">
      <c r="A565">
        <v>715801</v>
      </c>
      <c r="B565" t="str">
        <v>W715851-S450B</v>
      </c>
      <c r="C565">
        <v>1599</v>
      </c>
      <c r="E565">
        <v>1024</v>
      </c>
      <c r="F565">
        <v>66494</v>
      </c>
      <c r="G565">
        <v>193122</v>
      </c>
      <c r="H565" s="1">
        <v>46247</v>
      </c>
      <c r="I565" t="str">
        <v>6-224-04-B</v>
      </c>
      <c r="K565" t="str">
        <v>Shipped</v>
      </c>
      <c r="L565">
        <v>29987</v>
      </c>
    </row>
    <row r="566">
      <c r="A566">
        <v>714526</v>
      </c>
      <c r="B566" t="str">
        <v>W520113-S440</v>
      </c>
      <c r="C566">
        <v>617</v>
      </c>
      <c r="E566">
        <v>1171</v>
      </c>
      <c r="F566">
        <v>43694</v>
      </c>
      <c r="G566">
        <v>193143</v>
      </c>
      <c r="H566" s="1">
        <v>46248</v>
      </c>
      <c r="I566" t="str">
        <v>TRAVELERRECEIVED</v>
      </c>
      <c r="K566" t="str">
        <v>Shipped</v>
      </c>
      <c r="L566">
        <v>30006</v>
      </c>
    </row>
    <row r="567">
      <c r="A567">
        <v>714527</v>
      </c>
      <c r="B567" t="str">
        <v>W520113-S440</v>
      </c>
      <c r="C567">
        <v>44</v>
      </c>
      <c r="E567">
        <v>1107</v>
      </c>
      <c r="F567">
        <v>41306</v>
      </c>
      <c r="G567">
        <v>193143</v>
      </c>
      <c r="H567" s="1">
        <v>46248</v>
      </c>
      <c r="I567" t="str">
        <v>TRAVELERRECEIVED</v>
      </c>
      <c r="J567" t="str">
        <v>DONE</v>
      </c>
      <c r="K567" t="str">
        <v>Shipped</v>
      </c>
      <c r="L567">
        <v>30037</v>
      </c>
    </row>
    <row r="568">
      <c r="A568">
        <v>714528</v>
      </c>
      <c r="B568" t="str">
        <v>W520113-S440</v>
      </c>
      <c r="C568">
        <v>1555</v>
      </c>
      <c r="E568">
        <v>1179</v>
      </c>
      <c r="F568">
        <v>43993</v>
      </c>
      <c r="G568">
        <v>193143</v>
      </c>
      <c r="H568" s="1">
        <v>46248</v>
      </c>
      <c r="I568" t="str">
        <v>TRAVELERRECEIVED</v>
      </c>
      <c r="K568" t="str">
        <v>Shipped</v>
      </c>
      <c r="L568">
        <v>30006</v>
      </c>
    </row>
    <row r="569">
      <c r="A569">
        <v>714529</v>
      </c>
      <c r="B569" t="str">
        <v>W520113-S440</v>
      </c>
      <c r="C569">
        <v>760</v>
      </c>
      <c r="E569">
        <v>1109</v>
      </c>
      <c r="F569">
        <v>41381</v>
      </c>
      <c r="G569">
        <v>193143</v>
      </c>
      <c r="H569" s="1">
        <v>46248</v>
      </c>
      <c r="I569" t="str">
        <v>TRAVELERRECEIVED</v>
      </c>
      <c r="K569" t="str">
        <v>Shipped</v>
      </c>
      <c r="L569">
        <v>30006</v>
      </c>
    </row>
    <row r="570">
      <c r="A570">
        <v>714680</v>
      </c>
      <c r="B570" t="str">
        <v>11546370-MY-AK</v>
      </c>
      <c r="C570">
        <v>1319</v>
      </c>
      <c r="E570">
        <v>1145</v>
      </c>
      <c r="F570">
        <v>7685</v>
      </c>
      <c r="G570">
        <v>193143</v>
      </c>
      <c r="H570" s="1">
        <v>46248</v>
      </c>
      <c r="I570" t="str">
        <v>TRAVELERRECEIVED</v>
      </c>
      <c r="K570" t="str">
        <v>Shipped</v>
      </c>
      <c r="L570">
        <v>29991</v>
      </c>
    </row>
    <row r="571">
      <c r="A571">
        <v>714681</v>
      </c>
      <c r="B571" t="str">
        <v>11546370-MY-AK</v>
      </c>
      <c r="C571">
        <v>482</v>
      </c>
      <c r="E571">
        <v>1065</v>
      </c>
      <c r="F571">
        <v>7148</v>
      </c>
      <c r="G571">
        <v>193143</v>
      </c>
      <c r="H571" s="1">
        <v>46248</v>
      </c>
      <c r="I571" t="str">
        <v>TRAVELERRECEIVED</v>
      </c>
      <c r="K571" t="str">
        <v>Shipped</v>
      </c>
      <c r="L571">
        <v>29994</v>
      </c>
    </row>
    <row r="572">
      <c r="A572">
        <v>714682</v>
      </c>
      <c r="B572" t="str">
        <v>11546370-MY-AK</v>
      </c>
      <c r="C572">
        <v>395</v>
      </c>
      <c r="E572">
        <v>1170</v>
      </c>
      <c r="F572">
        <v>7852</v>
      </c>
      <c r="G572">
        <v>193143</v>
      </c>
      <c r="H572" s="1">
        <v>46248</v>
      </c>
      <c r="I572" t="str">
        <v>TRAVELERRECEIVED</v>
      </c>
      <c r="J572" t="str">
        <v>DONE</v>
      </c>
      <c r="K572" t="str">
        <f>IF(ISERROR(MATCH(WORKORDER[[#This Row],[TRAVELER]],Table1[TRAVELER],0)),K572,"Shipped")</f>
        <v>Shipped</v>
      </c>
      <c r="L572">
        <f>+IF(ISERROR(MATCH(WORKORDER[[#This Row],[TRAVELER]],Table1[TRAVELER],0)),L572,'PACKING SLIP'!$F$5)</f>
        <v>30092</v>
      </c>
    </row>
    <row r="573">
      <c r="A573">
        <v>714683</v>
      </c>
      <c r="B573" t="str">
        <v>11546370-MY-AK</v>
      </c>
      <c r="C573">
        <v>1785</v>
      </c>
      <c r="E573">
        <v>1084</v>
      </c>
      <c r="F573">
        <v>7275</v>
      </c>
      <c r="G573">
        <v>193143</v>
      </c>
      <c r="H573" s="1">
        <v>46248</v>
      </c>
      <c r="I573" t="str">
        <v>TRAVELERRECEIVED</v>
      </c>
      <c r="K573" t="str">
        <v>Shipped</v>
      </c>
      <c r="L573">
        <v>29991</v>
      </c>
    </row>
    <row r="574">
      <c r="A574">
        <v>714684</v>
      </c>
      <c r="B574" t="str">
        <v>11546370-MY-AK</v>
      </c>
      <c r="C574">
        <v>743</v>
      </c>
      <c r="E574">
        <v>1057</v>
      </c>
      <c r="F574">
        <v>7094</v>
      </c>
      <c r="G574">
        <v>193143</v>
      </c>
      <c r="H574" s="1">
        <v>46248</v>
      </c>
      <c r="I574" t="str">
        <v>TRAVELERRECEIVED</v>
      </c>
      <c r="K574" t="str">
        <v>Shipped</v>
      </c>
      <c r="L574">
        <v>29996</v>
      </c>
    </row>
    <row r="575">
      <c r="A575">
        <v>714685</v>
      </c>
      <c r="B575" t="str">
        <v>11546370-MY-AK</v>
      </c>
      <c r="C575">
        <v>60</v>
      </c>
      <c r="E575">
        <v>1158</v>
      </c>
      <c r="F575">
        <v>7772</v>
      </c>
      <c r="G575">
        <v>193143</v>
      </c>
      <c r="H575" s="1">
        <v>46248</v>
      </c>
      <c r="I575" t="str">
        <v>TRAVELERRECEIVED</v>
      </c>
      <c r="K575" t="str">
        <v>Shipped</v>
      </c>
      <c r="L575">
        <v>29996</v>
      </c>
    </row>
    <row r="576">
      <c r="A576">
        <v>714686</v>
      </c>
      <c r="B576" t="str">
        <v>11546370-MY-AK</v>
      </c>
      <c r="C576">
        <v>815</v>
      </c>
      <c r="E576">
        <v>1186</v>
      </c>
      <c r="F576">
        <v>7960</v>
      </c>
      <c r="G576">
        <v>193143</v>
      </c>
      <c r="H576" s="1">
        <v>46248</v>
      </c>
      <c r="I576" t="str">
        <v>TRAVELERRECEIVED</v>
      </c>
      <c r="K576" t="str">
        <v>Shipped</v>
      </c>
      <c r="L576">
        <v>29996</v>
      </c>
    </row>
    <row r="577">
      <c r="A577">
        <v>714687</v>
      </c>
      <c r="B577" t="str">
        <v>11546370-MY-AK</v>
      </c>
      <c r="C577">
        <v>337</v>
      </c>
      <c r="E577">
        <v>1045</v>
      </c>
      <c r="F577">
        <v>7013</v>
      </c>
      <c r="G577">
        <v>193143</v>
      </c>
      <c r="H577" s="1">
        <v>46248</v>
      </c>
      <c r="I577" t="str">
        <v>TRAVELERRECEIVED</v>
      </c>
      <c r="K577" t="str">
        <v>Shipped</v>
      </c>
      <c r="L577">
        <v>29996</v>
      </c>
    </row>
    <row r="578">
      <c r="A578">
        <v>714688</v>
      </c>
      <c r="B578" t="str">
        <v>11546370-MY-AK</v>
      </c>
      <c r="C578">
        <v>397</v>
      </c>
      <c r="E578">
        <v>1088</v>
      </c>
      <c r="F578">
        <v>7302</v>
      </c>
      <c r="G578">
        <v>193143</v>
      </c>
      <c r="H578" s="1">
        <v>46248</v>
      </c>
      <c r="I578" t="str">
        <v>TRAVELERRECEIVED</v>
      </c>
      <c r="K578" t="str">
        <v>Shipped</v>
      </c>
      <c r="L578">
        <v>29996</v>
      </c>
    </row>
    <row r="579">
      <c r="A579">
        <v>714689</v>
      </c>
      <c r="B579" t="str">
        <v>11546370-MY-AK</v>
      </c>
      <c r="C579">
        <v>457</v>
      </c>
      <c r="E579">
        <v>1127</v>
      </c>
      <c r="F579">
        <v>7564</v>
      </c>
      <c r="G579">
        <v>193143</v>
      </c>
      <c r="H579" s="1">
        <v>46248</v>
      </c>
      <c r="I579" t="str">
        <v>TRAVELERRECEIVED</v>
      </c>
      <c r="J579" t="str">
        <v>DONE</v>
      </c>
      <c r="K579" t="str">
        <f>IF(ISERROR(MATCH(WORKORDER[[#This Row],[TRAVELER]],Table1[TRAVELER],0)),K579,"Shipped")</f>
        <v>Shipped</v>
      </c>
      <c r="L579">
        <f>+IF(ISERROR(MATCH(WORKORDER[[#This Row],[TRAVELER]],Table1[TRAVELER],0)),L579,'PACKING SLIP'!$F$5)</f>
        <v>30092</v>
      </c>
    </row>
    <row r="580">
      <c r="A580">
        <v>715722</v>
      </c>
      <c r="B580" t="str">
        <v>11546367-MY-AK</v>
      </c>
      <c r="C580">
        <v>350</v>
      </c>
      <c r="E580">
        <v>1148</v>
      </c>
      <c r="F580">
        <v>24688</v>
      </c>
      <c r="G580">
        <v>193143</v>
      </c>
      <c r="H580" s="1">
        <v>46248</v>
      </c>
      <c r="I580" t="str">
        <v>TRAVELERRECEIVED</v>
      </c>
      <c r="K580" t="str">
        <v>Shipped</v>
      </c>
      <c r="L580">
        <v>30006</v>
      </c>
    </row>
    <row r="581">
      <c r="A581">
        <v>715723</v>
      </c>
      <c r="B581" t="str">
        <v>11546367-MY-AK</v>
      </c>
      <c r="C581">
        <v>564</v>
      </c>
      <c r="E581">
        <v>1161</v>
      </c>
      <c r="F581">
        <v>24968</v>
      </c>
      <c r="G581">
        <v>193143</v>
      </c>
      <c r="H581" s="1">
        <v>46248</v>
      </c>
      <c r="I581" t="str">
        <v>TRAVELERRECEIVED</v>
      </c>
      <c r="K581" t="str">
        <v>Shipped</v>
      </c>
      <c r="L581">
        <v>30008</v>
      </c>
    </row>
    <row r="582">
      <c r="A582">
        <v>715724</v>
      </c>
      <c r="B582" t="str">
        <v>11546367-MY-AK</v>
      </c>
      <c r="C582">
        <v>1613</v>
      </c>
      <c r="E582">
        <v>1259</v>
      </c>
      <c r="F582">
        <v>27075</v>
      </c>
      <c r="G582">
        <v>193143</v>
      </c>
      <c r="H582" s="1">
        <v>46248</v>
      </c>
      <c r="I582" t="str">
        <v>TRAVELERRECEIVED</v>
      </c>
      <c r="K582" t="str">
        <v>Shipped</v>
      </c>
      <c r="L582">
        <v>30018</v>
      </c>
    </row>
    <row r="583">
      <c r="A583">
        <v>715725</v>
      </c>
      <c r="B583" t="str">
        <v>11546367-MY-AK</v>
      </c>
      <c r="C583">
        <v>142</v>
      </c>
      <c r="E583">
        <v>1021</v>
      </c>
      <c r="F583">
        <v>21957</v>
      </c>
      <c r="G583">
        <v>193143</v>
      </c>
      <c r="H583" s="1">
        <v>46248</v>
      </c>
      <c r="I583" t="str">
        <v>TRAVELERRECEIVED</v>
      </c>
      <c r="K583" t="str">
        <v>Shipped</v>
      </c>
      <c r="L583">
        <v>29998</v>
      </c>
    </row>
    <row r="584">
      <c r="A584">
        <v>715728</v>
      </c>
      <c r="B584" t="str">
        <v>11546367-MY-AK</v>
      </c>
      <c r="C584">
        <v>928</v>
      </c>
      <c r="E584">
        <v>1173</v>
      </c>
      <c r="F584">
        <v>25226</v>
      </c>
      <c r="G584">
        <v>193143</v>
      </c>
      <c r="H584" s="1">
        <v>46248</v>
      </c>
      <c r="I584" t="str">
        <v>TRAVELERRECEIVED</v>
      </c>
      <c r="K584" t="str">
        <v>Shipped</v>
      </c>
      <c r="L584">
        <v>29998</v>
      </c>
    </row>
    <row r="585">
      <c r="A585">
        <v>715729</v>
      </c>
      <c r="B585" t="str">
        <v>11546367-MY-AK</v>
      </c>
      <c r="C585">
        <v>212</v>
      </c>
      <c r="E585">
        <v>1100</v>
      </c>
      <c r="F585">
        <v>23656</v>
      </c>
      <c r="G585">
        <v>193143</v>
      </c>
      <c r="H585" s="1">
        <v>46248</v>
      </c>
      <c r="I585" t="str">
        <v>TRAVELERRECEIVED</v>
      </c>
      <c r="K585" t="str">
        <v>Shipped</v>
      </c>
      <c r="L585">
        <v>30006</v>
      </c>
    </row>
    <row r="586">
      <c r="A586">
        <v>715730</v>
      </c>
      <c r="B586" t="str">
        <v>11546367-MY-AK</v>
      </c>
      <c r="C586">
        <v>1757</v>
      </c>
      <c r="E586">
        <v>1134</v>
      </c>
      <c r="F586">
        <v>24387</v>
      </c>
      <c r="G586">
        <v>193143</v>
      </c>
      <c r="H586" s="1">
        <v>46248</v>
      </c>
      <c r="I586" t="str">
        <v>TRAVELERRECEIVED</v>
      </c>
      <c r="K586" t="str">
        <v>Shipped</v>
      </c>
      <c r="L586">
        <v>30013</v>
      </c>
    </row>
    <row r="587">
      <c r="A587">
        <v>715731</v>
      </c>
      <c r="B587" t="str">
        <v>11546367-MY-AK</v>
      </c>
      <c r="C587">
        <v>322</v>
      </c>
      <c r="E587">
        <v>1188</v>
      </c>
      <c r="F587">
        <v>25548</v>
      </c>
      <c r="G587">
        <v>193143</v>
      </c>
      <c r="H587" s="1">
        <v>46248</v>
      </c>
      <c r="I587" t="str">
        <v>TRAVELERRECEIVED</v>
      </c>
      <c r="K587" t="str">
        <v>Shipped</v>
      </c>
      <c r="L587">
        <v>30004</v>
      </c>
    </row>
    <row r="588">
      <c r="A588">
        <v>716102</v>
      </c>
      <c r="B588" t="str">
        <v>06105048AA</v>
      </c>
      <c r="C588" t="str">
        <v>KIB</v>
      </c>
      <c r="E588">
        <v>1468</v>
      </c>
      <c r="F588">
        <v>40000</v>
      </c>
      <c r="G588">
        <v>193143</v>
      </c>
      <c r="H588" s="1">
        <v>46248</v>
      </c>
      <c r="I588" t="str">
        <v>TRAVELERRECEIVED</v>
      </c>
      <c r="K588" t="str">
        <v>Shipped</v>
      </c>
      <c r="L588">
        <v>30004</v>
      </c>
    </row>
    <row r="589">
      <c r="A589">
        <v>716103</v>
      </c>
      <c r="B589" t="str">
        <v>06105048AA</v>
      </c>
      <c r="C589" t="str">
        <v>KIB</v>
      </c>
      <c r="E589">
        <v>1468</v>
      </c>
      <c r="F589">
        <v>40000</v>
      </c>
      <c r="G589">
        <v>193143</v>
      </c>
      <c r="H589" s="1">
        <v>46248</v>
      </c>
      <c r="I589" t="str">
        <v>SPLIT FROM TR#716102</v>
      </c>
      <c r="K589" t="str">
        <v>Shipped</v>
      </c>
      <c r="L589">
        <v>29996</v>
      </c>
    </row>
    <row r="590">
      <c r="A590">
        <v>716597</v>
      </c>
      <c r="B590">
        <v>11546463</v>
      </c>
      <c r="C590">
        <v>1748</v>
      </c>
      <c r="E590">
        <v>786</v>
      </c>
      <c r="F590">
        <v>12167</v>
      </c>
      <c r="G590">
        <v>193143</v>
      </c>
      <c r="H590" s="1">
        <v>46248</v>
      </c>
      <c r="I590" t="str">
        <v>TRAVELERRECEIVED</v>
      </c>
      <c r="K590" t="str">
        <v>Shipped</v>
      </c>
      <c r="L590">
        <v>30010</v>
      </c>
    </row>
    <row r="591">
      <c r="A591">
        <v>716598</v>
      </c>
      <c r="B591">
        <v>11546463</v>
      </c>
      <c r="C591">
        <v>1350</v>
      </c>
      <c r="E591">
        <v>659</v>
      </c>
      <c r="F591">
        <v>10201</v>
      </c>
      <c r="G591">
        <v>193143</v>
      </c>
      <c r="H591" s="1">
        <v>46248</v>
      </c>
      <c r="I591" t="str">
        <v>TRAVELERRECEIVED</v>
      </c>
      <c r="K591" t="str">
        <v>Shipped</v>
      </c>
      <c r="L591">
        <v>30008</v>
      </c>
    </row>
    <row r="592">
      <c r="A592">
        <v>716599</v>
      </c>
      <c r="B592">
        <v>11546463</v>
      </c>
      <c r="C592">
        <v>901</v>
      </c>
      <c r="E592">
        <v>1042</v>
      </c>
      <c r="F592">
        <v>16130</v>
      </c>
      <c r="G592">
        <v>193143</v>
      </c>
      <c r="H592" s="1">
        <v>46248</v>
      </c>
      <c r="I592" t="str">
        <v>TRAVELERRECEIVED</v>
      </c>
      <c r="K592" t="str">
        <v>Shipped</v>
      </c>
      <c r="L592">
        <v>30010</v>
      </c>
    </row>
    <row r="593">
      <c r="A593">
        <v>716600</v>
      </c>
      <c r="B593">
        <v>11546463</v>
      </c>
      <c r="C593">
        <v>1760</v>
      </c>
      <c r="E593">
        <v>968</v>
      </c>
      <c r="F593">
        <v>14985</v>
      </c>
      <c r="G593">
        <v>193143</v>
      </c>
      <c r="H593" s="1">
        <v>46248</v>
      </c>
      <c r="I593" t="str">
        <v>TRAVELERRECEIVED</v>
      </c>
      <c r="K593" t="str">
        <v>Shipped</v>
      </c>
      <c r="L593">
        <v>30008</v>
      </c>
    </row>
    <row r="594">
      <c r="A594">
        <v>716613</v>
      </c>
      <c r="B594">
        <v>11546377</v>
      </c>
      <c r="C594">
        <v>1559</v>
      </c>
      <c r="E594">
        <v>970</v>
      </c>
      <c r="F594">
        <v>62987</v>
      </c>
      <c r="G594">
        <v>193143</v>
      </c>
      <c r="H594" s="1">
        <v>46248</v>
      </c>
      <c r="I594" t="str">
        <v>TRAVELERRECEIVED</v>
      </c>
      <c r="K594" t="str">
        <v>Shipped</v>
      </c>
      <c r="L594">
        <v>29998</v>
      </c>
    </row>
    <row r="595">
      <c r="A595">
        <v>716614</v>
      </c>
      <c r="B595">
        <v>11546377</v>
      </c>
      <c r="C595">
        <v>1764</v>
      </c>
      <c r="D595">
        <v>24</v>
      </c>
      <c r="E595">
        <v>1149</v>
      </c>
      <c r="F595">
        <v>74610</v>
      </c>
      <c r="G595">
        <v>193143</v>
      </c>
      <c r="H595" s="1">
        <v>46248</v>
      </c>
      <c r="I595" t="str">
        <v>TRAVELERRECEIVED</v>
      </c>
      <c r="K595" t="str">
        <v>Shipped</v>
      </c>
      <c r="L595">
        <v>30039</v>
      </c>
    </row>
    <row r="596">
      <c r="A596">
        <v>716615</v>
      </c>
      <c r="B596">
        <v>11546377</v>
      </c>
      <c r="C596">
        <v>1805</v>
      </c>
      <c r="D596">
        <v>24</v>
      </c>
      <c r="E596">
        <v>1180</v>
      </c>
      <c r="F596">
        <v>76623</v>
      </c>
      <c r="G596">
        <v>193143</v>
      </c>
      <c r="H596" s="1">
        <v>46248</v>
      </c>
      <c r="I596" t="str">
        <v>TRAVELERRECEIVED</v>
      </c>
      <c r="K596" t="str">
        <v>Shipped</v>
      </c>
      <c r="L596">
        <v>30039</v>
      </c>
    </row>
    <row r="597">
      <c r="A597">
        <v>716616</v>
      </c>
      <c r="B597">
        <v>11546377</v>
      </c>
      <c r="C597">
        <v>440</v>
      </c>
      <c r="E597">
        <v>933</v>
      </c>
      <c r="F597">
        <v>60584</v>
      </c>
      <c r="G597">
        <v>193143</v>
      </c>
      <c r="H597" s="1">
        <v>46248</v>
      </c>
      <c r="I597" t="str">
        <v>TRAVELERRECEIVED</v>
      </c>
      <c r="K597" t="str">
        <v>Shipped</v>
      </c>
      <c r="L597">
        <v>30018</v>
      </c>
    </row>
    <row r="598">
      <c r="A598">
        <v>716665</v>
      </c>
      <c r="B598">
        <v>82246</v>
      </c>
      <c r="C598" t="str">
        <v>KIB</v>
      </c>
      <c r="E598">
        <v>1658</v>
      </c>
      <c r="F598">
        <v>15000</v>
      </c>
      <c r="G598">
        <v>193143</v>
      </c>
      <c r="H598" s="1">
        <v>46248</v>
      </c>
      <c r="I598" t="str">
        <v>TRAVELERRECEIVED</v>
      </c>
      <c r="K598" t="str">
        <v>Shipped</v>
      </c>
      <c r="L598">
        <v>29996</v>
      </c>
    </row>
    <row r="599">
      <c r="A599">
        <v>716666</v>
      </c>
      <c r="B599">
        <v>82246</v>
      </c>
      <c r="C599" t="str">
        <v>KIB</v>
      </c>
      <c r="E599">
        <v>1658</v>
      </c>
      <c r="F599">
        <v>15000</v>
      </c>
      <c r="G599">
        <v>193143</v>
      </c>
      <c r="H599" s="1">
        <v>46248</v>
      </c>
      <c r="I599" t="str">
        <v>SPLIT FROM TR#716665</v>
      </c>
      <c r="K599" t="str">
        <v>Shipped</v>
      </c>
      <c r="L599">
        <v>29996</v>
      </c>
    </row>
    <row r="600">
      <c r="A600">
        <v>716667</v>
      </c>
      <c r="B600">
        <v>82246</v>
      </c>
      <c r="C600" t="str">
        <v>KIB</v>
      </c>
      <c r="E600">
        <v>1683</v>
      </c>
      <c r="F600">
        <v>15230</v>
      </c>
      <c r="G600">
        <v>193143</v>
      </c>
      <c r="H600" s="1">
        <v>46248</v>
      </c>
      <c r="I600" t="str">
        <v>TRAVELERRECEIVED</v>
      </c>
      <c r="K600" t="str">
        <v>Shipped</v>
      </c>
      <c r="L600">
        <v>29996</v>
      </c>
    </row>
    <row r="601">
      <c r="A601">
        <v>716668</v>
      </c>
      <c r="B601">
        <v>82246</v>
      </c>
      <c r="C601" t="str">
        <v>KIB</v>
      </c>
      <c r="E601">
        <v>1683</v>
      </c>
      <c r="F601">
        <v>15230</v>
      </c>
      <c r="G601">
        <v>193143</v>
      </c>
      <c r="H601" s="1">
        <v>46248</v>
      </c>
      <c r="I601" t="str">
        <v>SPLIT FROM TR#716667</v>
      </c>
      <c r="K601" t="str">
        <v>Shipped</v>
      </c>
      <c r="L601">
        <v>29996</v>
      </c>
    </row>
    <row r="602">
      <c r="A602">
        <v>716681</v>
      </c>
      <c r="B602">
        <v>11547176</v>
      </c>
      <c r="C602" t="str">
        <v>KIB</v>
      </c>
      <c r="E602">
        <v>1710</v>
      </c>
      <c r="F602">
        <v>45000</v>
      </c>
      <c r="G602">
        <v>193143</v>
      </c>
      <c r="H602" s="1">
        <v>46248</v>
      </c>
      <c r="I602" t="str">
        <v>TRAVELERRECEIVED</v>
      </c>
      <c r="K602" t="str">
        <v>Shipped</v>
      </c>
      <c r="L602">
        <v>30008</v>
      </c>
    </row>
    <row r="603">
      <c r="A603">
        <v>716682</v>
      </c>
      <c r="B603">
        <v>11547176</v>
      </c>
      <c r="C603" t="str">
        <v>KIB</v>
      </c>
      <c r="E603">
        <v>1710</v>
      </c>
      <c r="F603">
        <v>45000</v>
      </c>
      <c r="G603">
        <v>193143</v>
      </c>
      <c r="H603" s="1">
        <v>46248</v>
      </c>
      <c r="I603" t="str">
        <v>SPLIT FROM TR#716681</v>
      </c>
      <c r="K603" t="str">
        <v>Shipped</v>
      </c>
      <c r="L603">
        <v>30008</v>
      </c>
    </row>
    <row r="604">
      <c r="A604">
        <v>712887</v>
      </c>
      <c r="B604" t="str">
        <v>11612078-B</v>
      </c>
      <c r="C604">
        <v>100</v>
      </c>
      <c r="E604">
        <v>1267</v>
      </c>
      <c r="F604">
        <v>72000</v>
      </c>
      <c r="G604">
        <v>193167</v>
      </c>
      <c r="H604" s="1">
        <v>46248</v>
      </c>
      <c r="I604" t="str">
        <v>SORT&amp;RETURN</v>
      </c>
      <c r="K604" t="str">
        <v>Shipped</v>
      </c>
      <c r="L604">
        <v>30011</v>
      </c>
    </row>
    <row r="605">
      <c r="A605">
        <v>714690</v>
      </c>
      <c r="B605" t="str">
        <v>W520101-S450</v>
      </c>
      <c r="C605">
        <v>774</v>
      </c>
      <c r="E605">
        <v>1134</v>
      </c>
      <c r="F605">
        <v>128864</v>
      </c>
      <c r="G605">
        <v>193167</v>
      </c>
      <c r="H605" s="1">
        <v>46248</v>
      </c>
      <c r="I605" t="str">
        <v>6-226-15-A</v>
      </c>
      <c r="K605" t="str">
        <v>Shipped</v>
      </c>
      <c r="L605">
        <v>29998</v>
      </c>
    </row>
    <row r="606">
      <c r="A606">
        <v>714692</v>
      </c>
      <c r="B606" t="str">
        <v>W520101-S450</v>
      </c>
      <c r="C606">
        <v>792</v>
      </c>
      <c r="E606">
        <v>1067</v>
      </c>
      <c r="F606">
        <v>121250</v>
      </c>
      <c r="G606">
        <v>193167</v>
      </c>
      <c r="H606" s="1">
        <v>46248</v>
      </c>
      <c r="I606" t="str">
        <v>6-226-16-A</v>
      </c>
      <c r="K606" t="str">
        <v>Shipped</v>
      </c>
      <c r="L606">
        <v>30010</v>
      </c>
    </row>
    <row r="607">
      <c r="A607">
        <v>714696</v>
      </c>
      <c r="B607" t="str">
        <v>W520101-S450</v>
      </c>
      <c r="C607">
        <v>881</v>
      </c>
      <c r="E607">
        <v>1135</v>
      </c>
      <c r="F607">
        <v>128977</v>
      </c>
      <c r="G607">
        <v>193167</v>
      </c>
      <c r="H607" s="1">
        <v>46248</v>
      </c>
      <c r="I607" t="str">
        <v>6-225-32-A</v>
      </c>
      <c r="K607" t="str">
        <v>Shipped</v>
      </c>
      <c r="L607" t="str">
        <v>30018/30026</v>
      </c>
    </row>
    <row r="608">
      <c r="A608">
        <v>714697</v>
      </c>
      <c r="B608" t="str">
        <v>W520101-S450</v>
      </c>
      <c r="C608">
        <v>933</v>
      </c>
      <c r="E608">
        <v>1106</v>
      </c>
      <c r="F608">
        <v>125682</v>
      </c>
      <c r="G608">
        <v>193167</v>
      </c>
      <c r="H608" s="1">
        <v>46248</v>
      </c>
      <c r="I608" t="str">
        <v>6-225-32-B</v>
      </c>
      <c r="K608" t="str">
        <v>Shipped</v>
      </c>
      <c r="L608">
        <v>30006</v>
      </c>
    </row>
    <row r="609">
      <c r="A609">
        <v>714699</v>
      </c>
      <c r="B609" t="str">
        <v>W520101-S437</v>
      </c>
      <c r="C609">
        <v>1507</v>
      </c>
      <c r="E609">
        <v>1022</v>
      </c>
      <c r="F609">
        <v>116136</v>
      </c>
      <c r="G609">
        <v>193167</v>
      </c>
      <c r="H609" s="1">
        <v>46248</v>
      </c>
      <c r="I609" t="str">
        <v>6-224-29-B</v>
      </c>
      <c r="K609" t="str">
        <v>Shipped</v>
      </c>
      <c r="L609">
        <v>29991</v>
      </c>
    </row>
    <row r="610">
      <c r="A610">
        <v>714700</v>
      </c>
      <c r="B610" t="str">
        <v>W520101-S437</v>
      </c>
      <c r="C610">
        <v>1011</v>
      </c>
      <c r="E610">
        <v>1058</v>
      </c>
      <c r="F610">
        <v>120227</v>
      </c>
      <c r="G610">
        <v>193167</v>
      </c>
      <c r="H610" s="1">
        <v>46248</v>
      </c>
      <c r="I610" t="str">
        <v>6-224-30-A</v>
      </c>
      <c r="K610" t="str">
        <v>Shipped</v>
      </c>
      <c r="L610">
        <v>29994</v>
      </c>
    </row>
    <row r="611">
      <c r="A611">
        <v>714701</v>
      </c>
      <c r="B611" t="str">
        <v>W520101-S437</v>
      </c>
      <c r="C611">
        <v>303</v>
      </c>
      <c r="E611">
        <v>1116</v>
      </c>
      <c r="F611">
        <v>126818</v>
      </c>
      <c r="G611">
        <v>193167</v>
      </c>
      <c r="H611" s="1">
        <v>46248</v>
      </c>
      <c r="I611" t="str">
        <v>6-224-30-B</v>
      </c>
      <c r="K611" t="str">
        <v>Shipped</v>
      </c>
      <c r="L611">
        <v>29991</v>
      </c>
    </row>
    <row r="612">
      <c r="A612">
        <v>714702</v>
      </c>
      <c r="B612" t="str">
        <v>W520413-S450L</v>
      </c>
      <c r="C612">
        <v>243</v>
      </c>
      <c r="E612">
        <v>1180</v>
      </c>
      <c r="F612">
        <v>76623</v>
      </c>
      <c r="G612">
        <v>193167</v>
      </c>
      <c r="H612" s="1">
        <v>46248</v>
      </c>
      <c r="I612" t="str">
        <v>6-224-26-A</v>
      </c>
      <c r="K612" t="str">
        <v>Shipped</v>
      </c>
      <c r="L612">
        <v>29998</v>
      </c>
    </row>
    <row r="613">
      <c r="A613">
        <v>714704</v>
      </c>
      <c r="B613" t="str">
        <v>W520111-S450B</v>
      </c>
      <c r="C613">
        <v>1417</v>
      </c>
      <c r="E613">
        <v>1193</v>
      </c>
      <c r="F613">
        <v>143735</v>
      </c>
      <c r="G613">
        <v>193167</v>
      </c>
      <c r="H613" s="1">
        <v>46248</v>
      </c>
      <c r="I613" t="str">
        <v>6-225-30-A</v>
      </c>
      <c r="K613" t="str">
        <v>Shipped</v>
      </c>
      <c r="L613">
        <v>29994</v>
      </c>
    </row>
    <row r="614">
      <c r="A614">
        <v>714705</v>
      </c>
      <c r="B614" t="str">
        <v>W520111-S450B</v>
      </c>
      <c r="C614">
        <v>1357</v>
      </c>
      <c r="E614">
        <v>942</v>
      </c>
      <c r="F614">
        <v>113494</v>
      </c>
      <c r="G614">
        <v>193167</v>
      </c>
      <c r="H614" s="1">
        <v>46248</v>
      </c>
      <c r="I614" t="str">
        <v>6-225-30-B</v>
      </c>
      <c r="K614" t="str">
        <v>Shipped</v>
      </c>
      <c r="L614">
        <v>29994</v>
      </c>
    </row>
    <row r="615">
      <c r="A615">
        <v>714706</v>
      </c>
      <c r="B615" t="str">
        <v>W520111-S450B</v>
      </c>
      <c r="C615">
        <v>1737</v>
      </c>
      <c r="E615">
        <v>1111</v>
      </c>
      <c r="F615">
        <v>133855</v>
      </c>
      <c r="G615">
        <v>193167</v>
      </c>
      <c r="H615" s="1">
        <v>46248</v>
      </c>
      <c r="I615" t="str">
        <v>6-225-31-A</v>
      </c>
      <c r="K615" t="str">
        <v>Shipped</v>
      </c>
      <c r="L615">
        <v>30008</v>
      </c>
    </row>
    <row r="616">
      <c r="A616">
        <v>714707</v>
      </c>
      <c r="B616" t="str">
        <v>W520111-S450B</v>
      </c>
      <c r="C616">
        <v>443</v>
      </c>
      <c r="E616">
        <v>1028</v>
      </c>
      <c r="F616">
        <v>123855</v>
      </c>
      <c r="G616">
        <v>193167</v>
      </c>
      <c r="H616" s="1">
        <v>46248</v>
      </c>
      <c r="I616" t="str">
        <v>6-225-31-B</v>
      </c>
      <c r="K616" t="str">
        <v>Shipped</v>
      </c>
      <c r="L616">
        <v>29994</v>
      </c>
    </row>
    <row r="617">
      <c r="A617">
        <v>716246</v>
      </c>
      <c r="B617" t="str">
        <v>NU3014-02</v>
      </c>
      <c r="C617">
        <v>68</v>
      </c>
      <c r="E617">
        <v>1113</v>
      </c>
      <c r="F617">
        <v>10018</v>
      </c>
      <c r="G617">
        <v>193167</v>
      </c>
      <c r="H617" s="1">
        <v>46248</v>
      </c>
      <c r="I617" t="str">
        <v>6-226-21-A</v>
      </c>
      <c r="K617" t="str">
        <v>Shipped</v>
      </c>
      <c r="L617">
        <v>30011</v>
      </c>
    </row>
    <row r="618">
      <c r="A618">
        <v>716247</v>
      </c>
      <c r="B618" t="str">
        <v>NU3014-02</v>
      </c>
      <c r="C618">
        <v>552</v>
      </c>
      <c r="E618">
        <v>1125</v>
      </c>
      <c r="F618">
        <v>10126</v>
      </c>
      <c r="G618">
        <v>193167</v>
      </c>
      <c r="H618" s="1">
        <v>46248</v>
      </c>
      <c r="I618" t="str">
        <v>6-226-21-B</v>
      </c>
      <c r="K618" t="str">
        <v>Shipped</v>
      </c>
      <c r="L618">
        <v>30011</v>
      </c>
    </row>
    <row r="619">
      <c r="A619">
        <v>716248</v>
      </c>
      <c r="B619" t="str">
        <v>NU3014-02</v>
      </c>
      <c r="C619">
        <v>593</v>
      </c>
      <c r="E619">
        <v>1123</v>
      </c>
      <c r="F619">
        <v>10108</v>
      </c>
      <c r="G619">
        <v>193167</v>
      </c>
      <c r="H619" s="1">
        <v>46248</v>
      </c>
      <c r="I619" t="str">
        <v>6-226-21-C</v>
      </c>
      <c r="K619" t="str">
        <v>Shipped</v>
      </c>
      <c r="L619">
        <v>30011</v>
      </c>
    </row>
    <row r="620">
      <c r="A620">
        <v>716249</v>
      </c>
      <c r="B620" t="str">
        <v>NU3014-02</v>
      </c>
      <c r="C620">
        <v>766</v>
      </c>
      <c r="E620">
        <v>1086</v>
      </c>
      <c r="F620">
        <v>9775</v>
      </c>
      <c r="G620">
        <v>193167</v>
      </c>
      <c r="H620" s="1">
        <v>46248</v>
      </c>
      <c r="I620" t="str">
        <v>6-226-21-D</v>
      </c>
      <c r="K620" t="str">
        <v>Shipped</v>
      </c>
      <c r="L620">
        <v>30011</v>
      </c>
    </row>
    <row r="621">
      <c r="A621">
        <v>716250</v>
      </c>
      <c r="B621" t="str">
        <v>NU3014-02</v>
      </c>
      <c r="C621">
        <v>1710</v>
      </c>
      <c r="E621">
        <v>1121</v>
      </c>
      <c r="F621">
        <v>10090</v>
      </c>
      <c r="G621">
        <v>193167</v>
      </c>
      <c r="H621" s="1">
        <v>46248</v>
      </c>
      <c r="I621" t="str">
        <v>6-226-21-E</v>
      </c>
      <c r="K621" t="str">
        <v>Shipped</v>
      </c>
      <c r="L621">
        <v>30011</v>
      </c>
    </row>
    <row r="622">
      <c r="A622">
        <v>716253</v>
      </c>
      <c r="B622" t="str">
        <v>NU3014-02</v>
      </c>
      <c r="C622">
        <v>1591</v>
      </c>
      <c r="E622">
        <v>10520</v>
      </c>
      <c r="F622">
        <v>9469</v>
      </c>
      <c r="G622">
        <v>193167</v>
      </c>
      <c r="H622" s="1">
        <v>46248</v>
      </c>
      <c r="I622" t="str">
        <v>6-226-21-G</v>
      </c>
      <c r="K622" t="str">
        <v>Shipped</v>
      </c>
      <c r="L622">
        <v>30011</v>
      </c>
    </row>
    <row r="623">
      <c r="A623">
        <v>713918</v>
      </c>
      <c r="B623" t="str">
        <v>11546367-CA-IN</v>
      </c>
      <c r="C623">
        <v>910</v>
      </c>
      <c r="E623">
        <v>1116</v>
      </c>
      <c r="F623">
        <v>24156</v>
      </c>
      <c r="G623">
        <v>193188</v>
      </c>
      <c r="H623" s="1">
        <v>46251</v>
      </c>
      <c r="I623" t="str">
        <v>TRAVELERRECEIVED</v>
      </c>
      <c r="K623" t="str">
        <v>Shipped</v>
      </c>
      <c r="L623">
        <v>30004</v>
      </c>
    </row>
    <row r="624">
      <c r="A624">
        <v>713919</v>
      </c>
      <c r="B624" t="str">
        <v>11546367-CA-IN</v>
      </c>
      <c r="C624">
        <v>1809</v>
      </c>
      <c r="E624">
        <v>1131</v>
      </c>
      <c r="F624">
        <v>24481</v>
      </c>
      <c r="G624">
        <v>193188</v>
      </c>
      <c r="H624" s="1">
        <v>46251</v>
      </c>
      <c r="I624" t="str">
        <v>TRAVELERRECEIVED</v>
      </c>
      <c r="K624" t="str">
        <v>Shipped</v>
      </c>
      <c r="L624">
        <v>30018</v>
      </c>
    </row>
    <row r="625">
      <c r="A625">
        <v>713920</v>
      </c>
      <c r="B625" t="str">
        <v>11546367-CA-IN</v>
      </c>
      <c r="C625">
        <v>1588</v>
      </c>
      <c r="E625">
        <v>1134</v>
      </c>
      <c r="F625">
        <v>24545</v>
      </c>
      <c r="G625">
        <v>193188</v>
      </c>
      <c r="H625" s="1">
        <v>46251</v>
      </c>
      <c r="I625" t="str">
        <v>TRAVELERRECEIVED</v>
      </c>
      <c r="K625" t="str">
        <v>Shipped</v>
      </c>
      <c r="L625">
        <v>29998</v>
      </c>
    </row>
    <row r="626">
      <c r="A626">
        <v>713921</v>
      </c>
      <c r="B626" t="str">
        <v>11546367-CA-IN</v>
      </c>
      <c r="C626">
        <v>521</v>
      </c>
      <c r="E626">
        <v>1215</v>
      </c>
      <c r="F626">
        <v>26299</v>
      </c>
      <c r="G626">
        <v>193188</v>
      </c>
      <c r="H626" s="1">
        <v>46251</v>
      </c>
      <c r="I626" t="str">
        <v>TRAVELERRECEIVED</v>
      </c>
      <c r="K626" t="str">
        <v>Shipped</v>
      </c>
      <c r="L626">
        <v>30004</v>
      </c>
    </row>
    <row r="627">
      <c r="A627">
        <v>713922</v>
      </c>
      <c r="B627" t="str">
        <v>11546367-CA-IN</v>
      </c>
      <c r="C627">
        <v>405</v>
      </c>
      <c r="E627">
        <v>1108</v>
      </c>
      <c r="F627">
        <v>23983</v>
      </c>
      <c r="G627">
        <v>193188</v>
      </c>
      <c r="H627" s="1">
        <v>46251</v>
      </c>
      <c r="I627" t="str">
        <v>TRAVELERRECEIVED</v>
      </c>
      <c r="K627" t="str">
        <v>Shipped</v>
      </c>
      <c r="L627">
        <v>29998</v>
      </c>
    </row>
    <row r="628">
      <c r="A628">
        <v>714350</v>
      </c>
      <c r="B628" t="str">
        <v>11546367-CA-IN</v>
      </c>
      <c r="C628">
        <v>908</v>
      </c>
      <c r="E628">
        <v>1310</v>
      </c>
      <c r="F628">
        <v>28355</v>
      </c>
      <c r="G628">
        <v>193188</v>
      </c>
      <c r="H628" s="1">
        <v>46251</v>
      </c>
      <c r="I628" t="str">
        <v>TRAVELERRECEIVED</v>
      </c>
      <c r="K628" t="str">
        <v>Shipped</v>
      </c>
      <c r="L628">
        <v>30013</v>
      </c>
    </row>
    <row r="629">
      <c r="A629">
        <v>714351</v>
      </c>
      <c r="B629" t="str">
        <v>11546367-CA-IN</v>
      </c>
      <c r="C629">
        <v>1712</v>
      </c>
      <c r="E629">
        <v>1271</v>
      </c>
      <c r="F629">
        <v>27511</v>
      </c>
      <c r="G629">
        <v>193188</v>
      </c>
      <c r="H629" s="1">
        <v>46251</v>
      </c>
      <c r="I629" t="str">
        <v>TRAVELERRECEIVED</v>
      </c>
      <c r="K629" t="str">
        <v>Shipped</v>
      </c>
      <c r="L629">
        <v>30018</v>
      </c>
    </row>
    <row r="630">
      <c r="A630">
        <v>714352</v>
      </c>
      <c r="B630" t="str">
        <v>11546367-CA-IN</v>
      </c>
      <c r="C630">
        <v>1302</v>
      </c>
      <c r="E630">
        <v>592</v>
      </c>
      <c r="F630">
        <v>12814</v>
      </c>
      <c r="G630">
        <v>193188</v>
      </c>
      <c r="H630" s="1">
        <v>46251</v>
      </c>
      <c r="I630" t="str">
        <v>TRAVELERRECEIVED</v>
      </c>
      <c r="K630" t="str">
        <v>Shipped</v>
      </c>
      <c r="L630">
        <v>30013</v>
      </c>
    </row>
    <row r="631">
      <c r="A631">
        <v>714479</v>
      </c>
      <c r="B631">
        <v>11547369</v>
      </c>
      <c r="C631">
        <v>279</v>
      </c>
      <c r="E631">
        <v>1394</v>
      </c>
      <c r="F631">
        <v>11521</v>
      </c>
      <c r="G631">
        <v>193188</v>
      </c>
      <c r="H631" s="1">
        <v>46251</v>
      </c>
      <c r="I631" t="str">
        <v>TRAVELERRECEIVED</v>
      </c>
      <c r="K631" t="str">
        <v>Shipped</v>
      </c>
      <c r="L631">
        <v>30013</v>
      </c>
    </row>
    <row r="632">
      <c r="A632">
        <v>714480</v>
      </c>
      <c r="B632">
        <v>11547369</v>
      </c>
      <c r="C632">
        <v>1339</v>
      </c>
      <c r="E632">
        <v>1368</v>
      </c>
      <c r="F632">
        <v>11306</v>
      </c>
      <c r="G632">
        <v>193188</v>
      </c>
      <c r="H632" s="1">
        <v>46251</v>
      </c>
      <c r="I632" t="str">
        <v>TRAVELERRECEIVED</v>
      </c>
      <c r="K632" t="str">
        <v>Shipped</v>
      </c>
      <c r="L632">
        <v>30018</v>
      </c>
    </row>
    <row r="633">
      <c r="A633">
        <v>714481</v>
      </c>
      <c r="B633">
        <v>11547369</v>
      </c>
      <c r="C633">
        <v>979</v>
      </c>
      <c r="E633">
        <v>1278</v>
      </c>
      <c r="F633">
        <v>10562</v>
      </c>
      <c r="G633">
        <v>193188</v>
      </c>
      <c r="H633" s="1">
        <v>46251</v>
      </c>
      <c r="I633" t="str">
        <v>TRAVELERRECEIVED</v>
      </c>
      <c r="J633" t="str">
        <v>DONE</v>
      </c>
      <c r="K633" t="str">
        <f>IF(ISERROR(MATCH(WORKORDER[[#This Row],[TRAVELER]],Table1[TRAVELER],0)),K633,"Shipped")</f>
        <v>Shipped</v>
      </c>
      <c r="L633">
        <f>+IF(ISERROR(MATCH(WORKORDER[[#This Row],[TRAVELER]],Table1[TRAVELER],0)),L633,'PACKING SLIP'!$F$5)</f>
        <v>0</v>
      </c>
    </row>
    <row r="634">
      <c r="A634">
        <v>714482</v>
      </c>
      <c r="B634">
        <v>11547369</v>
      </c>
      <c r="C634">
        <v>252</v>
      </c>
      <c r="E634">
        <v>1280</v>
      </c>
      <c r="F634">
        <v>10579</v>
      </c>
      <c r="G634">
        <v>193188</v>
      </c>
      <c r="H634" s="1">
        <v>46251</v>
      </c>
      <c r="I634" t="str">
        <v>TRAVELERRECEIVED</v>
      </c>
      <c r="K634" t="str">
        <v>Shipped</v>
      </c>
      <c r="L634">
        <v>30013</v>
      </c>
    </row>
    <row r="635">
      <c r="A635">
        <v>714536</v>
      </c>
      <c r="B635" t="str">
        <v>11546365-MY-AK</v>
      </c>
      <c r="C635">
        <v>698</v>
      </c>
      <c r="E635">
        <v>1153</v>
      </c>
      <c r="F635">
        <v>67427</v>
      </c>
      <c r="G635">
        <v>193188</v>
      </c>
      <c r="H635" s="1">
        <v>46251</v>
      </c>
      <c r="I635" t="str">
        <v>TRAVELERRECEIVED</v>
      </c>
      <c r="K635" t="str">
        <v>Shipped</v>
      </c>
      <c r="L635">
        <v>30010</v>
      </c>
    </row>
    <row r="636">
      <c r="A636">
        <v>714537</v>
      </c>
      <c r="B636" t="str">
        <v>11546365-MY-AK</v>
      </c>
      <c r="C636">
        <v>790</v>
      </c>
      <c r="D636" t="str">
        <v>MC/BF</v>
      </c>
      <c r="E636">
        <v>1079</v>
      </c>
      <c r="F636">
        <v>63099</v>
      </c>
      <c r="G636">
        <v>193188</v>
      </c>
      <c r="H636" s="1">
        <v>46251</v>
      </c>
      <c r="I636" t="str">
        <v>TRAVELERRECEIVED</v>
      </c>
      <c r="J636" t="str">
        <v>DONE</v>
      </c>
      <c r="K636" t="str">
        <v>Shipped</v>
      </c>
      <c r="L636">
        <v>30028</v>
      </c>
    </row>
    <row r="637">
      <c r="A637">
        <v>714538</v>
      </c>
      <c r="B637" t="str">
        <v>11546365-MY-AK</v>
      </c>
      <c r="C637">
        <v>1714</v>
      </c>
      <c r="E637">
        <v>1231</v>
      </c>
      <c r="F637">
        <v>71988</v>
      </c>
      <c r="G637">
        <v>193188</v>
      </c>
      <c r="H637" s="1">
        <v>46251</v>
      </c>
      <c r="I637" t="str">
        <v>TRAVELERRECEIVED</v>
      </c>
      <c r="K637" t="str">
        <v>Shipped</v>
      </c>
      <c r="L637">
        <v>30010</v>
      </c>
    </row>
    <row r="638">
      <c r="A638">
        <v>714539</v>
      </c>
      <c r="B638" t="str">
        <v>11546365-MY-AK</v>
      </c>
      <c r="C638">
        <v>1529</v>
      </c>
      <c r="E638">
        <v>983</v>
      </c>
      <c r="F638">
        <v>57485</v>
      </c>
      <c r="G638">
        <v>193188</v>
      </c>
      <c r="H638" s="1">
        <v>46251</v>
      </c>
      <c r="I638" t="str">
        <v>6-229-20-B</v>
      </c>
      <c r="K638" t="str">
        <v>Shipped</v>
      </c>
      <c r="L638">
        <v>29998</v>
      </c>
    </row>
    <row r="639">
      <c r="A639">
        <v>714540</v>
      </c>
      <c r="B639" t="str">
        <v>11546365-MY-AK</v>
      </c>
      <c r="C639">
        <v>125</v>
      </c>
      <c r="E639">
        <v>1084</v>
      </c>
      <c r="F639">
        <v>63392</v>
      </c>
      <c r="G639">
        <v>193188</v>
      </c>
      <c r="H639" s="1">
        <v>46251</v>
      </c>
      <c r="I639" t="str">
        <v>TRAVELERRECEIVED</v>
      </c>
      <c r="K639" t="str">
        <v>Shipped</v>
      </c>
      <c r="L639">
        <v>30008</v>
      </c>
    </row>
    <row r="640">
      <c r="A640">
        <v>714541</v>
      </c>
      <c r="B640" t="str">
        <v>11546365-MY-AK</v>
      </c>
      <c r="C640">
        <v>1663</v>
      </c>
      <c r="D640" t="str">
        <v>MC/BF</v>
      </c>
      <c r="E640">
        <v>1106</v>
      </c>
      <c r="F640">
        <v>64678</v>
      </c>
      <c r="G640">
        <v>193188</v>
      </c>
      <c r="H640" s="1">
        <v>46251</v>
      </c>
      <c r="I640" t="str">
        <v>TRAVELERRECEIVED</v>
      </c>
      <c r="J640" t="str">
        <v>DONE</v>
      </c>
      <c r="K640" t="str">
        <f>IF(ISERROR(MATCH(WORKORDER[[#This Row],[TRAVELER]],Table1[TRAVELER],0)),K640,"Shipped")</f>
        <v>Shipped</v>
      </c>
      <c r="L640">
        <f>+IF(ISERROR(MATCH(WORKORDER[[#This Row],[TRAVELER]],Table1[TRAVELER],0)),L640,'PACKING SLIP'!$F$5)</f>
        <v>0</v>
      </c>
    </row>
    <row r="641">
      <c r="A641">
        <v>715602</v>
      </c>
      <c r="B641" t="str">
        <v>06511834AA</v>
      </c>
      <c r="C641">
        <v>23</v>
      </c>
      <c r="E641">
        <v>437</v>
      </c>
      <c r="F641">
        <v>3000</v>
      </c>
      <c r="G641">
        <v>193188</v>
      </c>
      <c r="H641" s="1">
        <v>46251</v>
      </c>
      <c r="I641" t="str">
        <v>TRAVELERRECEIVED</v>
      </c>
      <c r="K641" t="str">
        <v>Shipped</v>
      </c>
      <c r="L641">
        <v>30013</v>
      </c>
    </row>
    <row r="642">
      <c r="A642">
        <v>715603</v>
      </c>
      <c r="B642" t="str">
        <v>06511834AA</v>
      </c>
      <c r="C642">
        <v>688</v>
      </c>
      <c r="E642">
        <v>437</v>
      </c>
      <c r="F642">
        <v>3000</v>
      </c>
      <c r="G642">
        <v>193188</v>
      </c>
      <c r="H642" s="1">
        <v>46251</v>
      </c>
      <c r="I642" t="str">
        <v>TRAVELERRECEIVED</v>
      </c>
      <c r="K642" t="str">
        <v>Shipped</v>
      </c>
      <c r="L642">
        <v>30013</v>
      </c>
    </row>
    <row r="643">
      <c r="A643">
        <v>716162</v>
      </c>
      <c r="B643" t="str">
        <v>06511847AA</v>
      </c>
      <c r="C643">
        <v>912</v>
      </c>
      <c r="E643">
        <v>978</v>
      </c>
      <c r="F643">
        <v>25141</v>
      </c>
      <c r="G643">
        <v>193188</v>
      </c>
      <c r="H643" s="1">
        <v>46251</v>
      </c>
      <c r="I643" t="str">
        <v>TRAVELERRECEIVED</v>
      </c>
      <c r="J643" t="str">
        <v>DONE</v>
      </c>
      <c r="K643" t="str">
        <f>IF(ISERROR(MATCH(WORKORDER[[#This Row],[TRAVELER]],Table1[TRAVELER],0)),K643,"Shipped")</f>
        <v>Shipped</v>
      </c>
      <c r="L643">
        <f>+IF(ISERROR(MATCH(WORKORDER[[#This Row],[TRAVELER]],Table1[TRAVELER],0)),L643,'PACKING SLIP'!$F$5)</f>
        <v>30101</v>
      </c>
    </row>
    <row r="644">
      <c r="A644">
        <v>716163</v>
      </c>
      <c r="B644" t="str">
        <v>06511847AA</v>
      </c>
      <c r="C644">
        <v>427</v>
      </c>
      <c r="E644">
        <v>904</v>
      </c>
      <c r="F644">
        <v>23239</v>
      </c>
      <c r="G644">
        <v>193188</v>
      </c>
      <c r="H644" s="1">
        <v>46251</v>
      </c>
      <c r="I644" t="str">
        <v>TRAVELERRECEIVED</v>
      </c>
      <c r="K644" t="str">
        <v>Shipped</v>
      </c>
      <c r="L644">
        <v>30013</v>
      </c>
    </row>
    <row r="645">
      <c r="A645">
        <v>716325</v>
      </c>
      <c r="B645" t="str">
        <v>06511834AA</v>
      </c>
      <c r="C645">
        <v>97</v>
      </c>
      <c r="D645" t="str">
        <v>TB</v>
      </c>
      <c r="E645">
        <v>421</v>
      </c>
      <c r="F645">
        <v>2891</v>
      </c>
      <c r="G645">
        <v>193188</v>
      </c>
      <c r="H645" s="1">
        <v>46251</v>
      </c>
      <c r="I645" t="str">
        <v>TRAVELERRECEIVED</v>
      </c>
      <c r="J645" t="str">
        <v>DONE</v>
      </c>
      <c r="K645" t="str">
        <f>IF(ISERROR(MATCH(WORKORDER[[#This Row],[TRAVELER]],Table1[TRAVELER],0)),K645,"Shipped")</f>
        <v>Shipped</v>
      </c>
      <c r="L645">
        <f>+IF(ISERROR(MATCH(WORKORDER[[#This Row],[TRAVELER]],Table1[TRAVELER],0)),L645,'PACKING SLIP'!$F$5)</f>
        <v>0</v>
      </c>
    </row>
    <row r="646">
      <c r="A646">
        <v>716326</v>
      </c>
      <c r="B646" t="str">
        <v>06511834AA</v>
      </c>
      <c r="C646">
        <v>97</v>
      </c>
      <c r="E646">
        <v>421</v>
      </c>
      <c r="F646">
        <v>2891</v>
      </c>
      <c r="G646">
        <v>193188</v>
      </c>
      <c r="H646" s="1">
        <v>46251</v>
      </c>
      <c r="I646" t="str">
        <v>TRAVELERRECEIVED</v>
      </c>
      <c r="K646" t="str">
        <v>Shipped</v>
      </c>
      <c r="L646">
        <v>30026</v>
      </c>
    </row>
    <row r="647">
      <c r="A647">
        <v>716327</v>
      </c>
      <c r="B647" t="str">
        <v>06511834AA</v>
      </c>
      <c r="C647">
        <v>26</v>
      </c>
      <c r="E647">
        <v>407</v>
      </c>
      <c r="F647">
        <v>2795</v>
      </c>
      <c r="G647">
        <v>193188</v>
      </c>
      <c r="H647" s="1">
        <v>46251</v>
      </c>
      <c r="I647" t="str">
        <v>TRAVELERRECEIVED</v>
      </c>
      <c r="K647" t="str">
        <v>Shipped</v>
      </c>
      <c r="L647">
        <v>30013</v>
      </c>
    </row>
    <row r="648">
      <c r="A648">
        <v>716328</v>
      </c>
      <c r="B648" t="str">
        <v>06511834AA</v>
      </c>
      <c r="C648">
        <v>889</v>
      </c>
      <c r="E648">
        <v>432</v>
      </c>
      <c r="F648">
        <v>2967</v>
      </c>
      <c r="G648">
        <v>193188</v>
      </c>
      <c r="H648" s="1">
        <v>46251</v>
      </c>
      <c r="I648" t="str">
        <v>TRAVELERRECEIVED</v>
      </c>
      <c r="K648" t="str">
        <v>Shipped</v>
      </c>
      <c r="L648">
        <v>30013</v>
      </c>
    </row>
    <row r="649">
      <c r="A649">
        <v>716677</v>
      </c>
      <c r="B649" t="str">
        <v>06105049AA</v>
      </c>
      <c r="C649" t="str">
        <v>KIB</v>
      </c>
      <c r="E649">
        <v>1468</v>
      </c>
      <c r="F649">
        <v>40000</v>
      </c>
      <c r="G649">
        <v>193188</v>
      </c>
      <c r="H649" s="1">
        <v>46251</v>
      </c>
      <c r="I649" t="str">
        <v>TRAVELERRECEIVED</v>
      </c>
      <c r="K649" t="str">
        <v>Shipped</v>
      </c>
      <c r="L649">
        <v>30010</v>
      </c>
    </row>
    <row r="650">
      <c r="A650">
        <v>716678</v>
      </c>
      <c r="B650" t="str">
        <v>06105049AA</v>
      </c>
      <c r="C650" t="str">
        <v>KIB</v>
      </c>
      <c r="E650">
        <v>1468</v>
      </c>
      <c r="F650">
        <v>40000</v>
      </c>
      <c r="G650">
        <v>193188</v>
      </c>
      <c r="H650" s="1">
        <v>46251</v>
      </c>
      <c r="I650" t="str">
        <v>SPLIT FROM TR 716677</v>
      </c>
      <c r="K650" t="str">
        <v>Shipped</v>
      </c>
      <c r="L650">
        <v>30018</v>
      </c>
    </row>
    <row r="651">
      <c r="A651">
        <v>716679</v>
      </c>
      <c r="B651" t="str">
        <v>06105049AA</v>
      </c>
      <c r="C651" t="str">
        <v>KIB</v>
      </c>
      <c r="E651">
        <v>1468</v>
      </c>
      <c r="F651">
        <v>40000</v>
      </c>
      <c r="G651">
        <v>193188</v>
      </c>
      <c r="H651" s="1">
        <v>46251</v>
      </c>
      <c r="I651" t="str">
        <v>TRAVELERRECEIVED</v>
      </c>
      <c r="K651" t="str">
        <v>Shipped</v>
      </c>
      <c r="L651">
        <v>30024</v>
      </c>
    </row>
    <row r="652">
      <c r="A652">
        <v>716680</v>
      </c>
      <c r="B652" t="str">
        <v>06105049AA</v>
      </c>
      <c r="C652" t="str">
        <v>KIB</v>
      </c>
      <c r="E652">
        <v>1468</v>
      </c>
      <c r="F652">
        <v>40000</v>
      </c>
      <c r="G652">
        <v>193188</v>
      </c>
      <c r="H652" s="1">
        <v>46251</v>
      </c>
      <c r="I652" t="str">
        <v>SPLIT FROM TR 716679</v>
      </c>
      <c r="K652" t="str">
        <v>Shipped</v>
      </c>
      <c r="L652">
        <v>30024</v>
      </c>
    </row>
    <row r="653">
      <c r="A653">
        <v>716687</v>
      </c>
      <c r="B653" t="str">
        <v>06105102AA</v>
      </c>
      <c r="C653" t="str">
        <v>KIB</v>
      </c>
      <c r="E653">
        <v>1736</v>
      </c>
      <c r="F653">
        <v>40000</v>
      </c>
      <c r="G653">
        <v>193188</v>
      </c>
      <c r="H653" s="1">
        <v>46251</v>
      </c>
      <c r="I653" t="str">
        <v>TRAVELERRECEIVED</v>
      </c>
      <c r="K653" t="str">
        <v>Shipped</v>
      </c>
      <c r="L653">
        <v>30006</v>
      </c>
    </row>
    <row r="654">
      <c r="A654">
        <v>716688</v>
      </c>
      <c r="B654" t="str">
        <v>06105102AA</v>
      </c>
      <c r="C654" t="str">
        <v>KIB</v>
      </c>
      <c r="E654">
        <v>1736</v>
      </c>
      <c r="F654">
        <v>40000</v>
      </c>
      <c r="G654">
        <v>193188</v>
      </c>
      <c r="H654" s="1">
        <v>46251</v>
      </c>
      <c r="I654" t="str">
        <v>SPLIT FROM TR#716687</v>
      </c>
      <c r="K654" t="str">
        <v>Shipped</v>
      </c>
      <c r="L654">
        <v>30006</v>
      </c>
    </row>
    <row r="655">
      <c r="A655">
        <v>716689</v>
      </c>
      <c r="B655" t="str">
        <v>06105102AA</v>
      </c>
      <c r="C655" t="str">
        <v>KIB</v>
      </c>
      <c r="E655">
        <v>1736</v>
      </c>
      <c r="F655">
        <v>40000</v>
      </c>
      <c r="G655">
        <v>193188</v>
      </c>
      <c r="H655" s="1">
        <v>46251</v>
      </c>
      <c r="I655" t="str">
        <v>TRAVELERRECEIVED</v>
      </c>
      <c r="K655" t="str">
        <v>Shipped</v>
      </c>
      <c r="L655">
        <v>30008</v>
      </c>
    </row>
    <row r="656">
      <c r="A656">
        <v>716690</v>
      </c>
      <c r="B656" t="str">
        <v>06105102AA</v>
      </c>
      <c r="C656" t="str">
        <v>KIB</v>
      </c>
      <c r="E656">
        <v>1736</v>
      </c>
      <c r="F656">
        <v>40000</v>
      </c>
      <c r="G656">
        <v>193188</v>
      </c>
      <c r="H656" s="1">
        <v>46251</v>
      </c>
      <c r="I656" t="str">
        <v>SPLIT FROM TR#716689</v>
      </c>
      <c r="K656" t="str">
        <v>Shipped</v>
      </c>
      <c r="L656">
        <v>30008</v>
      </c>
    </row>
    <row r="657">
      <c r="A657">
        <v>716691</v>
      </c>
      <c r="B657" t="str">
        <v>06105102AA</v>
      </c>
      <c r="C657" t="str">
        <v>KIB</v>
      </c>
      <c r="E657">
        <v>1736</v>
      </c>
      <c r="F657">
        <v>40000</v>
      </c>
      <c r="G657">
        <v>193188</v>
      </c>
      <c r="H657" s="1">
        <v>46251</v>
      </c>
      <c r="I657" t="str">
        <v>TRAVELERRECEIVED</v>
      </c>
      <c r="K657" t="str">
        <v>Shipped</v>
      </c>
      <c r="L657">
        <v>30006</v>
      </c>
    </row>
    <row r="658">
      <c r="A658">
        <v>716692</v>
      </c>
      <c r="B658" t="str">
        <v>06105102AA</v>
      </c>
      <c r="C658" t="str">
        <v>KIB</v>
      </c>
      <c r="E658">
        <v>1736</v>
      </c>
      <c r="F658">
        <v>40000</v>
      </c>
      <c r="G658">
        <v>193188</v>
      </c>
      <c r="H658" s="1">
        <v>46251</v>
      </c>
      <c r="I658" t="str">
        <v>SPLIT FROM TR#716691</v>
      </c>
      <c r="K658" t="str">
        <v>Shipped</v>
      </c>
      <c r="L658">
        <v>30008</v>
      </c>
    </row>
    <row r="659">
      <c r="A659">
        <v>716693</v>
      </c>
      <c r="B659" t="str">
        <v>06105102AA</v>
      </c>
      <c r="C659" t="str">
        <v>KIB</v>
      </c>
      <c r="E659">
        <v>1736</v>
      </c>
      <c r="F659">
        <v>40000</v>
      </c>
      <c r="G659">
        <v>193188</v>
      </c>
      <c r="H659" s="1">
        <v>46251</v>
      </c>
      <c r="I659" t="str">
        <v>TRAVELERRECEIVED</v>
      </c>
      <c r="K659" t="str">
        <v>Shipped</v>
      </c>
      <c r="L659">
        <v>30006</v>
      </c>
    </row>
    <row r="660">
      <c r="A660">
        <v>716694</v>
      </c>
      <c r="B660" t="str">
        <v>06105102AA</v>
      </c>
      <c r="C660" t="str">
        <v>KIB</v>
      </c>
      <c r="E660">
        <v>1736</v>
      </c>
      <c r="F660">
        <v>40000</v>
      </c>
      <c r="G660">
        <v>193188</v>
      </c>
      <c r="H660" s="1">
        <v>46251</v>
      </c>
      <c r="I660" t="str">
        <v>SPLIT FROM TR#716693</v>
      </c>
      <c r="K660" t="str">
        <v>Shipped</v>
      </c>
      <c r="L660">
        <v>30008</v>
      </c>
    </row>
    <row r="661">
      <c r="A661">
        <v>716695</v>
      </c>
      <c r="B661" t="str">
        <v>06105102AA</v>
      </c>
      <c r="C661" t="str">
        <v>KIB</v>
      </c>
      <c r="E661">
        <v>1736</v>
      </c>
      <c r="F661">
        <v>40000</v>
      </c>
      <c r="G661">
        <v>193188</v>
      </c>
      <c r="H661" s="1">
        <v>46251</v>
      </c>
      <c r="I661" t="str">
        <v>TRAVELERRECEIVED</v>
      </c>
      <c r="K661" t="str">
        <v>Shipped</v>
      </c>
      <c r="L661">
        <v>30008</v>
      </c>
    </row>
    <row r="662">
      <c r="A662">
        <v>716696</v>
      </c>
      <c r="B662" t="str">
        <v>06105102AA</v>
      </c>
      <c r="C662" t="str">
        <v>KIB</v>
      </c>
      <c r="E662">
        <v>1736</v>
      </c>
      <c r="F662">
        <v>40000</v>
      </c>
      <c r="G662">
        <v>193188</v>
      </c>
      <c r="H662" s="1">
        <v>46251</v>
      </c>
      <c r="I662" t="str">
        <v>SPLIT FROM TR#716695</v>
      </c>
      <c r="K662" t="str">
        <v>Shipped</v>
      </c>
      <c r="L662">
        <v>30008</v>
      </c>
    </row>
    <row r="663">
      <c r="A663">
        <v>716697</v>
      </c>
      <c r="B663" t="str">
        <v>06105102AA</v>
      </c>
      <c r="C663" t="str">
        <v>KIB</v>
      </c>
      <c r="E663">
        <v>1736</v>
      </c>
      <c r="F663">
        <v>40000</v>
      </c>
      <c r="G663">
        <v>193188</v>
      </c>
      <c r="H663" s="1">
        <v>46251</v>
      </c>
      <c r="I663" t="str">
        <v>TRAVELERRECEIVED</v>
      </c>
      <c r="K663" t="str">
        <v>Shipped</v>
      </c>
      <c r="L663">
        <v>30006</v>
      </c>
    </row>
    <row r="664">
      <c r="A664">
        <v>716698</v>
      </c>
      <c r="B664" t="str">
        <v>06105102AA</v>
      </c>
      <c r="C664" t="str">
        <v>KIB</v>
      </c>
      <c r="E664">
        <v>1736</v>
      </c>
      <c r="F664">
        <v>40000</v>
      </c>
      <c r="G664">
        <v>193188</v>
      </c>
      <c r="H664" s="1">
        <v>46251</v>
      </c>
      <c r="I664" t="str">
        <v>SPLIT FROM TR#716697</v>
      </c>
      <c r="K664" t="str">
        <v>Shipped</v>
      </c>
      <c r="L664">
        <v>30006</v>
      </c>
    </row>
    <row r="665">
      <c r="A665">
        <v>711038</v>
      </c>
      <c r="B665">
        <v>11547059</v>
      </c>
      <c r="C665" t="str">
        <v>33CTNS</v>
      </c>
      <c r="E665">
        <v>826</v>
      </c>
      <c r="F665">
        <v>18150</v>
      </c>
      <c r="G665">
        <v>193203</v>
      </c>
      <c r="H665" s="1">
        <v>46251</v>
      </c>
      <c r="I665" t="str">
        <v>6-168-28-A</v>
      </c>
      <c r="K665" t="str">
        <v>Shipped</v>
      </c>
      <c r="L665">
        <v>30004</v>
      </c>
    </row>
    <row r="666">
      <c r="A666">
        <v>711043</v>
      </c>
      <c r="B666">
        <v>11547059</v>
      </c>
      <c r="C666" t="str">
        <v>37CTNS</v>
      </c>
      <c r="E666">
        <v>901</v>
      </c>
      <c r="F666">
        <v>19800</v>
      </c>
      <c r="G666">
        <v>193203</v>
      </c>
      <c r="H666" s="1">
        <v>46251</v>
      </c>
      <c r="I666" t="str">
        <v>6-168-28-F</v>
      </c>
      <c r="K666" t="str">
        <v>Shipped</v>
      </c>
      <c r="L666">
        <v>29998</v>
      </c>
    </row>
    <row r="667">
      <c r="A667">
        <v>712207</v>
      </c>
      <c r="B667" t="str">
        <v>06511799AA</v>
      </c>
      <c r="C667">
        <v>954</v>
      </c>
      <c r="E667">
        <v>934</v>
      </c>
      <c r="F667">
        <v>60649</v>
      </c>
      <c r="G667">
        <v>193203</v>
      </c>
      <c r="H667" s="1">
        <v>46251</v>
      </c>
      <c r="I667" t="str">
        <v>6-229-01-A</v>
      </c>
      <c r="J667" t="str">
        <v>DONE</v>
      </c>
      <c r="K667">
        <f>IF(ISERROR(MATCH(WORKORDER[[#This Row],[TRAVELER]],Table1[TRAVELER],0)),K667,"Shipped")</f>
        <v>0</v>
      </c>
      <c r="L667">
        <f>+IF(ISERROR(MATCH(WORKORDER[[#This Row],[TRAVELER]],Table1[TRAVELER],0)),L667,'PACKING SLIP'!$F$5)</f>
        <v>0</v>
      </c>
    </row>
    <row r="668">
      <c r="A668">
        <v>713049</v>
      </c>
      <c r="B668" t="str">
        <v>HL3W-4320-AA</v>
      </c>
      <c r="C668">
        <v>69</v>
      </c>
      <c r="E668">
        <v>901</v>
      </c>
      <c r="F668">
        <v>5904</v>
      </c>
      <c r="G668">
        <v>193203</v>
      </c>
      <c r="H668" s="1">
        <v>46251</v>
      </c>
      <c r="I668" t="str">
        <v>6-226-23-A</v>
      </c>
      <c r="K668" t="str">
        <v>Shipped</v>
      </c>
      <c r="L668">
        <v>30004</v>
      </c>
    </row>
    <row r="669">
      <c r="A669">
        <v>713052</v>
      </c>
      <c r="B669" t="str">
        <v>HL3W-4320-AA</v>
      </c>
      <c r="C669">
        <v>660</v>
      </c>
      <c r="E669">
        <v>1003</v>
      </c>
      <c r="F669">
        <v>6573</v>
      </c>
      <c r="G669">
        <v>193203</v>
      </c>
      <c r="H669" s="1">
        <v>46251</v>
      </c>
      <c r="I669" t="str">
        <v>6-226-23-B</v>
      </c>
      <c r="K669" t="str">
        <v>Shipped</v>
      </c>
      <c r="L669">
        <v>30004</v>
      </c>
    </row>
    <row r="670">
      <c r="A670">
        <v>713053</v>
      </c>
      <c r="B670" t="str">
        <v>HL3W-4320-AA</v>
      </c>
      <c r="C670">
        <v>548</v>
      </c>
      <c r="E670">
        <v>975</v>
      </c>
      <c r="F670">
        <v>6389</v>
      </c>
      <c r="G670">
        <v>193203</v>
      </c>
      <c r="H670" s="1">
        <v>46251</v>
      </c>
      <c r="I670" t="str">
        <v>6-226-23-C</v>
      </c>
      <c r="K670" t="str">
        <v>Shipped</v>
      </c>
      <c r="L670">
        <v>30026</v>
      </c>
    </row>
    <row r="671">
      <c r="A671">
        <v>714076</v>
      </c>
      <c r="B671">
        <v>40110160</v>
      </c>
      <c r="C671">
        <v>1444</v>
      </c>
      <c r="E671">
        <v>1081</v>
      </c>
      <c r="F671">
        <v>6868</v>
      </c>
      <c r="G671">
        <v>193203</v>
      </c>
      <c r="H671" s="1">
        <v>46251</v>
      </c>
      <c r="I671" t="str">
        <v>6-204-16-A</v>
      </c>
      <c r="K671" t="str">
        <v>Shipped</v>
      </c>
      <c r="L671">
        <v>29996</v>
      </c>
    </row>
    <row r="672">
      <c r="A672">
        <v>714077</v>
      </c>
      <c r="B672">
        <v>40110160</v>
      </c>
      <c r="C672">
        <v>254</v>
      </c>
      <c r="E672">
        <v>165</v>
      </c>
      <c r="F672">
        <v>7402</v>
      </c>
      <c r="G672">
        <v>193203</v>
      </c>
      <c r="H672" s="1">
        <v>46251</v>
      </c>
      <c r="I672" t="str">
        <v>6-204-16-B</v>
      </c>
      <c r="K672" t="str">
        <v>Shipped</v>
      </c>
      <c r="L672">
        <v>29996</v>
      </c>
    </row>
    <row r="673">
      <c r="A673">
        <v>714078</v>
      </c>
      <c r="B673">
        <v>40110160</v>
      </c>
      <c r="C673">
        <v>1039</v>
      </c>
      <c r="E673">
        <v>646</v>
      </c>
      <c r="F673">
        <v>4104</v>
      </c>
      <c r="G673">
        <v>193203</v>
      </c>
      <c r="H673" s="1">
        <v>46251</v>
      </c>
      <c r="I673" t="str">
        <v>6-204-17-A</v>
      </c>
      <c r="K673" t="str">
        <v>Shipped</v>
      </c>
      <c r="L673">
        <v>29996</v>
      </c>
    </row>
    <row r="674">
      <c r="A674">
        <v>714256</v>
      </c>
      <c r="B674" t="str">
        <v>HL3W-4320-AA</v>
      </c>
      <c r="C674">
        <v>1679</v>
      </c>
      <c r="E674">
        <v>963</v>
      </c>
      <c r="F674">
        <v>6311</v>
      </c>
      <c r="G674">
        <v>193203</v>
      </c>
      <c r="H674" s="1">
        <v>46251</v>
      </c>
      <c r="I674" t="str">
        <v>6-226-24-A</v>
      </c>
      <c r="K674" t="str">
        <v>Shipped</v>
      </c>
      <c r="L674">
        <v>30004</v>
      </c>
    </row>
    <row r="675">
      <c r="A675">
        <v>714257</v>
      </c>
      <c r="B675" t="str">
        <v>HL3W-4320-AA</v>
      </c>
      <c r="C675">
        <v>1702</v>
      </c>
      <c r="E675">
        <v>828</v>
      </c>
      <c r="F675">
        <v>5426</v>
      </c>
      <c r="G675">
        <v>193203</v>
      </c>
      <c r="H675" s="1">
        <v>46251</v>
      </c>
      <c r="I675" t="str">
        <v>6-226-24-B</v>
      </c>
      <c r="K675" t="str">
        <v>Shipped</v>
      </c>
      <c r="L675">
        <v>30004</v>
      </c>
    </row>
    <row r="676">
      <c r="A676">
        <v>714604</v>
      </c>
      <c r="B676" t="str">
        <v>HL3W-4320-AA</v>
      </c>
      <c r="C676">
        <v>1678</v>
      </c>
      <c r="E676">
        <v>923</v>
      </c>
      <c r="F676">
        <v>6048</v>
      </c>
      <c r="G676">
        <v>193203</v>
      </c>
      <c r="H676" s="1">
        <v>46251</v>
      </c>
      <c r="I676" t="str">
        <v>6-226-25-A</v>
      </c>
      <c r="K676" t="str">
        <v>Shipped</v>
      </c>
      <c r="L676">
        <v>30026</v>
      </c>
    </row>
    <row r="677">
      <c r="A677">
        <v>714606</v>
      </c>
      <c r="B677" t="str">
        <v>HL3W-4320-AA</v>
      </c>
      <c r="C677">
        <v>175</v>
      </c>
      <c r="E677">
        <v>871</v>
      </c>
      <c r="F677">
        <v>5708</v>
      </c>
      <c r="G677">
        <v>193203</v>
      </c>
      <c r="H677" s="1">
        <v>46251</v>
      </c>
      <c r="I677" t="str">
        <v>6-226-25-B</v>
      </c>
      <c r="K677" t="str">
        <v>Shipped</v>
      </c>
      <c r="L677">
        <v>30026</v>
      </c>
    </row>
    <row r="678">
      <c r="A678">
        <v>716496</v>
      </c>
      <c r="B678" t="str">
        <v>06104388AA</v>
      </c>
      <c r="C678">
        <v>1651</v>
      </c>
      <c r="E678">
        <v>218</v>
      </c>
      <c r="F678">
        <v>5280</v>
      </c>
      <c r="G678">
        <v>193203</v>
      </c>
      <c r="H678" s="1">
        <v>46251</v>
      </c>
      <c r="I678" t="str">
        <v>6-229-16-A</v>
      </c>
      <c r="K678" t="str">
        <v>Shipped</v>
      </c>
      <c r="L678">
        <v>29994</v>
      </c>
    </row>
    <row r="679">
      <c r="A679">
        <v>717248</v>
      </c>
      <c r="B679">
        <v>11547059</v>
      </c>
      <c r="C679" t="str">
        <v>15CTNS</v>
      </c>
      <c r="E679">
        <v>375</v>
      </c>
      <c r="F679">
        <v>8250</v>
      </c>
      <c r="G679">
        <v>193203</v>
      </c>
      <c r="H679" s="1">
        <v>46251</v>
      </c>
      <c r="I679" t="str">
        <v>6-229-13-A</v>
      </c>
      <c r="K679" t="str">
        <v>Shipped</v>
      </c>
      <c r="L679">
        <v>29998</v>
      </c>
    </row>
    <row r="680">
      <c r="A680">
        <v>713473</v>
      </c>
      <c r="B680" t="str">
        <v>11546369-MY-AK</v>
      </c>
      <c r="C680">
        <v>1629</v>
      </c>
      <c r="E680">
        <v>1054</v>
      </c>
      <c r="F680">
        <v>9394</v>
      </c>
      <c r="G680">
        <v>193205</v>
      </c>
      <c r="H680" s="1">
        <v>46251</v>
      </c>
      <c r="I680" t="str">
        <v>TRAVELERRECEIVED</v>
      </c>
      <c r="K680" t="str">
        <v>Shipped</v>
      </c>
      <c r="L680">
        <v>30018</v>
      </c>
    </row>
    <row r="681">
      <c r="A681">
        <v>714300</v>
      </c>
      <c r="B681">
        <v>11547369</v>
      </c>
      <c r="C681">
        <v>1005</v>
      </c>
      <c r="E681">
        <v>1284</v>
      </c>
      <c r="F681">
        <v>10612</v>
      </c>
      <c r="G681">
        <v>193205</v>
      </c>
      <c r="H681" s="1">
        <v>46251</v>
      </c>
      <c r="I681" t="str">
        <v>TRAVELERRECEIVED</v>
      </c>
      <c r="K681" t="str">
        <v>Shipped</v>
      </c>
      <c r="L681">
        <v>30018</v>
      </c>
    </row>
    <row r="682">
      <c r="A682">
        <v>714472</v>
      </c>
      <c r="B682">
        <v>11547369</v>
      </c>
      <c r="C682">
        <v>399</v>
      </c>
      <c r="E682">
        <v>1382</v>
      </c>
      <c r="F682">
        <v>11421</v>
      </c>
      <c r="G682">
        <v>193205</v>
      </c>
      <c r="H682" s="1">
        <v>46251</v>
      </c>
      <c r="K682" t="str">
        <v>Shipped</v>
      </c>
      <c r="L682">
        <v>30018</v>
      </c>
    </row>
    <row r="683">
      <c r="A683">
        <v>714474</v>
      </c>
      <c r="B683">
        <v>11547369</v>
      </c>
      <c r="C683">
        <v>1431</v>
      </c>
      <c r="E683">
        <v>777</v>
      </c>
      <c r="F683">
        <v>6421</v>
      </c>
      <c r="G683">
        <v>193205</v>
      </c>
      <c r="H683" s="1">
        <v>46251</v>
      </c>
      <c r="I683" t="str">
        <v>TRAVELERRECEIVED</v>
      </c>
      <c r="K683" t="str">
        <v>Shipped</v>
      </c>
      <c r="L683">
        <v>30004</v>
      </c>
    </row>
    <row r="684">
      <c r="A684">
        <v>714475</v>
      </c>
      <c r="B684">
        <v>11547369</v>
      </c>
      <c r="C684">
        <v>820</v>
      </c>
      <c r="E684">
        <v>1378</v>
      </c>
      <c r="F684">
        <v>11388</v>
      </c>
      <c r="G684">
        <v>193205</v>
      </c>
      <c r="H684" s="1">
        <v>46251</v>
      </c>
      <c r="I684" t="str">
        <v>TRAVELERRECEIVED</v>
      </c>
      <c r="K684" t="str">
        <v>Shipped</v>
      </c>
      <c r="L684">
        <v>30018</v>
      </c>
    </row>
    <row r="685">
      <c r="A685">
        <v>714476</v>
      </c>
      <c r="B685">
        <v>11547369</v>
      </c>
      <c r="C685">
        <v>467</v>
      </c>
      <c r="E685">
        <v>1163</v>
      </c>
      <c r="F685">
        <v>9612</v>
      </c>
      <c r="G685">
        <v>193205</v>
      </c>
      <c r="H685" s="1">
        <v>46251</v>
      </c>
      <c r="I685" t="str">
        <v>TRAVELERRECEIVED</v>
      </c>
      <c r="K685" t="str">
        <v>Shipped</v>
      </c>
      <c r="L685">
        <v>30004</v>
      </c>
    </row>
    <row r="686">
      <c r="A686">
        <v>714530</v>
      </c>
      <c r="B686" t="str">
        <v>11546366-MY-AK</v>
      </c>
      <c r="C686">
        <v>1101</v>
      </c>
      <c r="E686">
        <v>1167</v>
      </c>
      <c r="F686">
        <v>42130</v>
      </c>
      <c r="G686">
        <v>193205</v>
      </c>
      <c r="H686" s="1">
        <v>46251</v>
      </c>
      <c r="K686" t="str">
        <v>Shipped</v>
      </c>
      <c r="L686">
        <v>30004</v>
      </c>
    </row>
    <row r="687">
      <c r="A687">
        <v>714531</v>
      </c>
      <c r="B687" t="str">
        <v>11546366-MY-AK</v>
      </c>
      <c r="C687">
        <v>1082</v>
      </c>
      <c r="E687">
        <v>1090</v>
      </c>
      <c r="F687">
        <v>39350</v>
      </c>
      <c r="G687">
        <v>193205</v>
      </c>
      <c r="H687" s="1">
        <v>46251</v>
      </c>
      <c r="K687" t="str">
        <v>Shipped</v>
      </c>
      <c r="L687">
        <v>29998</v>
      </c>
    </row>
    <row r="688">
      <c r="A688">
        <v>716341</v>
      </c>
      <c r="B688" t="str">
        <v>07336-54-D01</v>
      </c>
      <c r="C688">
        <v>602</v>
      </c>
      <c r="E688">
        <v>1039</v>
      </c>
      <c r="F688">
        <v>51182</v>
      </c>
      <c r="G688">
        <v>193205</v>
      </c>
      <c r="H688" s="1">
        <v>46251</v>
      </c>
      <c r="K688" t="str">
        <v>Shipped</v>
      </c>
      <c r="L688">
        <v>30008</v>
      </c>
    </row>
    <row r="689">
      <c r="A689">
        <v>716514</v>
      </c>
      <c r="B689">
        <v>11546449</v>
      </c>
      <c r="C689">
        <v>48</v>
      </c>
      <c r="E689">
        <v>1117</v>
      </c>
      <c r="F689">
        <v>94661</v>
      </c>
      <c r="G689">
        <v>193205</v>
      </c>
      <c r="H689" s="1">
        <v>46251</v>
      </c>
      <c r="I689" t="str">
        <v>TRAVELERRECEIVED</v>
      </c>
      <c r="K689" t="str">
        <v>Shipped</v>
      </c>
      <c r="L689">
        <v>30013</v>
      </c>
    </row>
    <row r="690">
      <c r="A690">
        <v>716515</v>
      </c>
      <c r="B690">
        <v>11546449</v>
      </c>
      <c r="C690">
        <v>1503</v>
      </c>
      <c r="D690" t="str">
        <v>MC/BF</v>
      </c>
      <c r="E690">
        <v>975</v>
      </c>
      <c r="F690">
        <v>82627</v>
      </c>
      <c r="G690">
        <v>193205</v>
      </c>
      <c r="H690" s="1">
        <v>46251</v>
      </c>
      <c r="I690" t="str">
        <v>TRAVELERRECEIVED</v>
      </c>
      <c r="J690" t="str">
        <v>DONE</v>
      </c>
      <c r="K690" t="str">
        <v>Shipped</v>
      </c>
      <c r="L690">
        <v>30037</v>
      </c>
    </row>
    <row r="691">
      <c r="A691">
        <v>716516</v>
      </c>
      <c r="B691">
        <v>11546449</v>
      </c>
      <c r="C691">
        <v>1360</v>
      </c>
      <c r="D691" t="str">
        <v>MC/BF</v>
      </c>
      <c r="E691">
        <v>1102</v>
      </c>
      <c r="F691">
        <v>93390</v>
      </c>
      <c r="G691">
        <v>193205</v>
      </c>
      <c r="H691" s="1">
        <v>46251</v>
      </c>
      <c r="I691" t="str">
        <v>TRAVELERRECEIVED</v>
      </c>
      <c r="J691" t="str">
        <v>DONE</v>
      </c>
      <c r="K691" t="str">
        <f>IF(ISERROR(MATCH(WORKORDER[[#This Row],[TRAVELER]],Table1[TRAVELER],0)),K691,"Shipped")</f>
        <v>Shipped</v>
      </c>
      <c r="L691">
        <f>+IF(ISERROR(MATCH(WORKORDER[[#This Row],[TRAVELER]],Table1[TRAVELER],0)),L691,'PACKING SLIP'!$F$5)</f>
        <v>30085</v>
      </c>
    </row>
    <row r="692">
      <c r="A692">
        <v>716517</v>
      </c>
      <c r="B692">
        <v>11546449</v>
      </c>
      <c r="C692">
        <v>879</v>
      </c>
      <c r="D692" t="str">
        <v>MC/BF</v>
      </c>
      <c r="E692">
        <v>955</v>
      </c>
      <c r="F692">
        <v>80932</v>
      </c>
      <c r="G692">
        <v>193205</v>
      </c>
      <c r="H692" s="1">
        <v>46251</v>
      </c>
      <c r="I692" t="str">
        <v>TRAVELERRECEIVED</v>
      </c>
      <c r="J692" t="str">
        <v>DONE</v>
      </c>
      <c r="K692" t="str">
        <f>IF(ISERROR(MATCH(WORKORDER[[#This Row],[TRAVELER]],Table1[TRAVELER],0)),K692,"Shipped")</f>
        <v>Shipped</v>
      </c>
      <c r="L692">
        <f>+IF(ISERROR(MATCH(WORKORDER[[#This Row],[TRAVELER]],Table1[TRAVELER],0)),L692,'PACKING SLIP'!$F$5)</f>
        <v>0</v>
      </c>
    </row>
    <row r="693">
      <c r="A693">
        <v>716518</v>
      </c>
      <c r="B693">
        <v>11546449</v>
      </c>
      <c r="C693">
        <v>174</v>
      </c>
      <c r="E693">
        <v>1089</v>
      </c>
      <c r="F693">
        <v>92288</v>
      </c>
      <c r="G693">
        <v>193205</v>
      </c>
      <c r="H693" s="1">
        <v>46251</v>
      </c>
      <c r="I693" t="str">
        <v>TRAVELERRECEIVED</v>
      </c>
      <c r="K693" t="str">
        <v>Shipped</v>
      </c>
      <c r="L693">
        <v>30013</v>
      </c>
    </row>
    <row r="694">
      <c r="A694">
        <v>716519</v>
      </c>
      <c r="B694">
        <v>11546449</v>
      </c>
      <c r="C694">
        <v>1807</v>
      </c>
      <c r="E694">
        <v>1080</v>
      </c>
      <c r="F694">
        <v>91525</v>
      </c>
      <c r="G694">
        <v>193205</v>
      </c>
      <c r="H694" s="1">
        <v>46251</v>
      </c>
      <c r="I694" t="str">
        <v>TRAVELERRECEIVED</v>
      </c>
      <c r="K694" t="str">
        <v>Shipped</v>
      </c>
      <c r="L694">
        <v>30006</v>
      </c>
    </row>
    <row r="695">
      <c r="A695">
        <v>716520</v>
      </c>
      <c r="B695">
        <v>11546449</v>
      </c>
      <c r="C695">
        <v>28</v>
      </c>
      <c r="E695">
        <v>1000</v>
      </c>
      <c r="F695">
        <v>84746</v>
      </c>
      <c r="G695">
        <v>193205</v>
      </c>
      <c r="H695" s="1">
        <v>46251</v>
      </c>
      <c r="I695" t="str">
        <v>TRAVELERRECEIVED</v>
      </c>
      <c r="K695" t="str">
        <v>Shipped</v>
      </c>
      <c r="L695">
        <v>30010</v>
      </c>
    </row>
    <row r="696">
      <c r="A696">
        <v>716521</v>
      </c>
      <c r="B696">
        <v>11546449</v>
      </c>
      <c r="C696">
        <v>581</v>
      </c>
      <c r="E696">
        <v>10321</v>
      </c>
      <c r="F696">
        <v>87458</v>
      </c>
      <c r="G696">
        <v>193205</v>
      </c>
      <c r="H696" s="1">
        <v>46251</v>
      </c>
      <c r="I696" t="str">
        <v>TRAVELERRECEIVED</v>
      </c>
      <c r="K696" t="str">
        <v>Shipped</v>
      </c>
      <c r="L696">
        <v>30006</v>
      </c>
    </row>
    <row r="697">
      <c r="A697">
        <v>716522</v>
      </c>
      <c r="B697">
        <v>11546449</v>
      </c>
      <c r="C697">
        <v>497</v>
      </c>
      <c r="E697">
        <v>1006</v>
      </c>
      <c r="F697">
        <v>85254</v>
      </c>
      <c r="G697">
        <v>193205</v>
      </c>
      <c r="H697" s="1">
        <v>46251</v>
      </c>
      <c r="I697" t="str">
        <v>TRAVELERRECEIVED</v>
      </c>
      <c r="K697" t="str">
        <v>Shipped</v>
      </c>
      <c r="L697">
        <v>30010</v>
      </c>
    </row>
    <row r="698">
      <c r="A698">
        <v>716523</v>
      </c>
      <c r="B698">
        <v>11546449</v>
      </c>
      <c r="C698">
        <v>1639</v>
      </c>
      <c r="E698">
        <v>1014</v>
      </c>
      <c r="F698">
        <v>85932</v>
      </c>
      <c r="G698">
        <v>193205</v>
      </c>
      <c r="H698" s="1">
        <v>46251</v>
      </c>
      <c r="I698" t="str">
        <v>TRAVELERRECEIVED</v>
      </c>
      <c r="K698" t="str">
        <v>Shipped</v>
      </c>
      <c r="L698">
        <v>30008</v>
      </c>
    </row>
    <row r="699">
      <c r="A699">
        <v>716524</v>
      </c>
      <c r="B699">
        <v>11546449</v>
      </c>
      <c r="C699">
        <v>73</v>
      </c>
      <c r="E699">
        <v>1080</v>
      </c>
      <c r="F699">
        <v>91525</v>
      </c>
      <c r="G699">
        <v>193205</v>
      </c>
      <c r="H699" s="1">
        <v>46251</v>
      </c>
      <c r="I699" t="str">
        <v>TRAVELERRECEIVED</v>
      </c>
      <c r="K699" t="str">
        <v>Shipped</v>
      </c>
      <c r="L699">
        <v>30026</v>
      </c>
    </row>
    <row r="700">
      <c r="A700">
        <v>716525</v>
      </c>
      <c r="B700">
        <v>11546449</v>
      </c>
      <c r="C700">
        <v>1449</v>
      </c>
      <c r="E700">
        <v>1051</v>
      </c>
      <c r="F700">
        <v>89068</v>
      </c>
      <c r="G700">
        <v>193205</v>
      </c>
      <c r="H700" s="1">
        <v>46251</v>
      </c>
      <c r="I700" t="str">
        <v>TRAVELERRECEIVED</v>
      </c>
      <c r="K700" t="str">
        <v>Shipped</v>
      </c>
      <c r="L700">
        <v>30010</v>
      </c>
    </row>
    <row r="701">
      <c r="A701">
        <v>716526</v>
      </c>
      <c r="B701">
        <v>11546449</v>
      </c>
      <c r="C701">
        <v>95</v>
      </c>
      <c r="E701">
        <v>1022</v>
      </c>
      <c r="F701">
        <v>86610</v>
      </c>
      <c r="G701">
        <v>193205</v>
      </c>
      <c r="H701" s="1">
        <v>46251</v>
      </c>
      <c r="I701" t="str">
        <v>TRAVELERRECEIVED</v>
      </c>
      <c r="K701" t="str">
        <v>Shipped</v>
      </c>
      <c r="L701">
        <v>30006</v>
      </c>
    </row>
    <row r="702">
      <c r="A702">
        <v>716527</v>
      </c>
      <c r="B702">
        <v>11546449</v>
      </c>
      <c r="C702">
        <v>1381</v>
      </c>
      <c r="E702">
        <v>980</v>
      </c>
      <c r="F702">
        <v>83051</v>
      </c>
      <c r="G702">
        <v>193205</v>
      </c>
      <c r="H702" s="1">
        <v>46251</v>
      </c>
      <c r="I702" t="str">
        <v>TRAVELERRECEIVED</v>
      </c>
      <c r="K702" t="str">
        <v>Shipped</v>
      </c>
      <c r="L702">
        <v>30026</v>
      </c>
    </row>
    <row r="703">
      <c r="A703">
        <v>716528</v>
      </c>
      <c r="B703">
        <v>11546449</v>
      </c>
      <c r="C703">
        <v>1708</v>
      </c>
      <c r="E703">
        <v>1069</v>
      </c>
      <c r="F703">
        <v>90593</v>
      </c>
      <c r="G703">
        <v>193205</v>
      </c>
      <c r="H703" s="1">
        <v>46251</v>
      </c>
      <c r="I703" t="str">
        <v>TRAVELERRECEIVED</v>
      </c>
      <c r="K703" t="str">
        <v>Shipped</v>
      </c>
      <c r="L703">
        <v>30010</v>
      </c>
    </row>
    <row r="704">
      <c r="A704">
        <v>716669</v>
      </c>
      <c r="B704" t="str">
        <v>06105048AA</v>
      </c>
      <c r="C704" t="str">
        <v>KIB</v>
      </c>
      <c r="E704">
        <v>1429</v>
      </c>
      <c r="F704">
        <v>38930</v>
      </c>
      <c r="G704">
        <v>193205</v>
      </c>
      <c r="H704" s="1">
        <v>46251</v>
      </c>
      <c r="I704" t="str">
        <v>TRAVELERRECEIVED</v>
      </c>
      <c r="K704" t="str">
        <v>Shipped</v>
      </c>
      <c r="L704">
        <v>29998</v>
      </c>
    </row>
    <row r="705">
      <c r="A705">
        <v>716670</v>
      </c>
      <c r="B705" t="str">
        <v>06105048AA</v>
      </c>
      <c r="C705" t="str">
        <v>KIB</v>
      </c>
      <c r="E705">
        <v>1429</v>
      </c>
      <c r="F705">
        <v>38930</v>
      </c>
      <c r="G705">
        <v>193205</v>
      </c>
      <c r="H705" s="1">
        <v>46251</v>
      </c>
      <c r="I705" t="str">
        <v>SPLIT FROM TR#716669</v>
      </c>
      <c r="K705" t="str">
        <v>Shipped</v>
      </c>
      <c r="L705">
        <v>29998</v>
      </c>
    </row>
    <row r="706">
      <c r="A706">
        <v>716671</v>
      </c>
      <c r="B706" t="str">
        <v>06105048AA</v>
      </c>
      <c r="C706" t="str">
        <v>KIB</v>
      </c>
      <c r="E706">
        <v>1468</v>
      </c>
      <c r="F706">
        <v>40000</v>
      </c>
      <c r="G706">
        <v>193205</v>
      </c>
      <c r="H706" s="1">
        <v>46251</v>
      </c>
      <c r="I706" t="str">
        <v>TRAVELERRECEIVED</v>
      </c>
      <c r="K706" t="str">
        <v>Shipped</v>
      </c>
      <c r="L706">
        <v>29998</v>
      </c>
    </row>
    <row r="707">
      <c r="A707">
        <v>716672</v>
      </c>
      <c r="B707" t="str">
        <v>06105048AA</v>
      </c>
      <c r="C707" t="str">
        <v>KIB</v>
      </c>
      <c r="E707">
        <v>1468</v>
      </c>
      <c r="F707">
        <v>40000</v>
      </c>
      <c r="G707">
        <v>193205</v>
      </c>
      <c r="H707" s="1">
        <v>46251</v>
      </c>
      <c r="I707" t="str">
        <v>SPLIT FROM TR#716671</v>
      </c>
      <c r="K707" t="str">
        <v>Shipped</v>
      </c>
      <c r="L707">
        <v>29998</v>
      </c>
    </row>
    <row r="708">
      <c r="A708">
        <v>716711</v>
      </c>
      <c r="B708">
        <v>11602031</v>
      </c>
      <c r="C708">
        <v>1841</v>
      </c>
      <c r="E708">
        <v>892</v>
      </c>
      <c r="F708">
        <v>4370</v>
      </c>
      <c r="G708">
        <v>193205</v>
      </c>
      <c r="H708" s="1">
        <v>46251</v>
      </c>
      <c r="I708" t="str">
        <v>TRAVELERRECEIVED</v>
      </c>
      <c r="K708" t="str">
        <v>Shipped</v>
      </c>
      <c r="L708">
        <v>30013</v>
      </c>
    </row>
    <row r="709">
      <c r="A709">
        <v>716712</v>
      </c>
      <c r="B709">
        <v>11602031</v>
      </c>
      <c r="C709">
        <v>1569</v>
      </c>
      <c r="E709">
        <v>900</v>
      </c>
      <c r="F709">
        <v>4410</v>
      </c>
      <c r="G709">
        <v>193205</v>
      </c>
      <c r="H709" s="1">
        <v>46251</v>
      </c>
      <c r="I709" t="str">
        <v>TRAVELERRECEIVED</v>
      </c>
      <c r="K709" t="str">
        <v>Shipped</v>
      </c>
      <c r="L709">
        <v>29998</v>
      </c>
    </row>
    <row r="710">
      <c r="A710">
        <v>716713</v>
      </c>
      <c r="B710">
        <v>11602031</v>
      </c>
      <c r="C710">
        <v>770</v>
      </c>
      <c r="E710">
        <v>860</v>
      </c>
      <c r="F710">
        <v>4214</v>
      </c>
      <c r="G710">
        <v>193205</v>
      </c>
      <c r="H710" s="1">
        <v>46251</v>
      </c>
      <c r="I710" t="str">
        <v>TRAVELERRECEIVED</v>
      </c>
      <c r="K710" t="str">
        <v>Shipped</v>
      </c>
      <c r="L710">
        <v>30018</v>
      </c>
    </row>
    <row r="711">
      <c r="A711">
        <v>716714</v>
      </c>
      <c r="B711">
        <v>11602031</v>
      </c>
      <c r="C711">
        <v>1068</v>
      </c>
      <c r="E711">
        <v>888</v>
      </c>
      <c r="F711">
        <v>4351</v>
      </c>
      <c r="G711">
        <v>193205</v>
      </c>
      <c r="H711" s="1">
        <v>46251</v>
      </c>
      <c r="I711" t="str">
        <v>TRAVELERRECEIVED</v>
      </c>
      <c r="K711" t="str">
        <v>Shipped</v>
      </c>
      <c r="L711">
        <v>30018</v>
      </c>
    </row>
    <row r="712">
      <c r="A712">
        <v>716715</v>
      </c>
      <c r="B712">
        <v>11602031</v>
      </c>
      <c r="C712">
        <v>250</v>
      </c>
      <c r="E712">
        <v>974</v>
      </c>
      <c r="F712">
        <v>4772</v>
      </c>
      <c r="G712">
        <v>193205</v>
      </c>
      <c r="H712" s="1">
        <v>46251</v>
      </c>
      <c r="I712" t="str">
        <v>TRAVELERRECEIVED</v>
      </c>
      <c r="K712" t="str">
        <v>Shipped</v>
      </c>
      <c r="L712">
        <v>30018</v>
      </c>
    </row>
    <row r="713">
      <c r="A713">
        <v>716716</v>
      </c>
      <c r="B713">
        <v>11602031</v>
      </c>
      <c r="C713">
        <v>288</v>
      </c>
      <c r="E713">
        <v>747</v>
      </c>
      <c r="F713">
        <v>3660</v>
      </c>
      <c r="G713">
        <v>193205</v>
      </c>
      <c r="H713" s="1">
        <v>46251</v>
      </c>
      <c r="I713" t="str">
        <v>TRAVELERRECEIVED</v>
      </c>
      <c r="K713" t="str">
        <v>Shipped</v>
      </c>
      <c r="L713">
        <v>29998</v>
      </c>
    </row>
    <row r="714">
      <c r="A714">
        <v>716717</v>
      </c>
      <c r="B714">
        <v>11602031</v>
      </c>
      <c r="C714">
        <v>306</v>
      </c>
      <c r="E714">
        <v>915</v>
      </c>
      <c r="F714">
        <v>4483</v>
      </c>
      <c r="G714">
        <v>193205</v>
      </c>
      <c r="H714" s="1">
        <v>46251</v>
      </c>
      <c r="I714" t="str">
        <v>TRAVELERRECEIVED</v>
      </c>
      <c r="K714" t="str">
        <v>Shipped</v>
      </c>
      <c r="L714">
        <v>29998</v>
      </c>
    </row>
    <row r="715">
      <c r="A715">
        <v>716718</v>
      </c>
      <c r="B715">
        <v>11602031</v>
      </c>
      <c r="C715">
        <v>1845</v>
      </c>
      <c r="E715">
        <v>859</v>
      </c>
      <c r="F715">
        <v>4209</v>
      </c>
      <c r="G715">
        <v>193205</v>
      </c>
      <c r="H715" s="1">
        <v>46251</v>
      </c>
      <c r="I715" t="str">
        <v>TRAVELERRECEIVED</v>
      </c>
      <c r="K715" t="str">
        <v>Shipped</v>
      </c>
      <c r="L715">
        <v>29998</v>
      </c>
    </row>
    <row r="716">
      <c r="A716">
        <v>713721</v>
      </c>
      <c r="B716" t="str">
        <v>11546364-PH-RO</v>
      </c>
      <c r="C716">
        <v>692</v>
      </c>
      <c r="E716">
        <v>974</v>
      </c>
      <c r="F716">
        <v>117349</v>
      </c>
      <c r="G716">
        <v>193229</v>
      </c>
      <c r="H716" s="1">
        <v>46251</v>
      </c>
      <c r="I716" t="str">
        <v>SORT&amp;RETURN</v>
      </c>
      <c r="K716" t="str">
        <f>IF(ISERROR(MATCH(WORKORDER[[#This Row],[TRAVELER]],Table1[TRAVELER],0)),K716,"Shipped")</f>
        <v>Shipped</v>
      </c>
      <c r="L716">
        <f>+IF(ISERROR(MATCH(WORKORDER[[#This Row],[TRAVELER]],Table1[TRAVELER],0)),L716,'PACKING SLIP'!$F$5)</f>
        <v>30074</v>
      </c>
    </row>
    <row r="717">
      <c r="A717">
        <v>713853</v>
      </c>
      <c r="B717">
        <v>11546703</v>
      </c>
      <c r="C717">
        <v>960</v>
      </c>
      <c r="E717">
        <v>1020</v>
      </c>
      <c r="F717">
        <v>125926</v>
      </c>
      <c r="G717">
        <v>193229</v>
      </c>
      <c r="H717" s="1">
        <v>46251</v>
      </c>
      <c r="I717" t="str">
        <v>6-229-02-A</v>
      </c>
      <c r="K717" t="str">
        <v>Shipped</v>
      </c>
      <c r="L717">
        <v>30010</v>
      </c>
    </row>
    <row r="718">
      <c r="A718">
        <v>713854</v>
      </c>
      <c r="B718">
        <v>11546703</v>
      </c>
      <c r="C718">
        <v>1406</v>
      </c>
      <c r="E718">
        <v>996</v>
      </c>
      <c r="F718">
        <v>122963</v>
      </c>
      <c r="G718">
        <v>193229</v>
      </c>
      <c r="H718" s="1">
        <v>46251</v>
      </c>
      <c r="I718" t="str">
        <v>6-229-02-B</v>
      </c>
      <c r="K718" t="str">
        <v>Shipped</v>
      </c>
      <c r="L718">
        <v>30024</v>
      </c>
    </row>
    <row r="719">
      <c r="A719">
        <v>713856</v>
      </c>
      <c r="B719">
        <v>11546703</v>
      </c>
      <c r="C719">
        <v>346</v>
      </c>
      <c r="E719">
        <v>1008</v>
      </c>
      <c r="F719">
        <v>124444</v>
      </c>
      <c r="G719">
        <v>193229</v>
      </c>
      <c r="H719" s="1">
        <v>46251</v>
      </c>
      <c r="I719" t="str">
        <v>6-229-05-A</v>
      </c>
      <c r="J719" t="str">
        <v>DONE</v>
      </c>
      <c r="K719" t="str">
        <v>Shipped</v>
      </c>
      <c r="L719">
        <v>30039</v>
      </c>
    </row>
    <row r="720">
      <c r="A720">
        <v>714062</v>
      </c>
      <c r="B720" t="str">
        <v>11612078-B</v>
      </c>
      <c r="C720">
        <v>806</v>
      </c>
      <c r="E720">
        <v>1320</v>
      </c>
      <c r="F720">
        <v>75000</v>
      </c>
      <c r="G720">
        <v>193229</v>
      </c>
      <c r="H720" s="1">
        <v>46251</v>
      </c>
      <c r="I720" t="str">
        <v>SORT&amp;RETURN</v>
      </c>
      <c r="K720" t="str">
        <v>Shipped</v>
      </c>
      <c r="L720">
        <v>30011</v>
      </c>
    </row>
    <row r="721">
      <c r="A721">
        <v>714084</v>
      </c>
      <c r="B721" t="str">
        <v>W711468-S437</v>
      </c>
      <c r="C721">
        <v>378</v>
      </c>
      <c r="E721">
        <v>920</v>
      </c>
      <c r="F721">
        <v>53179</v>
      </c>
      <c r="G721">
        <v>193229</v>
      </c>
      <c r="H721" s="1">
        <v>46251</v>
      </c>
      <c r="I721" t="str">
        <v>6-226-26-A</v>
      </c>
      <c r="K721" t="str">
        <v>Shipped</v>
      </c>
      <c r="L721">
        <v>30018</v>
      </c>
    </row>
    <row r="722">
      <c r="A722">
        <v>714086</v>
      </c>
      <c r="B722" t="str">
        <v>W711468-S437</v>
      </c>
      <c r="C722">
        <v>679</v>
      </c>
      <c r="E722">
        <v>763</v>
      </c>
      <c r="F722">
        <v>44104</v>
      </c>
      <c r="G722">
        <v>193229</v>
      </c>
      <c r="H722" s="1">
        <v>46251</v>
      </c>
      <c r="I722" t="str">
        <v>6-226-26-C</v>
      </c>
      <c r="K722" t="str">
        <v>Shipped</v>
      </c>
      <c r="L722">
        <v>30004</v>
      </c>
    </row>
    <row r="723">
      <c r="A723">
        <v>714087</v>
      </c>
      <c r="B723" t="str">
        <v>W711468-S437</v>
      </c>
      <c r="C723">
        <v>631</v>
      </c>
      <c r="E723">
        <v>990</v>
      </c>
      <c r="F723">
        <v>57225</v>
      </c>
      <c r="G723">
        <v>193229</v>
      </c>
      <c r="H723" s="1">
        <v>46251</v>
      </c>
      <c r="I723" t="str">
        <v>6-226-26-D</v>
      </c>
      <c r="K723" t="str">
        <v>Shipped</v>
      </c>
      <c r="L723">
        <v>30008</v>
      </c>
    </row>
    <row r="724">
      <c r="A724">
        <v>714261</v>
      </c>
      <c r="B724" t="str">
        <v>W711468-S437</v>
      </c>
      <c r="C724">
        <v>809</v>
      </c>
      <c r="E724">
        <v>935</v>
      </c>
      <c r="F724">
        <v>54046</v>
      </c>
      <c r="G724">
        <v>193229</v>
      </c>
      <c r="H724" s="1">
        <v>46251</v>
      </c>
      <c r="I724" t="str">
        <v>6-229-46-A</v>
      </c>
      <c r="K724" t="str">
        <v>Shipped</v>
      </c>
      <c r="L724">
        <v>30018</v>
      </c>
    </row>
    <row r="725">
      <c r="A725">
        <v>714423</v>
      </c>
      <c r="B725">
        <v>11546703</v>
      </c>
      <c r="C725">
        <v>307</v>
      </c>
      <c r="E725">
        <v>948</v>
      </c>
      <c r="F725">
        <v>117037</v>
      </c>
      <c r="G725">
        <v>193229</v>
      </c>
      <c r="H725" s="1">
        <v>46251</v>
      </c>
      <c r="I725" t="str">
        <v>6-229-05-B</v>
      </c>
      <c r="K725" t="str">
        <v>Shipped</v>
      </c>
      <c r="L725">
        <v>30024</v>
      </c>
    </row>
    <row r="726">
      <c r="A726">
        <v>716088</v>
      </c>
      <c r="B726" t="str">
        <v>06513404AA</v>
      </c>
      <c r="C726">
        <v>1826</v>
      </c>
      <c r="E726">
        <v>1160</v>
      </c>
      <c r="F726">
        <v>4647</v>
      </c>
      <c r="G726">
        <v>193229</v>
      </c>
      <c r="H726" s="1">
        <v>46251</v>
      </c>
      <c r="I726" t="str">
        <v>6-219-01-A</v>
      </c>
      <c r="K726" t="str">
        <v>Shipped</v>
      </c>
      <c r="L726">
        <v>29996</v>
      </c>
    </row>
    <row r="727">
      <c r="A727">
        <v>716089</v>
      </c>
      <c r="B727" t="str">
        <v>06513404AA</v>
      </c>
      <c r="C727">
        <v>1832</v>
      </c>
      <c r="E727">
        <v>1090</v>
      </c>
      <c r="F727">
        <v>4367</v>
      </c>
      <c r="G727">
        <v>193229</v>
      </c>
      <c r="H727" s="1">
        <v>46251</v>
      </c>
      <c r="I727" t="str">
        <v>6-219-01-B</v>
      </c>
      <c r="K727" t="str">
        <v>Shipped</v>
      </c>
      <c r="L727">
        <v>29996</v>
      </c>
    </row>
    <row r="728">
      <c r="A728">
        <v>716090</v>
      </c>
      <c r="B728" t="str">
        <v>06513404AA</v>
      </c>
      <c r="C728">
        <v>1816</v>
      </c>
      <c r="E728">
        <v>1099</v>
      </c>
      <c r="F728">
        <v>4403</v>
      </c>
      <c r="G728">
        <v>193229</v>
      </c>
      <c r="H728" s="1">
        <v>46251</v>
      </c>
      <c r="I728" t="str">
        <v>6-219-01-C</v>
      </c>
      <c r="K728" t="str">
        <v>Shipped</v>
      </c>
      <c r="L728">
        <v>29996</v>
      </c>
    </row>
    <row r="729">
      <c r="A729">
        <v>716091</v>
      </c>
      <c r="B729" t="str">
        <v>06513404AA</v>
      </c>
      <c r="C729">
        <v>1815</v>
      </c>
      <c r="E729">
        <v>1153</v>
      </c>
      <c r="F729">
        <v>4619</v>
      </c>
      <c r="G729">
        <v>193229</v>
      </c>
      <c r="H729" s="1">
        <v>46251</v>
      </c>
      <c r="I729" t="str">
        <v>6-219-01-D</v>
      </c>
      <c r="K729" t="str">
        <v>Shipped</v>
      </c>
      <c r="L729">
        <v>30004</v>
      </c>
    </row>
    <row r="730">
      <c r="A730">
        <v>716092</v>
      </c>
      <c r="B730" t="str">
        <v>06513404AA</v>
      </c>
      <c r="C730">
        <v>1824</v>
      </c>
      <c r="E730">
        <v>1123</v>
      </c>
      <c r="F730">
        <v>4499</v>
      </c>
      <c r="G730">
        <v>193229</v>
      </c>
      <c r="H730" s="1">
        <v>46251</v>
      </c>
      <c r="I730" t="str">
        <v>6-219-01-E</v>
      </c>
      <c r="K730" t="str">
        <v>Shipped</v>
      </c>
      <c r="L730">
        <v>29996</v>
      </c>
    </row>
    <row r="731">
      <c r="A731">
        <v>716093</v>
      </c>
      <c r="B731" t="str">
        <v>06513404AA</v>
      </c>
      <c r="C731">
        <v>1825</v>
      </c>
      <c r="E731">
        <v>1133</v>
      </c>
      <c r="F731">
        <v>4539</v>
      </c>
      <c r="G731">
        <v>193229</v>
      </c>
      <c r="H731" s="1">
        <v>46251</v>
      </c>
      <c r="I731" t="str">
        <v>6-219-01-F</v>
      </c>
      <c r="K731" t="str">
        <v>Shipped</v>
      </c>
      <c r="L731">
        <v>29996</v>
      </c>
    </row>
    <row r="732">
      <c r="A732">
        <v>716094</v>
      </c>
      <c r="B732" t="str">
        <v>06513404AA</v>
      </c>
      <c r="C732">
        <v>1849</v>
      </c>
      <c r="E732">
        <v>1130</v>
      </c>
      <c r="F732">
        <v>4527</v>
      </c>
      <c r="G732">
        <v>193229</v>
      </c>
      <c r="H732" s="1">
        <v>46251</v>
      </c>
      <c r="I732" t="str">
        <v>6-219-01-G</v>
      </c>
      <c r="K732" t="str">
        <v>Shipped</v>
      </c>
      <c r="L732">
        <v>29996</v>
      </c>
    </row>
    <row r="733">
      <c r="A733">
        <v>716095</v>
      </c>
      <c r="B733" t="str">
        <v>06513404AA</v>
      </c>
      <c r="C733">
        <v>1850</v>
      </c>
      <c r="E733">
        <v>1123</v>
      </c>
      <c r="F733">
        <v>4499</v>
      </c>
      <c r="G733">
        <v>193229</v>
      </c>
      <c r="H733" s="1">
        <v>46251</v>
      </c>
      <c r="I733" t="str">
        <v>6-219-01-H</v>
      </c>
      <c r="K733" t="str">
        <v>Shipped</v>
      </c>
      <c r="L733">
        <v>30004</v>
      </c>
    </row>
    <row r="734">
      <c r="A734">
        <v>717106</v>
      </c>
      <c r="B734" t="str">
        <v>NU5210-03</v>
      </c>
      <c r="C734">
        <v>411</v>
      </c>
      <c r="E734">
        <v>1096</v>
      </c>
      <c r="F734">
        <v>40000</v>
      </c>
      <c r="G734">
        <v>193229</v>
      </c>
      <c r="H734" s="1">
        <v>46251</v>
      </c>
      <c r="I734" t="str">
        <v>6-229-52-B</v>
      </c>
      <c r="K734" t="str">
        <v>Shipped</v>
      </c>
      <c r="L734">
        <v>30011</v>
      </c>
    </row>
    <row r="735">
      <c r="A735">
        <v>717228</v>
      </c>
      <c r="B735">
        <v>61525</v>
      </c>
      <c r="C735" t="str">
        <v>KIB</v>
      </c>
      <c r="E735">
        <v>1890</v>
      </c>
      <c r="F735">
        <v>175000</v>
      </c>
      <c r="G735">
        <v>193229</v>
      </c>
      <c r="H735" s="1">
        <v>46251</v>
      </c>
      <c r="I735" t="str">
        <v>6-229-44-A</v>
      </c>
      <c r="K735" t="str">
        <v>Shipped</v>
      </c>
      <c r="L735">
        <v>30004</v>
      </c>
    </row>
    <row r="736">
      <c r="A736">
        <v>717229</v>
      </c>
      <c r="B736">
        <v>61525</v>
      </c>
      <c r="C736" t="str">
        <v>KIB</v>
      </c>
      <c r="E736">
        <v>1890</v>
      </c>
      <c r="F736">
        <v>175000</v>
      </c>
      <c r="G736">
        <v>193229</v>
      </c>
      <c r="H736" s="1">
        <v>46251</v>
      </c>
      <c r="I736" t="str">
        <v>SPLIT FROM TR#717228</v>
      </c>
      <c r="K736" t="str">
        <v>Shipped</v>
      </c>
      <c r="L736">
        <v>29996</v>
      </c>
    </row>
    <row r="737">
      <c r="A737">
        <v>707555</v>
      </c>
      <c r="B737" t="str">
        <v>11549168-CA-IN</v>
      </c>
      <c r="C737">
        <v>950</v>
      </c>
      <c r="D737" t="str">
        <v>MC26</v>
      </c>
      <c r="E737">
        <v>1126</v>
      </c>
      <c r="F737">
        <v>42000</v>
      </c>
      <c r="G737">
        <v>193252</v>
      </c>
      <c r="H737" s="1">
        <v>46252</v>
      </c>
      <c r="I737" t="str">
        <v>TRAVELERRECEIVED</v>
      </c>
      <c r="J737" t="str">
        <v>SPECIAL SORT</v>
      </c>
      <c r="K737">
        <f>IF(ISERROR(MATCH(WORKORDER[[#This Row],[TRAVELER]],Table1[TRAVELER],0)),K737,"Shipped")</f>
        <v>0</v>
      </c>
      <c r="L737">
        <f>+IF(ISERROR(MATCH(WORKORDER[[#This Row],[TRAVELER]],Table1[TRAVELER],0)),L737,'PACKING SLIP'!$F$5)</f>
        <v>0</v>
      </c>
    </row>
    <row r="738">
      <c r="A738">
        <v>707556</v>
      </c>
      <c r="B738" t="str">
        <v>11549168-CA-IN</v>
      </c>
      <c r="C738">
        <v>567</v>
      </c>
      <c r="D738" t="str">
        <v>MC26</v>
      </c>
      <c r="E738">
        <v>1126</v>
      </c>
      <c r="F738">
        <v>42000</v>
      </c>
      <c r="G738">
        <v>193252</v>
      </c>
      <c r="H738" s="1">
        <v>46252</v>
      </c>
      <c r="I738" t="str">
        <v>TRAVELERRECEIVED</v>
      </c>
      <c r="J738" t="str">
        <v>SPECIAL SORT</v>
      </c>
      <c r="K738">
        <f>IF(ISERROR(MATCH(WORKORDER[[#This Row],[TRAVELER]],Table1[TRAVELER],0)),K738,"Shipped")</f>
        <v>0</v>
      </c>
      <c r="L738">
        <f>+IF(ISERROR(MATCH(WORKORDER[[#This Row],[TRAVELER]],Table1[TRAVELER],0)),L738,'PACKING SLIP'!$F$5)</f>
        <v>0</v>
      </c>
    </row>
    <row r="739">
      <c r="A739">
        <v>710824</v>
      </c>
      <c r="B739" t="str">
        <v>11549168-CA-IN</v>
      </c>
      <c r="C739">
        <v>1061</v>
      </c>
      <c r="D739" t="str">
        <v>MC26</v>
      </c>
      <c r="E739">
        <v>1072</v>
      </c>
      <c r="F739">
        <v>40000</v>
      </c>
      <c r="G739">
        <v>193252</v>
      </c>
      <c r="H739" s="1">
        <v>46252</v>
      </c>
      <c r="I739" t="str">
        <v>TRAVELERRECEIVED</v>
      </c>
      <c r="J739" t="str">
        <v>SPECIAL SORT</v>
      </c>
      <c r="K739" t="str">
        <v>Shipped</v>
      </c>
      <c r="L739">
        <v>30030</v>
      </c>
    </row>
    <row r="740">
      <c r="A740">
        <v>710828</v>
      </c>
      <c r="B740" t="str">
        <v>11549168-CA-IN</v>
      </c>
      <c r="C740">
        <v>323</v>
      </c>
      <c r="D740" t="str">
        <v>MC26</v>
      </c>
      <c r="E740">
        <v>1179</v>
      </c>
      <c r="F740">
        <v>44000</v>
      </c>
      <c r="G740">
        <v>193252</v>
      </c>
      <c r="H740" s="1">
        <v>46252</v>
      </c>
      <c r="I740" t="str">
        <v>TRAVELERRECEIVED</v>
      </c>
      <c r="J740" t="str">
        <v>SPECIAL SORT</v>
      </c>
      <c r="K740" t="str">
        <f>IF(ISERROR(MATCH(WORKORDER[[#This Row],[TRAVELER]],Table1[TRAVELER],0)),K740,"Shipped")</f>
        <v>Shipped</v>
      </c>
      <c r="L740">
        <f>+IF(ISERROR(MATCH(WORKORDER[[#This Row],[TRAVELER]],Table1[TRAVELER],0)),L740,'PACKING SLIP'!$F$5)</f>
        <v>30092</v>
      </c>
    </row>
    <row r="741">
      <c r="A741">
        <v>716130</v>
      </c>
      <c r="B741" t="str">
        <v>11546367-MY-AK</v>
      </c>
      <c r="C741">
        <v>1583</v>
      </c>
      <c r="D741" t="str">
        <v>MC/BF</v>
      </c>
      <c r="E741">
        <v>1179</v>
      </c>
      <c r="F741">
        <v>25355</v>
      </c>
      <c r="G741">
        <v>193252</v>
      </c>
      <c r="H741" s="1">
        <v>46252</v>
      </c>
      <c r="I741" t="str">
        <v>TRAVELERRECEIVED</v>
      </c>
      <c r="J741" t="str">
        <v>DONE</v>
      </c>
      <c r="K741" t="str">
        <f>IF(ISERROR(MATCH(WORKORDER[[#This Row],[TRAVELER]],Table1[TRAVELER],0)),K741,"Shipped")</f>
        <v>Shipped</v>
      </c>
      <c r="L741">
        <f>+IF(ISERROR(MATCH(WORKORDER[[#This Row],[TRAVELER]],Table1[TRAVELER],0)),L741,'PACKING SLIP'!$F$5)</f>
        <v>30069</v>
      </c>
    </row>
    <row r="742">
      <c r="A742">
        <v>716131</v>
      </c>
      <c r="B742" t="str">
        <v>11546367-MY-AK</v>
      </c>
      <c r="C742">
        <v>663</v>
      </c>
      <c r="D742" t="str">
        <v>MC/BF</v>
      </c>
      <c r="E742">
        <v>1123</v>
      </c>
      <c r="F742">
        <v>24151</v>
      </c>
      <c r="G742">
        <v>193252</v>
      </c>
      <c r="H742" s="1">
        <v>46252</v>
      </c>
      <c r="I742" t="str">
        <v>TRAVELERRECEIVED</v>
      </c>
      <c r="J742" t="str">
        <v>DONE</v>
      </c>
      <c r="K742" t="str">
        <f>IF(ISERROR(MATCH(WORKORDER[[#This Row],[TRAVELER]],Table1[TRAVELER],0)),K742,"Shipped")</f>
        <v>Shipped</v>
      </c>
      <c r="L742">
        <f>+IF(ISERROR(MATCH(WORKORDER[[#This Row],[TRAVELER]],Table1[TRAVELER],0)),L742,'PACKING SLIP'!$F$5)</f>
        <v>30085</v>
      </c>
    </row>
    <row r="743">
      <c r="A743">
        <v>716136</v>
      </c>
      <c r="B743" t="str">
        <v>11546367-MY-AK</v>
      </c>
      <c r="C743">
        <v>245</v>
      </c>
      <c r="D743" t="str">
        <v>MC/BF</v>
      </c>
      <c r="E743">
        <v>1160</v>
      </c>
      <c r="F743">
        <v>24946</v>
      </c>
      <c r="G743">
        <v>193252</v>
      </c>
      <c r="H743" s="1">
        <v>46252</v>
      </c>
      <c r="I743" t="str">
        <v>TRAVELERRECEIVED</v>
      </c>
      <c r="J743" t="str">
        <v>DONE</v>
      </c>
      <c r="K743" t="str">
        <f>IF(ISERROR(MATCH(WORKORDER[[#This Row],[TRAVELER]],Table1[TRAVELER],0)),K743,"Shipped")</f>
        <v>Shipped</v>
      </c>
      <c r="L743">
        <f>+IF(ISERROR(MATCH(WORKORDER[[#This Row],[TRAVELER]],Table1[TRAVELER],0)),L743,'PACKING SLIP'!$F$5)</f>
        <v>30069</v>
      </c>
    </row>
    <row r="744">
      <c r="A744">
        <v>716137</v>
      </c>
      <c r="B744" t="str">
        <v>11546367-MY-AK</v>
      </c>
      <c r="C744">
        <v>176</v>
      </c>
      <c r="D744" t="str">
        <v>MC/BF</v>
      </c>
      <c r="E744">
        <v>1125</v>
      </c>
      <c r="F744">
        <v>24194</v>
      </c>
      <c r="G744">
        <v>193252</v>
      </c>
      <c r="H744" s="1">
        <v>46252</v>
      </c>
      <c r="I744" t="str">
        <v>TRAVELERRECEIVED</v>
      </c>
      <c r="J744" t="str">
        <v>DONE</v>
      </c>
      <c r="K744">
        <f>IF(ISERROR(MATCH(WORKORDER[[#This Row],[TRAVELER]],Table1[TRAVELER],0)),K744,"Shipped")</f>
        <v>0</v>
      </c>
      <c r="L744">
        <f>+IF(ISERROR(MATCH(WORKORDER[[#This Row],[TRAVELER]],Table1[TRAVELER],0)),L744,'PACKING SLIP'!$F$5)</f>
        <v>0</v>
      </c>
    </row>
    <row r="745">
      <c r="A745">
        <v>716288</v>
      </c>
      <c r="B745" t="str">
        <v>06104388AA</v>
      </c>
      <c r="C745">
        <v>958</v>
      </c>
      <c r="E745">
        <v>900</v>
      </c>
      <c r="F745">
        <v>21792</v>
      </c>
      <c r="G745">
        <v>193252</v>
      </c>
      <c r="H745" s="1">
        <v>46252</v>
      </c>
      <c r="I745" t="str">
        <v>TRAVELERRECEIVED</v>
      </c>
      <c r="K745" t="str">
        <v>Shipped</v>
      </c>
      <c r="L745">
        <v>30008</v>
      </c>
    </row>
    <row r="746">
      <c r="A746">
        <v>716289</v>
      </c>
      <c r="B746" t="str">
        <v>06104388AA</v>
      </c>
      <c r="C746">
        <v>917</v>
      </c>
      <c r="E746">
        <v>772</v>
      </c>
      <c r="F746">
        <v>18692</v>
      </c>
      <c r="G746">
        <v>193252</v>
      </c>
      <c r="H746" s="1">
        <v>46252</v>
      </c>
      <c r="I746" t="str">
        <v>TRAVELERRECEIVED</v>
      </c>
      <c r="K746" t="str">
        <v>Shipped</v>
      </c>
      <c r="L746">
        <v>30008</v>
      </c>
    </row>
    <row r="747">
      <c r="A747">
        <v>716290</v>
      </c>
      <c r="B747" t="str">
        <v>06104388AA</v>
      </c>
      <c r="C747">
        <v>1390</v>
      </c>
      <c r="E747">
        <v>843</v>
      </c>
      <c r="F747">
        <v>20413</v>
      </c>
      <c r="G747">
        <v>193252</v>
      </c>
      <c r="H747" s="1">
        <v>46252</v>
      </c>
      <c r="I747" t="str">
        <v>TRAVELERRECEIVED</v>
      </c>
      <c r="K747" t="str">
        <v>Shipped</v>
      </c>
      <c r="L747">
        <v>30008</v>
      </c>
    </row>
    <row r="748">
      <c r="A748">
        <v>716291</v>
      </c>
      <c r="B748" t="str">
        <v>06104388AA</v>
      </c>
      <c r="C748">
        <v>90</v>
      </c>
      <c r="E748">
        <v>803</v>
      </c>
      <c r="F748">
        <v>19443</v>
      </c>
      <c r="G748">
        <v>193252</v>
      </c>
      <c r="H748" s="1">
        <v>46252</v>
      </c>
      <c r="I748" t="str">
        <v>TRAVELERRECEIVED</v>
      </c>
      <c r="K748" t="str">
        <v>Shipped</v>
      </c>
      <c r="L748">
        <v>30008</v>
      </c>
    </row>
    <row r="749">
      <c r="A749">
        <v>716333</v>
      </c>
      <c r="B749" t="str">
        <v>11546364-MY-AK</v>
      </c>
      <c r="C749">
        <v>1301</v>
      </c>
      <c r="E749">
        <v>1162</v>
      </c>
      <c r="F749">
        <v>140000</v>
      </c>
      <c r="G749">
        <v>193252</v>
      </c>
      <c r="H749" s="1">
        <v>46252</v>
      </c>
      <c r="I749" t="str">
        <v>TRAVELERRECEIVED</v>
      </c>
      <c r="K749" t="str">
        <v>Shipped</v>
      </c>
      <c r="L749">
        <v>30013</v>
      </c>
    </row>
    <row r="750">
      <c r="A750">
        <v>716334</v>
      </c>
      <c r="B750" t="str">
        <v>11546364-MY-AK</v>
      </c>
      <c r="C750">
        <v>478</v>
      </c>
      <c r="E750">
        <v>970</v>
      </c>
      <c r="F750">
        <v>116867</v>
      </c>
      <c r="G750">
        <v>193252</v>
      </c>
      <c r="H750" s="1">
        <v>46252</v>
      </c>
      <c r="I750" t="str">
        <v>TRAVELERRECEIVED</v>
      </c>
      <c r="K750" t="str">
        <v>Shipped</v>
      </c>
      <c r="L750">
        <v>30026</v>
      </c>
    </row>
    <row r="751">
      <c r="A751">
        <v>716335</v>
      </c>
      <c r="B751" t="str">
        <v>11546364-MY-AK</v>
      </c>
      <c r="C751">
        <v>1769</v>
      </c>
      <c r="E751">
        <v>881</v>
      </c>
      <c r="F751">
        <v>106145</v>
      </c>
      <c r="G751">
        <v>193252</v>
      </c>
      <c r="H751" s="1">
        <v>46252</v>
      </c>
      <c r="I751" t="str">
        <v>TRAVELERRECEIVED</v>
      </c>
      <c r="K751" t="str">
        <v>Shipped</v>
      </c>
      <c r="L751">
        <v>30024</v>
      </c>
    </row>
    <row r="752">
      <c r="A752">
        <v>716503</v>
      </c>
      <c r="B752" t="str">
        <v>06101831-A</v>
      </c>
      <c r="C752">
        <v>34</v>
      </c>
      <c r="E752">
        <v>937</v>
      </c>
      <c r="F752">
        <v>33949</v>
      </c>
      <c r="G752">
        <v>193252</v>
      </c>
      <c r="H752" s="1">
        <v>46252</v>
      </c>
      <c r="I752" t="str">
        <v>TRAVELERRECEIVED</v>
      </c>
      <c r="K752" t="str">
        <v>Shipped</v>
      </c>
      <c r="L752">
        <v>30006</v>
      </c>
    </row>
    <row r="753">
      <c r="A753">
        <v>716504</v>
      </c>
      <c r="B753" t="str">
        <v>06101831-A</v>
      </c>
      <c r="C753">
        <v>501</v>
      </c>
      <c r="E753">
        <v>693</v>
      </c>
      <c r="F753">
        <v>25109</v>
      </c>
      <c r="G753">
        <v>193252</v>
      </c>
      <c r="H753" s="1">
        <v>46252</v>
      </c>
      <c r="I753" t="str">
        <v>TRAVELERRECEIVED</v>
      </c>
      <c r="K753" t="str">
        <v>Shipped</v>
      </c>
      <c r="L753">
        <v>30004</v>
      </c>
    </row>
    <row r="754">
      <c r="A754">
        <v>716505</v>
      </c>
      <c r="B754" t="str">
        <v>06101831-A</v>
      </c>
      <c r="C754">
        <v>124</v>
      </c>
      <c r="E754">
        <v>918</v>
      </c>
      <c r="F754">
        <v>33261</v>
      </c>
      <c r="G754">
        <v>193252</v>
      </c>
      <c r="H754" s="1">
        <v>46252</v>
      </c>
      <c r="I754" t="str">
        <v>TRAVELERRECEIVED</v>
      </c>
      <c r="K754" t="str">
        <v>Shipped</v>
      </c>
      <c r="L754">
        <v>30008</v>
      </c>
    </row>
    <row r="755">
      <c r="A755">
        <v>716506</v>
      </c>
      <c r="B755" t="str">
        <v>06101831-A</v>
      </c>
      <c r="C755">
        <v>601</v>
      </c>
      <c r="E755">
        <v>689</v>
      </c>
      <c r="F755">
        <v>24964</v>
      </c>
      <c r="G755">
        <v>193252</v>
      </c>
      <c r="H755" s="1">
        <v>46252</v>
      </c>
      <c r="I755" t="str">
        <v>TRAVELERRECEIVED</v>
      </c>
      <c r="K755" t="str">
        <v>Shipped</v>
      </c>
      <c r="L755">
        <v>30024</v>
      </c>
    </row>
    <row r="756">
      <c r="A756">
        <v>716507</v>
      </c>
      <c r="B756" t="str">
        <v>06101831-A</v>
      </c>
      <c r="C756">
        <v>255</v>
      </c>
      <c r="E756">
        <v>825</v>
      </c>
      <c r="F756">
        <v>29891</v>
      </c>
      <c r="G756">
        <v>193252</v>
      </c>
      <c r="H756" s="1">
        <v>46252</v>
      </c>
      <c r="I756" t="str">
        <v>TRAVELERRECEIVED</v>
      </c>
      <c r="K756" t="str">
        <v>Shipped</v>
      </c>
      <c r="L756">
        <v>30010</v>
      </c>
    </row>
    <row r="757">
      <c r="A757">
        <v>716508</v>
      </c>
      <c r="B757" t="str">
        <v>06101831-A</v>
      </c>
      <c r="C757">
        <v>936</v>
      </c>
      <c r="E757">
        <v>808</v>
      </c>
      <c r="F757">
        <v>29275</v>
      </c>
      <c r="G757">
        <v>193252</v>
      </c>
      <c r="H757" s="1">
        <v>46252</v>
      </c>
      <c r="I757" t="str">
        <v>TRAVELERRECEIVED</v>
      </c>
      <c r="K757" t="str">
        <v>Shipped</v>
      </c>
      <c r="L757">
        <v>30008</v>
      </c>
    </row>
    <row r="758">
      <c r="A758">
        <v>716757</v>
      </c>
      <c r="B758">
        <v>11546437</v>
      </c>
      <c r="C758">
        <v>1842</v>
      </c>
      <c r="D758" t="str">
        <v>MC/BF</v>
      </c>
      <c r="E758">
        <v>1172</v>
      </c>
      <c r="F758">
        <v>90154</v>
      </c>
      <c r="G758">
        <v>193252</v>
      </c>
      <c r="H758" s="1">
        <v>46252</v>
      </c>
      <c r="I758" t="str">
        <v>TRAVELERRECEIVED</v>
      </c>
      <c r="K758" t="str">
        <v>Shipped</v>
      </c>
      <c r="L758">
        <v>30031</v>
      </c>
    </row>
    <row r="759">
      <c r="A759">
        <v>716758</v>
      </c>
      <c r="B759">
        <v>11546437</v>
      </c>
      <c r="C759">
        <v>1700</v>
      </c>
      <c r="D759" t="str">
        <v>MC/BF</v>
      </c>
      <c r="E759">
        <v>1093</v>
      </c>
      <c r="F759">
        <v>84077</v>
      </c>
      <c r="G759">
        <v>193252</v>
      </c>
      <c r="H759" s="1">
        <v>46252</v>
      </c>
      <c r="I759" t="str">
        <v>TRAVELERRECEIVED</v>
      </c>
      <c r="J759" t="str">
        <v>DONE</v>
      </c>
      <c r="K759" t="str">
        <v>Shipped</v>
      </c>
      <c r="L759">
        <v>30030</v>
      </c>
    </row>
    <row r="760">
      <c r="A760">
        <v>716759</v>
      </c>
      <c r="B760">
        <v>11546437</v>
      </c>
      <c r="C760">
        <v>757</v>
      </c>
      <c r="E760">
        <v>1022</v>
      </c>
      <c r="F760">
        <v>78615</v>
      </c>
      <c r="G760">
        <v>193252</v>
      </c>
      <c r="H760" s="1">
        <v>46252</v>
      </c>
      <c r="I760" t="str">
        <v>TRAVELERRECEIVED</v>
      </c>
      <c r="K760" t="str">
        <v>Shipped</v>
      </c>
      <c r="L760">
        <v>30024</v>
      </c>
    </row>
    <row r="761">
      <c r="A761">
        <v>716760</v>
      </c>
      <c r="B761">
        <v>11546437</v>
      </c>
      <c r="C761">
        <v>534</v>
      </c>
      <c r="D761" t="str">
        <v>MC/BF</v>
      </c>
      <c r="E761">
        <v>1183</v>
      </c>
      <c r="F761">
        <v>91000</v>
      </c>
      <c r="G761">
        <v>193252</v>
      </c>
      <c r="H761" s="1">
        <v>46252</v>
      </c>
      <c r="I761" t="str">
        <v>TRAVELERRECEIVED</v>
      </c>
      <c r="J761" t="str">
        <v>DONE</v>
      </c>
      <c r="K761" t="str">
        <f>IF(ISERROR(MATCH(WORKORDER[[#This Row],[TRAVELER]],Table1[TRAVELER],0)),K761,"Shipped")</f>
        <v>Shipped</v>
      </c>
      <c r="L761">
        <f>+IF(ISERROR(MATCH(WORKORDER[[#This Row],[TRAVELER]],Table1[TRAVELER],0)),L761,'PACKING SLIP'!$F$5)</f>
        <v>0</v>
      </c>
    </row>
    <row r="762">
      <c r="A762">
        <v>716761</v>
      </c>
      <c r="B762">
        <v>11546437</v>
      </c>
      <c r="C762">
        <v>867</v>
      </c>
      <c r="D762" t="str">
        <v>MC/BF</v>
      </c>
      <c r="E762">
        <v>1076</v>
      </c>
      <c r="F762">
        <v>82769</v>
      </c>
      <c r="G762">
        <v>193252</v>
      </c>
      <c r="H762" s="1">
        <v>46252</v>
      </c>
      <c r="I762" t="str">
        <v>TRAVELERRECEIVED</v>
      </c>
      <c r="J762" t="str">
        <v>DONE</v>
      </c>
      <c r="K762">
        <f>IF(ISERROR(MATCH(WORKORDER[[#This Row],[TRAVELER]],Table1[TRAVELER],0)),K762,"Shipped")</f>
        <v>0</v>
      </c>
      <c r="L762">
        <f>+IF(ISERROR(MATCH(WORKORDER[[#This Row],[TRAVELER]],Table1[TRAVELER],0)),L762,'PACKING SLIP'!$F$5)</f>
        <v>0</v>
      </c>
    </row>
    <row r="763">
      <c r="A763">
        <v>716762</v>
      </c>
      <c r="B763">
        <v>11546437</v>
      </c>
      <c r="C763">
        <v>1387</v>
      </c>
      <c r="D763" t="str">
        <v>MC/BF</v>
      </c>
      <c r="E763">
        <v>1149</v>
      </c>
      <c r="F763">
        <v>88385</v>
      </c>
      <c r="G763">
        <v>193252</v>
      </c>
      <c r="H763" s="1">
        <v>46252</v>
      </c>
      <c r="I763" t="str">
        <v>TRAVELERRECEIVED</v>
      </c>
      <c r="K763" t="str">
        <v>Shipped</v>
      </c>
      <c r="L763">
        <v>30031</v>
      </c>
    </row>
    <row r="764">
      <c r="A764">
        <v>716763</v>
      </c>
      <c r="B764">
        <v>11546437</v>
      </c>
      <c r="C764">
        <v>91</v>
      </c>
      <c r="D764" t="str">
        <v>MC/BF</v>
      </c>
      <c r="E764">
        <v>1166</v>
      </c>
      <c r="F764">
        <v>89692</v>
      </c>
      <c r="G764">
        <v>193252</v>
      </c>
      <c r="H764" s="1">
        <v>46252</v>
      </c>
      <c r="I764" t="str">
        <v>TRAVELERRECEIVED</v>
      </c>
      <c r="K764" t="str">
        <v>Shipped</v>
      </c>
      <c r="L764">
        <v>30031</v>
      </c>
    </row>
    <row r="765">
      <c r="A765">
        <v>716764</v>
      </c>
      <c r="B765">
        <v>11546437</v>
      </c>
      <c r="C765">
        <v>1063</v>
      </c>
      <c r="D765" t="str">
        <v>MC/BF</v>
      </c>
      <c r="E765">
        <v>1038</v>
      </c>
      <c r="F765">
        <v>79846</v>
      </c>
      <c r="G765">
        <v>193252</v>
      </c>
      <c r="H765" s="1">
        <v>46252</v>
      </c>
      <c r="I765" t="str">
        <v>TRAVELERRECEIVED</v>
      </c>
      <c r="K765" t="str">
        <v>Shipped</v>
      </c>
      <c r="L765">
        <v>30046</v>
      </c>
    </row>
    <row r="766">
      <c r="A766">
        <v>716765</v>
      </c>
      <c r="B766">
        <v>11546437</v>
      </c>
      <c r="C766">
        <v>283</v>
      </c>
      <c r="D766" t="str">
        <v>MC/BF</v>
      </c>
      <c r="E766">
        <v>1245</v>
      </c>
      <c r="F766">
        <v>95769</v>
      </c>
      <c r="G766">
        <v>193252</v>
      </c>
      <c r="H766" s="1">
        <v>46252</v>
      </c>
      <c r="I766" t="str">
        <v>TRAVELERRECEIVED</v>
      </c>
      <c r="K766" t="str">
        <v>Shipped</v>
      </c>
      <c r="L766">
        <v>30046</v>
      </c>
    </row>
    <row r="767">
      <c r="A767">
        <v>716767</v>
      </c>
      <c r="B767">
        <v>11516782</v>
      </c>
      <c r="C767">
        <v>598</v>
      </c>
      <c r="E767">
        <v>897</v>
      </c>
      <c r="F767">
        <v>15573</v>
      </c>
      <c r="G767">
        <v>193252</v>
      </c>
      <c r="H767" s="1">
        <v>46252</v>
      </c>
      <c r="I767" t="str">
        <v>TRAVELERRECEIVED</v>
      </c>
      <c r="K767" t="str">
        <v>Shipped</v>
      </c>
      <c r="L767">
        <v>30013</v>
      </c>
    </row>
    <row r="768">
      <c r="A768">
        <v>716768</v>
      </c>
      <c r="B768">
        <v>11516782</v>
      </c>
      <c r="C768">
        <v>633</v>
      </c>
      <c r="E768">
        <v>1070</v>
      </c>
      <c r="F768">
        <v>18576</v>
      </c>
      <c r="G768">
        <v>193252</v>
      </c>
      <c r="H768" s="1">
        <v>46252</v>
      </c>
      <c r="I768" t="str">
        <v>TRAVELERRECEIVED</v>
      </c>
      <c r="K768" t="str">
        <v>Shipped</v>
      </c>
      <c r="L768">
        <v>30010</v>
      </c>
    </row>
    <row r="769">
      <c r="A769">
        <v>716771</v>
      </c>
      <c r="B769" t="str">
        <v>06513514AA</v>
      </c>
      <c r="C769">
        <v>1794</v>
      </c>
      <c r="E769">
        <v>777</v>
      </c>
      <c r="F769">
        <v>9510</v>
      </c>
      <c r="G769">
        <v>193252</v>
      </c>
      <c r="H769" s="1">
        <v>46252</v>
      </c>
      <c r="I769" t="str">
        <v>TRAVELERRECEIVED</v>
      </c>
      <c r="K769" t="str">
        <v>Shipped</v>
      </c>
      <c r="L769">
        <v>30008</v>
      </c>
    </row>
    <row r="770">
      <c r="A770">
        <v>716772</v>
      </c>
      <c r="B770" t="str">
        <v>06513514AA</v>
      </c>
      <c r="C770">
        <v>127</v>
      </c>
      <c r="E770">
        <v>819</v>
      </c>
      <c r="F770">
        <v>10024</v>
      </c>
      <c r="G770">
        <v>193252</v>
      </c>
      <c r="H770" s="1">
        <v>46252</v>
      </c>
      <c r="I770" t="str">
        <v>TRAVELERRECEIVED</v>
      </c>
      <c r="K770" t="str">
        <v>Shipped</v>
      </c>
      <c r="L770">
        <v>30008</v>
      </c>
    </row>
    <row r="771">
      <c r="A771">
        <v>716867</v>
      </c>
      <c r="B771" t="str">
        <v>11517665-A</v>
      </c>
      <c r="C771">
        <v>1306</v>
      </c>
      <c r="E771">
        <v>265</v>
      </c>
      <c r="F771">
        <v>26500</v>
      </c>
      <c r="G771">
        <v>193252</v>
      </c>
      <c r="H771" s="1">
        <v>46252</v>
      </c>
      <c r="K771" t="str">
        <v>Shipped</v>
      </c>
      <c r="L771">
        <v>29998</v>
      </c>
    </row>
    <row r="772">
      <c r="A772">
        <v>660087</v>
      </c>
      <c r="B772" t="str">
        <v>55718-S2</v>
      </c>
      <c r="C772">
        <v>1098</v>
      </c>
      <c r="E772">
        <v>1369</v>
      </c>
      <c r="F772">
        <v>41000</v>
      </c>
      <c r="G772">
        <v>193262</v>
      </c>
      <c r="H772" s="1">
        <v>46252</v>
      </c>
      <c r="I772" t="str">
        <v>6-230-39-A</v>
      </c>
      <c r="K772" t="str">
        <v>Shipped</v>
      </c>
      <c r="L772">
        <v>30006</v>
      </c>
    </row>
    <row r="773">
      <c r="A773">
        <v>660088</v>
      </c>
      <c r="B773" t="str">
        <v>55718-S2</v>
      </c>
      <c r="C773">
        <v>1713</v>
      </c>
      <c r="E773">
        <v>1069</v>
      </c>
      <c r="F773">
        <v>32000</v>
      </c>
      <c r="G773">
        <v>193262</v>
      </c>
      <c r="H773" s="1">
        <v>46252</v>
      </c>
      <c r="I773" t="str">
        <v>6-230-39-B</v>
      </c>
      <c r="K773" t="str">
        <v>Shipped</v>
      </c>
      <c r="L773">
        <v>30008</v>
      </c>
    </row>
    <row r="774">
      <c r="A774">
        <v>713044</v>
      </c>
      <c r="B774" t="str">
        <v>06511777AA</v>
      </c>
      <c r="C774">
        <v>1386</v>
      </c>
      <c r="E774">
        <v>874</v>
      </c>
      <c r="F774">
        <v>12156</v>
      </c>
      <c r="G774">
        <v>193262</v>
      </c>
      <c r="H774" s="1">
        <v>46252</v>
      </c>
      <c r="I774" t="str">
        <v>6-229-43-A</v>
      </c>
      <c r="K774" t="str">
        <v>Shipped</v>
      </c>
      <c r="L774">
        <v>30004</v>
      </c>
    </row>
    <row r="775">
      <c r="A775">
        <v>713045</v>
      </c>
      <c r="B775" t="str">
        <v>06511777AA</v>
      </c>
      <c r="C775">
        <v>1320</v>
      </c>
      <c r="E775">
        <v>896</v>
      </c>
      <c r="F775">
        <v>12462</v>
      </c>
      <c r="G775">
        <v>193262</v>
      </c>
      <c r="H775" s="1">
        <v>46252</v>
      </c>
      <c r="I775" t="str">
        <v>6-229-43-B</v>
      </c>
      <c r="K775" t="str">
        <v>Shipped</v>
      </c>
      <c r="L775">
        <v>30004</v>
      </c>
    </row>
    <row r="776">
      <c r="A776">
        <v>713210</v>
      </c>
      <c r="B776">
        <v>11562515</v>
      </c>
      <c r="C776">
        <v>608</v>
      </c>
      <c r="E776">
        <v>862</v>
      </c>
      <c r="F776">
        <v>50409</v>
      </c>
      <c r="G776">
        <v>193262</v>
      </c>
      <c r="H776" s="1">
        <v>46252</v>
      </c>
      <c r="I776" t="str">
        <v>6-230-35-A</v>
      </c>
      <c r="K776" t="str">
        <v>Shipped</v>
      </c>
      <c r="L776">
        <v>30006</v>
      </c>
    </row>
    <row r="777">
      <c r="A777">
        <v>713211</v>
      </c>
      <c r="B777">
        <v>11562515</v>
      </c>
      <c r="C777">
        <v>1505</v>
      </c>
      <c r="E777">
        <v>697</v>
      </c>
      <c r="F777">
        <v>40760</v>
      </c>
      <c r="G777">
        <v>193262</v>
      </c>
      <c r="H777" s="1">
        <v>46252</v>
      </c>
      <c r="I777" t="str">
        <v>6-230-35-B</v>
      </c>
      <c r="K777" t="str">
        <v>Shipped</v>
      </c>
      <c r="L777">
        <v>30006</v>
      </c>
    </row>
    <row r="778">
      <c r="A778">
        <v>713212</v>
      </c>
      <c r="B778">
        <v>11562515</v>
      </c>
      <c r="C778">
        <v>1008</v>
      </c>
      <c r="E778">
        <v>791</v>
      </c>
      <c r="F778">
        <v>46257</v>
      </c>
      <c r="G778">
        <v>193262</v>
      </c>
      <c r="H778" s="1">
        <v>46252</v>
      </c>
      <c r="I778" t="str">
        <v>6-230-35-C</v>
      </c>
      <c r="K778" t="str">
        <v>Shipped</v>
      </c>
      <c r="L778">
        <v>30006</v>
      </c>
    </row>
    <row r="779">
      <c r="A779">
        <v>713213</v>
      </c>
      <c r="B779">
        <v>11562515</v>
      </c>
      <c r="C779">
        <v>1610</v>
      </c>
      <c r="E779">
        <v>750</v>
      </c>
      <c r="F779">
        <v>43860</v>
      </c>
      <c r="G779">
        <v>193262</v>
      </c>
      <c r="H779" s="1">
        <v>46252</v>
      </c>
      <c r="I779" t="str">
        <v>6-230-35-D</v>
      </c>
      <c r="K779" t="str">
        <v>Shipped</v>
      </c>
      <c r="L779">
        <v>30006</v>
      </c>
    </row>
    <row r="780">
      <c r="A780">
        <v>714018</v>
      </c>
      <c r="B780">
        <v>91054</v>
      </c>
      <c r="C780">
        <v>244</v>
      </c>
      <c r="E780">
        <v>1235</v>
      </c>
      <c r="F780">
        <v>78165</v>
      </c>
      <c r="G780">
        <v>193262</v>
      </c>
      <c r="H780" s="1">
        <v>46252</v>
      </c>
      <c r="I780" t="str">
        <v>6-230-37-A</v>
      </c>
      <c r="K780" t="str">
        <v>Shipped</v>
      </c>
      <c r="L780">
        <v>30024</v>
      </c>
    </row>
    <row r="781">
      <c r="A781">
        <v>714019</v>
      </c>
      <c r="B781">
        <v>91054</v>
      </c>
      <c r="C781">
        <v>309</v>
      </c>
      <c r="E781">
        <v>1046</v>
      </c>
      <c r="F781">
        <v>66203</v>
      </c>
      <c r="G781">
        <v>193262</v>
      </c>
      <c r="H781" s="1">
        <v>46252</v>
      </c>
      <c r="I781" t="str">
        <v>6-230-37-B</v>
      </c>
      <c r="K781" t="str">
        <v>Shipped</v>
      </c>
      <c r="L781">
        <v>30024</v>
      </c>
    </row>
    <row r="782">
      <c r="A782">
        <v>714020</v>
      </c>
      <c r="B782">
        <v>91054</v>
      </c>
      <c r="C782">
        <v>1378</v>
      </c>
      <c r="E782">
        <v>1171</v>
      </c>
      <c r="F782">
        <v>74114</v>
      </c>
      <c r="G782">
        <v>193262</v>
      </c>
      <c r="H782" s="1">
        <v>46252</v>
      </c>
      <c r="I782" t="str">
        <v>6-230-38-A</v>
      </c>
      <c r="K782" t="str">
        <v>Shipped</v>
      </c>
      <c r="L782">
        <v>30024</v>
      </c>
    </row>
    <row r="783">
      <c r="A783">
        <v>714021</v>
      </c>
      <c r="B783">
        <v>91054</v>
      </c>
      <c r="C783">
        <v>569</v>
      </c>
      <c r="E783">
        <v>1141</v>
      </c>
      <c r="F783">
        <v>72215</v>
      </c>
      <c r="G783">
        <v>193262</v>
      </c>
      <c r="H783" s="1">
        <v>46252</v>
      </c>
      <c r="I783" t="str">
        <v>6-230-38-B</v>
      </c>
      <c r="K783" t="str">
        <v>Shipped</v>
      </c>
      <c r="L783">
        <v>30024</v>
      </c>
    </row>
    <row r="784">
      <c r="A784">
        <v>714274</v>
      </c>
      <c r="B784" t="str">
        <v>11546774-MY-AK</v>
      </c>
      <c r="C784">
        <v>753</v>
      </c>
      <c r="E784">
        <v>999</v>
      </c>
      <c r="F784">
        <v>13837</v>
      </c>
      <c r="G784">
        <v>193262</v>
      </c>
      <c r="H784" s="1">
        <v>46252</v>
      </c>
      <c r="I784" t="str">
        <v>6-230-32-A</v>
      </c>
      <c r="K784" t="str">
        <v>Shipped</v>
      </c>
      <c r="L784">
        <v>30006</v>
      </c>
    </row>
    <row r="785">
      <c r="A785">
        <v>714275</v>
      </c>
      <c r="B785" t="str">
        <v>11546774-MY-AK</v>
      </c>
      <c r="C785">
        <v>1513</v>
      </c>
      <c r="E785">
        <v>941</v>
      </c>
      <c r="F785">
        <v>13033</v>
      </c>
      <c r="G785">
        <v>193262</v>
      </c>
      <c r="H785" s="1">
        <v>46252</v>
      </c>
      <c r="I785" t="str">
        <v>6-230-32-B</v>
      </c>
      <c r="K785" t="str">
        <v>Shipped</v>
      </c>
      <c r="L785">
        <v>30010</v>
      </c>
    </row>
    <row r="786">
      <c r="A786">
        <v>714276</v>
      </c>
      <c r="B786" t="str">
        <v>11546774-MY-AK</v>
      </c>
      <c r="C786">
        <v>943</v>
      </c>
      <c r="E786">
        <v>970</v>
      </c>
      <c r="F786">
        <v>13435</v>
      </c>
      <c r="G786">
        <v>193262</v>
      </c>
      <c r="H786" s="1">
        <v>46252</v>
      </c>
      <c r="I786" t="str">
        <v>6-230-31-A</v>
      </c>
      <c r="K786" t="str">
        <v>Shipped</v>
      </c>
      <c r="L786">
        <v>30013</v>
      </c>
    </row>
    <row r="787">
      <c r="A787">
        <v>714277</v>
      </c>
      <c r="B787" t="str">
        <v>11546774-MY-AK</v>
      </c>
      <c r="C787">
        <v>721</v>
      </c>
      <c r="E787">
        <v>1005</v>
      </c>
      <c r="F787">
        <v>13920</v>
      </c>
      <c r="G787">
        <v>193262</v>
      </c>
      <c r="H787" s="1">
        <v>46252</v>
      </c>
      <c r="I787" t="str">
        <v>6-230-31-B</v>
      </c>
      <c r="K787" t="str">
        <v>Shipped</v>
      </c>
      <c r="L787">
        <v>30006</v>
      </c>
    </row>
    <row r="788">
      <c r="A788">
        <v>714393</v>
      </c>
      <c r="B788" t="str">
        <v>24576407-B</v>
      </c>
      <c r="C788">
        <v>263</v>
      </c>
      <c r="E788">
        <v>218</v>
      </c>
      <c r="F788">
        <v>10000</v>
      </c>
      <c r="G788">
        <v>193262</v>
      </c>
      <c r="H788" s="1">
        <v>46252</v>
      </c>
      <c r="I788" t="str">
        <v>6-230-34-A</v>
      </c>
      <c r="K788" t="str">
        <v>Shipped</v>
      </c>
      <c r="L788">
        <v>30006</v>
      </c>
    </row>
    <row r="789">
      <c r="A789">
        <v>714614</v>
      </c>
      <c r="B789" t="str">
        <v>06511777AA</v>
      </c>
      <c r="C789">
        <v>784</v>
      </c>
      <c r="E789">
        <v>1400</v>
      </c>
      <c r="F789">
        <v>19471</v>
      </c>
      <c r="G789">
        <v>193262</v>
      </c>
      <c r="H789" s="1">
        <v>46252</v>
      </c>
      <c r="I789" t="str">
        <v>6-229-43-C</v>
      </c>
      <c r="K789" t="str">
        <v>Shipped</v>
      </c>
      <c r="L789">
        <v>30004</v>
      </c>
    </row>
    <row r="790">
      <c r="A790">
        <v>714617</v>
      </c>
      <c r="B790" t="str">
        <v>06511777AA</v>
      </c>
      <c r="C790">
        <v>486</v>
      </c>
      <c r="E790">
        <v>1394</v>
      </c>
      <c r="F790">
        <v>19388</v>
      </c>
      <c r="G790">
        <v>193262</v>
      </c>
      <c r="H790" s="1">
        <v>46252</v>
      </c>
      <c r="I790" t="str">
        <v>6-229-43-D</v>
      </c>
      <c r="K790" t="str">
        <v>Shipped</v>
      </c>
      <c r="L790">
        <v>30026</v>
      </c>
    </row>
    <row r="791">
      <c r="A791">
        <v>714648</v>
      </c>
      <c r="B791" t="str">
        <v>11546774-MY-AK</v>
      </c>
      <c r="C791">
        <v>1078</v>
      </c>
      <c r="E791">
        <v>916</v>
      </c>
      <c r="F791">
        <v>12687</v>
      </c>
      <c r="G791">
        <v>193262</v>
      </c>
      <c r="H791" s="1">
        <v>46252</v>
      </c>
      <c r="I791" t="str">
        <v>6-230-31-C</v>
      </c>
      <c r="K791" t="str">
        <v>Shipped</v>
      </c>
      <c r="L791">
        <v>30008</v>
      </c>
    </row>
    <row r="792">
      <c r="A792">
        <v>714649</v>
      </c>
      <c r="B792" t="str">
        <v>11546774-MY-AK</v>
      </c>
      <c r="C792">
        <v>331</v>
      </c>
      <c r="E792">
        <v>1026</v>
      </c>
      <c r="F792">
        <v>14211</v>
      </c>
      <c r="G792">
        <v>193262</v>
      </c>
      <c r="H792" s="1">
        <v>46252</v>
      </c>
      <c r="I792" t="str">
        <v>6-230-31-D</v>
      </c>
      <c r="K792" t="str">
        <v>Shipped</v>
      </c>
      <c r="L792">
        <v>30006</v>
      </c>
    </row>
    <row r="793">
      <c r="A793">
        <v>714650</v>
      </c>
      <c r="B793" t="str">
        <v>11546774-MY-AK</v>
      </c>
      <c r="C793">
        <v>818</v>
      </c>
      <c r="E793">
        <v>953</v>
      </c>
      <c r="F793">
        <v>13199</v>
      </c>
      <c r="G793">
        <v>193262</v>
      </c>
      <c r="H793" s="1">
        <v>46252</v>
      </c>
      <c r="I793" t="str">
        <v>6-230-31-E</v>
      </c>
      <c r="K793" t="str">
        <v>Shipped</v>
      </c>
      <c r="L793">
        <v>30013</v>
      </c>
    </row>
    <row r="794">
      <c r="A794">
        <v>714651</v>
      </c>
      <c r="B794" t="str">
        <v>11546774-MY-AK</v>
      </c>
      <c r="C794">
        <v>706</v>
      </c>
      <c r="E794">
        <v>1019</v>
      </c>
      <c r="F794">
        <v>14114</v>
      </c>
      <c r="G794">
        <v>193262</v>
      </c>
      <c r="H794" s="1">
        <v>46252</v>
      </c>
      <c r="I794" t="str">
        <v>6-230-31-F</v>
      </c>
      <c r="K794" t="str">
        <v>Shipped</v>
      </c>
      <c r="L794">
        <v>30006</v>
      </c>
    </row>
    <row r="795">
      <c r="A795">
        <v>714652</v>
      </c>
      <c r="B795" t="str">
        <v>11546774-MY-AK</v>
      </c>
      <c r="C795">
        <v>219</v>
      </c>
      <c r="D795" t="str">
        <v>TB</v>
      </c>
      <c r="E795">
        <v>1064</v>
      </c>
      <c r="F795">
        <v>14737</v>
      </c>
      <c r="G795">
        <v>193262</v>
      </c>
      <c r="H795" s="1">
        <v>46252</v>
      </c>
      <c r="I795" t="str">
        <v>6-230-31-G</v>
      </c>
      <c r="J795" t="str">
        <v>DONE</v>
      </c>
      <c r="K795">
        <f>IF(ISERROR(MATCH(WORKORDER[[#This Row],[TRAVELER]],Table1[TRAVELER],0)),K795,"Shipped")</f>
        <v>0</v>
      </c>
      <c r="L795">
        <f>+IF(ISERROR(MATCH(WORKORDER[[#This Row],[TRAVELER]],Table1[TRAVELER],0)),L795,'PACKING SLIP'!$F$5)</f>
        <v>0</v>
      </c>
    </row>
    <row r="796">
      <c r="A796">
        <v>714714</v>
      </c>
      <c r="B796">
        <v>11602659</v>
      </c>
      <c r="C796">
        <v>1585</v>
      </c>
      <c r="E796">
        <v>1101</v>
      </c>
      <c r="F796">
        <v>19521</v>
      </c>
      <c r="G796">
        <v>193262</v>
      </c>
      <c r="H796" s="1">
        <v>46252</v>
      </c>
      <c r="I796" t="str">
        <v>6-230-40-A</v>
      </c>
      <c r="K796" t="str">
        <v>Shipped</v>
      </c>
      <c r="L796">
        <v>30004</v>
      </c>
    </row>
    <row r="797">
      <c r="A797">
        <v>714715</v>
      </c>
      <c r="B797">
        <v>11602659</v>
      </c>
      <c r="C797">
        <v>230</v>
      </c>
      <c r="E797">
        <v>988</v>
      </c>
      <c r="F797">
        <v>17518</v>
      </c>
      <c r="G797">
        <v>193262</v>
      </c>
      <c r="H797" s="1">
        <v>46252</v>
      </c>
      <c r="I797" t="str">
        <v>6-230-40-B</v>
      </c>
      <c r="K797" t="str">
        <v>Shipped</v>
      </c>
      <c r="L797">
        <v>30004</v>
      </c>
    </row>
    <row r="798">
      <c r="A798">
        <v>714718</v>
      </c>
      <c r="B798">
        <v>11602659</v>
      </c>
      <c r="C798">
        <v>1518</v>
      </c>
      <c r="E798">
        <v>699</v>
      </c>
      <c r="F798">
        <v>12394</v>
      </c>
      <c r="G798">
        <v>193262</v>
      </c>
      <c r="H798" s="1">
        <v>46252</v>
      </c>
      <c r="I798" t="str">
        <v>6-230-40-C</v>
      </c>
      <c r="K798" t="str">
        <v>Shipped</v>
      </c>
      <c r="L798">
        <v>30004</v>
      </c>
    </row>
    <row r="799">
      <c r="A799">
        <v>714719</v>
      </c>
      <c r="B799">
        <v>11602659</v>
      </c>
      <c r="C799">
        <v>529</v>
      </c>
      <c r="E799">
        <v>632</v>
      </c>
      <c r="F799">
        <v>11206</v>
      </c>
      <c r="G799">
        <v>193262</v>
      </c>
      <c r="H799" s="1">
        <v>46252</v>
      </c>
      <c r="I799" t="str">
        <v>6-230-40-D</v>
      </c>
      <c r="K799" t="str">
        <v>Shipped</v>
      </c>
      <c r="L799">
        <v>30008</v>
      </c>
    </row>
    <row r="800">
      <c r="A800">
        <v>716447</v>
      </c>
      <c r="B800">
        <v>11610091</v>
      </c>
      <c r="C800">
        <v>902</v>
      </c>
      <c r="D800" t="str">
        <v>MC/BF</v>
      </c>
      <c r="E800">
        <v>1233</v>
      </c>
      <c r="F800">
        <v>80065</v>
      </c>
      <c r="G800">
        <v>193262</v>
      </c>
      <c r="H800" s="1">
        <v>46252</v>
      </c>
      <c r="I800" t="str">
        <v>6-229-48-A</v>
      </c>
      <c r="J800" t="str">
        <v>DONE</v>
      </c>
      <c r="K800" t="str">
        <v>Shipped</v>
      </c>
      <c r="L800">
        <v>30037</v>
      </c>
    </row>
    <row r="801">
      <c r="A801">
        <v>716448</v>
      </c>
      <c r="B801">
        <v>11610091</v>
      </c>
      <c r="C801">
        <v>1549</v>
      </c>
      <c r="D801" t="str">
        <v>MC/BF</v>
      </c>
      <c r="E801">
        <v>1125</v>
      </c>
      <c r="F801">
        <v>73052</v>
      </c>
      <c r="G801">
        <v>193262</v>
      </c>
      <c r="H801" s="1">
        <v>46252</v>
      </c>
      <c r="I801" t="str">
        <v>6-229-48-B</v>
      </c>
      <c r="K801" t="str">
        <v>Shipped</v>
      </c>
      <c r="L801">
        <v>30018</v>
      </c>
    </row>
    <row r="802">
      <c r="A802">
        <v>716449</v>
      </c>
      <c r="B802">
        <v>11610091</v>
      </c>
      <c r="C802">
        <v>1004</v>
      </c>
      <c r="D802" t="str">
        <v>MC/BF</v>
      </c>
      <c r="E802">
        <v>1251</v>
      </c>
      <c r="F802">
        <v>81234</v>
      </c>
      <c r="G802">
        <v>193262</v>
      </c>
      <c r="H802" s="1">
        <v>46252</v>
      </c>
      <c r="I802" t="str">
        <v>6-229-49-A</v>
      </c>
      <c r="J802" t="str">
        <v>DONE</v>
      </c>
      <c r="K802">
        <f>IF(ISERROR(MATCH(WORKORDER[[#This Row],[TRAVELER]],Table1[TRAVELER],0)),K802,"Shipped")</f>
        <v>0</v>
      </c>
      <c r="L802">
        <f>+IF(ISERROR(MATCH(WORKORDER[[#This Row],[TRAVELER]],Table1[TRAVELER],0)),L802,'PACKING SLIP'!$F$5)</f>
        <v>0</v>
      </c>
    </row>
    <row r="803">
      <c r="A803">
        <v>716450</v>
      </c>
      <c r="B803">
        <v>11610091</v>
      </c>
      <c r="C803">
        <v>1060</v>
      </c>
      <c r="E803">
        <v>1134</v>
      </c>
      <c r="F803">
        <v>73636</v>
      </c>
      <c r="G803">
        <v>193262</v>
      </c>
      <c r="H803" s="1">
        <v>46252</v>
      </c>
      <c r="I803" t="str">
        <v>6-229-49-B</v>
      </c>
      <c r="K803">
        <f>IF(ISERROR(MATCH(WORKORDER[[#This Row],[TRAVELER]],Table1[TRAVELER],0)),K803,"Shipped")</f>
        <v>0</v>
      </c>
      <c r="L803">
        <f>+IF(ISERROR(MATCH(WORKORDER[[#This Row],[TRAVELER]],Table1[TRAVELER],0)),L803,'PACKING SLIP'!$F$5)</f>
        <v>0</v>
      </c>
    </row>
    <row r="804">
      <c r="A804">
        <v>716451</v>
      </c>
      <c r="B804">
        <v>11610091</v>
      </c>
      <c r="C804">
        <v>301</v>
      </c>
      <c r="E804">
        <v>1141</v>
      </c>
      <c r="F804">
        <v>74091</v>
      </c>
      <c r="G804">
        <v>193262</v>
      </c>
      <c r="H804" s="1">
        <v>46252</v>
      </c>
      <c r="I804" t="str">
        <v>6-229-50-A</v>
      </c>
      <c r="K804" t="str">
        <v>Shipped</v>
      </c>
      <c r="L804">
        <v>30013</v>
      </c>
    </row>
    <row r="805">
      <c r="A805">
        <v>716452</v>
      </c>
      <c r="B805">
        <v>11610091</v>
      </c>
      <c r="C805">
        <v>1567</v>
      </c>
      <c r="D805" t="str">
        <v>MC/BF</v>
      </c>
      <c r="E805">
        <v>1228</v>
      </c>
      <c r="F805">
        <v>79740</v>
      </c>
      <c r="G805">
        <v>193262</v>
      </c>
      <c r="H805" s="1">
        <v>46252</v>
      </c>
      <c r="I805" t="str">
        <v>6-229-50-B</v>
      </c>
      <c r="J805" t="str">
        <v>DONE</v>
      </c>
      <c r="K805">
        <f>IF(ISERROR(MATCH(WORKORDER[[#This Row],[TRAVELER]],Table1[TRAVELER],0)),K805,"Shipped")</f>
        <v>0</v>
      </c>
      <c r="L805">
        <f>+IF(ISERROR(MATCH(WORKORDER[[#This Row],[TRAVELER]],Table1[TRAVELER],0)),L805,'PACKING SLIP'!$F$5)</f>
        <v>0</v>
      </c>
    </row>
    <row r="806">
      <c r="A806">
        <v>716453</v>
      </c>
      <c r="B806">
        <v>11610091</v>
      </c>
      <c r="C806">
        <v>509</v>
      </c>
      <c r="D806" t="str">
        <v>MC/BF</v>
      </c>
      <c r="E806">
        <v>1172</v>
      </c>
      <c r="F806">
        <v>76104</v>
      </c>
      <c r="G806">
        <v>193262</v>
      </c>
      <c r="H806" s="1">
        <v>46252</v>
      </c>
      <c r="I806" t="str">
        <v>6-229-51-A</v>
      </c>
      <c r="J806" t="str">
        <v>DONE</v>
      </c>
      <c r="K806" t="str">
        <v>Shipped</v>
      </c>
      <c r="L806">
        <v>30037</v>
      </c>
    </row>
    <row r="807">
      <c r="A807">
        <v>716454</v>
      </c>
      <c r="B807">
        <v>11610091</v>
      </c>
      <c r="C807">
        <v>1623</v>
      </c>
      <c r="D807" t="str">
        <v>MC/BF</v>
      </c>
      <c r="E807">
        <v>1183</v>
      </c>
      <c r="F807">
        <v>76818</v>
      </c>
      <c r="G807">
        <v>193262</v>
      </c>
      <c r="H807" s="1">
        <v>46252</v>
      </c>
      <c r="I807" t="str">
        <v>6-229-51-B</v>
      </c>
      <c r="K807" t="str">
        <v>Shipped</v>
      </c>
      <c r="L807">
        <v>30010</v>
      </c>
    </row>
    <row r="808">
      <c r="A808">
        <v>707202</v>
      </c>
      <c r="B808" t="str">
        <v>11549168-CA-IN</v>
      </c>
      <c r="C808">
        <v>893</v>
      </c>
      <c r="D808" t="str">
        <v>MC26</v>
      </c>
      <c r="E808">
        <v>1072</v>
      </c>
      <c r="F808">
        <v>40000</v>
      </c>
      <c r="G808">
        <v>193263</v>
      </c>
      <c r="H808" s="1">
        <v>46253</v>
      </c>
      <c r="I808" t="str">
        <v>TRAVELERRECEIVED</v>
      </c>
      <c r="J808" t="str">
        <v>SPECIAL SORT</v>
      </c>
      <c r="K808">
        <f>IF(ISERROR(MATCH(WORKORDER[[#This Row],[TRAVELER]],Table1[TRAVELER],0)),K808,"Shipped")</f>
        <v>0</v>
      </c>
      <c r="L808">
        <f>+IF(ISERROR(MATCH(WORKORDER[[#This Row],[TRAVELER]],Table1[TRAVELER],0)),L808,'PACKING SLIP'!$F$5)</f>
        <v>0</v>
      </c>
    </row>
    <row r="809">
      <c r="A809">
        <v>707204</v>
      </c>
      <c r="B809" t="str">
        <v>11549168-CA-IN</v>
      </c>
      <c r="C809">
        <v>1413</v>
      </c>
      <c r="D809" t="str">
        <v>MC26</v>
      </c>
      <c r="E809">
        <v>1045</v>
      </c>
      <c r="F809">
        <v>39000</v>
      </c>
      <c r="G809">
        <v>193263</v>
      </c>
      <c r="H809" s="1">
        <v>46253</v>
      </c>
      <c r="I809" t="str">
        <v>TRAVELERRECEIVED</v>
      </c>
      <c r="J809" t="str">
        <v>SPECIAL SORT</v>
      </c>
      <c r="K809">
        <f>IF(ISERROR(MATCH(WORKORDER[[#This Row],[TRAVELER]],Table1[TRAVELER],0)),K809,"Shipped")</f>
        <v>0</v>
      </c>
      <c r="L809">
        <f>+IF(ISERROR(MATCH(WORKORDER[[#This Row],[TRAVELER]],Table1[TRAVELER],0)),L809,'PACKING SLIP'!$F$5)</f>
        <v>0</v>
      </c>
    </row>
    <row r="810">
      <c r="A810">
        <v>708639</v>
      </c>
      <c r="B810" t="str">
        <v>11549168-CA-IN</v>
      </c>
      <c r="C810">
        <v>1779</v>
      </c>
      <c r="D810" t="str">
        <v>MC26</v>
      </c>
      <c r="E810">
        <v>992</v>
      </c>
      <c r="F810">
        <v>37000</v>
      </c>
      <c r="G810">
        <v>193263</v>
      </c>
      <c r="H810" s="1">
        <v>46253</v>
      </c>
      <c r="I810" t="str">
        <v>TRAVELERRECEIVED</v>
      </c>
      <c r="J810" t="str">
        <v>SPECIAL SORT</v>
      </c>
      <c r="K810">
        <f>IF(ISERROR(MATCH(WORKORDER[[#This Row],[TRAVELER]],Table1[TRAVELER],0)),K810,"Shipped")</f>
        <v>0</v>
      </c>
      <c r="L810">
        <f>+IF(ISERROR(MATCH(WORKORDER[[#This Row],[TRAVELER]],Table1[TRAVELER],0)),L810,'PACKING SLIP'!$F$5)</f>
        <v>0</v>
      </c>
    </row>
    <row r="811">
      <c r="A811">
        <v>709061</v>
      </c>
      <c r="B811" t="str">
        <v>11549168-CA-IN</v>
      </c>
      <c r="C811">
        <v>1514</v>
      </c>
      <c r="D811" t="str">
        <v>MC26</v>
      </c>
      <c r="E811">
        <v>1072</v>
      </c>
      <c r="F811">
        <v>40000</v>
      </c>
      <c r="G811">
        <v>193263</v>
      </c>
      <c r="H811" s="1">
        <v>46253</v>
      </c>
      <c r="I811" t="str">
        <v>TRAVELERRECEIVED</v>
      </c>
      <c r="J811" t="str">
        <v>SPECIAL SORT</v>
      </c>
      <c r="K811">
        <f>IF(ISERROR(MATCH(WORKORDER[[#This Row],[TRAVELER]],Table1[TRAVELER],0)),K811,"Shipped")</f>
        <v>0</v>
      </c>
      <c r="L811">
        <f>+IF(ISERROR(MATCH(WORKORDER[[#This Row],[TRAVELER]],Table1[TRAVELER],0)),L811,'PACKING SLIP'!$F$5)</f>
        <v>0</v>
      </c>
    </row>
    <row r="812">
      <c r="A812">
        <v>709533</v>
      </c>
      <c r="B812" t="str">
        <v>11549168-CA-IN</v>
      </c>
      <c r="C812">
        <v>595</v>
      </c>
      <c r="D812" t="str">
        <v>MC26</v>
      </c>
      <c r="E812">
        <v>1072</v>
      </c>
      <c r="F812">
        <v>40000</v>
      </c>
      <c r="G812">
        <v>193263</v>
      </c>
      <c r="H812" s="1">
        <v>46253</v>
      </c>
      <c r="I812" t="str">
        <v>TRAVELERRECEIVED</v>
      </c>
      <c r="J812" t="str">
        <v>SPECIAL SORT</v>
      </c>
      <c r="K812">
        <f>IF(ISERROR(MATCH(WORKORDER[[#This Row],[TRAVELER]],Table1[TRAVELER],0)),K812,"Shipped")</f>
        <v>0</v>
      </c>
      <c r="L812">
        <f>+IF(ISERROR(MATCH(WORKORDER[[#This Row],[TRAVELER]],Table1[TRAVELER],0)),L812,'PACKING SLIP'!$F$5)</f>
        <v>0</v>
      </c>
    </row>
    <row r="813">
      <c r="A813">
        <v>710682</v>
      </c>
      <c r="B813" t="str">
        <v>11549168-CA-IN</v>
      </c>
      <c r="C813">
        <v>299</v>
      </c>
      <c r="D813" t="str">
        <v>MC26</v>
      </c>
      <c r="E813">
        <v>938</v>
      </c>
      <c r="F813">
        <v>35000</v>
      </c>
      <c r="G813">
        <v>193263</v>
      </c>
      <c r="H813" s="1">
        <v>46253</v>
      </c>
      <c r="I813" t="str">
        <v>TRAVELERRECEIVED</v>
      </c>
      <c r="J813" t="str">
        <v>SPECIAL SORT</v>
      </c>
      <c r="K813">
        <f>IF(ISERROR(MATCH(WORKORDER[[#This Row],[TRAVELER]],Table1[TRAVELER],0)),K813,"Shipped")</f>
        <v>0</v>
      </c>
      <c r="L813">
        <f>+IF(ISERROR(MATCH(WORKORDER[[#This Row],[TRAVELER]],Table1[TRAVELER],0)),L813,'PACKING SLIP'!$F$5)</f>
        <v>0</v>
      </c>
    </row>
    <row r="814">
      <c r="A814">
        <v>710831</v>
      </c>
      <c r="B814" t="str">
        <v>11549168-CA-IN</v>
      </c>
      <c r="C814">
        <v>822</v>
      </c>
      <c r="D814" t="str">
        <v>MC26</v>
      </c>
      <c r="E814">
        <v>1179</v>
      </c>
      <c r="F814">
        <v>44000</v>
      </c>
      <c r="G814">
        <v>193263</v>
      </c>
      <c r="H814" s="1">
        <v>46253</v>
      </c>
      <c r="I814" t="str">
        <v>TRAVELERRECEIVED</v>
      </c>
      <c r="J814" t="str">
        <v>SPECIAL SORT</v>
      </c>
      <c r="K814" t="str">
        <v>Shipped</v>
      </c>
      <c r="L814">
        <v>30040</v>
      </c>
    </row>
    <row r="815">
      <c r="A815">
        <v>710832</v>
      </c>
      <c r="B815" t="str">
        <v>11549168-CA-IN</v>
      </c>
      <c r="C815">
        <v>1564</v>
      </c>
      <c r="D815" t="str">
        <v>MC26</v>
      </c>
      <c r="E815">
        <v>1126</v>
      </c>
      <c r="F815">
        <v>42000</v>
      </c>
      <c r="G815">
        <v>193263</v>
      </c>
      <c r="H815" s="1">
        <v>46253</v>
      </c>
      <c r="I815" t="str">
        <v>TRAVELERRECEIVED</v>
      </c>
      <c r="J815" t="str">
        <v>SPECIAL SORT</v>
      </c>
      <c r="K815" t="str">
        <v>Shipped</v>
      </c>
      <c r="L815">
        <v>30039</v>
      </c>
    </row>
    <row r="816">
      <c r="A816">
        <v>711862</v>
      </c>
      <c r="B816" t="str">
        <v>11549168-CA-IN</v>
      </c>
      <c r="C816">
        <v>697</v>
      </c>
      <c r="D816" t="str">
        <v>MC26</v>
      </c>
      <c r="E816">
        <v>1126</v>
      </c>
      <c r="F816">
        <v>42000</v>
      </c>
      <c r="G816">
        <v>193263</v>
      </c>
      <c r="H816" s="1">
        <v>46253</v>
      </c>
      <c r="I816" t="str">
        <v>TRAVELERRECEIVED</v>
      </c>
      <c r="J816" t="str">
        <v>SPECIAL SORT</v>
      </c>
      <c r="K816">
        <f>IF(ISERROR(MATCH(WORKORDER[[#This Row],[TRAVELER]],Table1[TRAVELER],0)),K816,"Shipped")</f>
        <v>0</v>
      </c>
      <c r="L816">
        <f>+IF(ISERROR(MATCH(WORKORDER[[#This Row],[TRAVELER]],Table1[TRAVELER],0)),L816,'PACKING SLIP'!$F$5)</f>
        <v>0</v>
      </c>
    </row>
    <row r="817">
      <c r="A817">
        <v>711864</v>
      </c>
      <c r="B817" t="str">
        <v>11549168-CA-IN</v>
      </c>
      <c r="C817">
        <v>1046</v>
      </c>
      <c r="D817" t="str">
        <v>MC26</v>
      </c>
      <c r="E817">
        <v>1206</v>
      </c>
      <c r="F817">
        <v>45000</v>
      </c>
      <c r="G817">
        <v>193263</v>
      </c>
      <c r="H817" s="1">
        <v>46253</v>
      </c>
      <c r="I817" t="str">
        <v>TRAVELERRECEIVED</v>
      </c>
      <c r="J817" t="str">
        <v>SPECIAL SORT</v>
      </c>
      <c r="K817">
        <f>IF(ISERROR(MATCH(WORKORDER[[#This Row],[TRAVELER]],Table1[TRAVELER],0)),K817,"Shipped")</f>
        <v>0</v>
      </c>
      <c r="L817">
        <f>+IF(ISERROR(MATCH(WORKORDER[[#This Row],[TRAVELER]],Table1[TRAVELER],0)),L817,'PACKING SLIP'!$F$5)</f>
        <v>0</v>
      </c>
    </row>
    <row r="818">
      <c r="A818">
        <v>711867</v>
      </c>
      <c r="B818" t="str">
        <v>11549168-CA-IN</v>
      </c>
      <c r="C818">
        <v>975</v>
      </c>
      <c r="D818" t="str">
        <v>MC26</v>
      </c>
      <c r="E818">
        <v>1206</v>
      </c>
      <c r="F818">
        <v>45000</v>
      </c>
      <c r="G818">
        <v>193263</v>
      </c>
      <c r="H818" s="1">
        <v>46253</v>
      </c>
      <c r="I818" t="str">
        <v>TRAVELERRECEIVED</v>
      </c>
      <c r="J818" t="str">
        <v>SPECIAL SORT</v>
      </c>
      <c r="K818" t="str">
        <f>IF(ISERROR(MATCH(WORKORDER[[#This Row],[TRAVELER]],Table1[TRAVELER],0)),K818,"Shipped")</f>
        <v>Shipped</v>
      </c>
      <c r="L818">
        <f>+IF(ISERROR(MATCH(WORKORDER[[#This Row],[TRAVELER]],Table1[TRAVELER],0)),L818,'PACKING SLIP'!$F$5)</f>
        <v>0</v>
      </c>
    </row>
    <row r="819">
      <c r="A819">
        <v>716307</v>
      </c>
      <c r="B819" t="str">
        <v>06513399AA</v>
      </c>
      <c r="C819">
        <v>703</v>
      </c>
      <c r="E819">
        <v>959</v>
      </c>
      <c r="F819">
        <v>7500</v>
      </c>
      <c r="G819">
        <v>193263</v>
      </c>
      <c r="H819" s="1">
        <v>46253</v>
      </c>
      <c r="I819" t="str">
        <v>TRAVELERRECEIVED</v>
      </c>
      <c r="K819" t="str">
        <v>Shipped</v>
      </c>
      <c r="L819">
        <v>30026</v>
      </c>
    </row>
    <row r="820">
      <c r="A820">
        <v>716308</v>
      </c>
      <c r="B820" t="str">
        <v>06513399AA</v>
      </c>
      <c r="C820">
        <v>655</v>
      </c>
      <c r="E820">
        <v>1111</v>
      </c>
      <c r="F820">
        <v>8686</v>
      </c>
      <c r="G820">
        <v>193263</v>
      </c>
      <c r="H820" s="1">
        <v>46253</v>
      </c>
      <c r="I820" t="str">
        <v>TRAVELERRECEIVED</v>
      </c>
      <c r="K820" t="str">
        <v>Shipped</v>
      </c>
      <c r="L820">
        <v>30026</v>
      </c>
    </row>
    <row r="821">
      <c r="A821">
        <v>716309</v>
      </c>
      <c r="B821" t="str">
        <v>06513399AA</v>
      </c>
      <c r="C821">
        <v>172</v>
      </c>
      <c r="E821">
        <v>1060</v>
      </c>
      <c r="F821">
        <v>8288</v>
      </c>
      <c r="G821">
        <v>193263</v>
      </c>
      <c r="H821" s="1">
        <v>46253</v>
      </c>
      <c r="I821" t="str">
        <v>TRAVELERRECEIVED</v>
      </c>
      <c r="K821" t="str">
        <v>Shipped</v>
      </c>
      <c r="L821">
        <v>30010</v>
      </c>
    </row>
    <row r="822">
      <c r="A822">
        <v>716310</v>
      </c>
      <c r="B822" t="str">
        <v>06513399AA</v>
      </c>
      <c r="C822">
        <v>1072</v>
      </c>
      <c r="E822">
        <v>1183</v>
      </c>
      <c r="F822">
        <v>9249</v>
      </c>
      <c r="G822">
        <v>193263</v>
      </c>
      <c r="H822" s="1">
        <v>46253</v>
      </c>
      <c r="I822" t="str">
        <v>TRAVELERRECEIVED</v>
      </c>
      <c r="K822" t="str">
        <v>Shipped</v>
      </c>
      <c r="L822">
        <v>30010</v>
      </c>
    </row>
    <row r="823">
      <c r="A823">
        <v>716751</v>
      </c>
      <c r="B823" t="str">
        <v>06513399AA</v>
      </c>
      <c r="C823">
        <v>445</v>
      </c>
      <c r="E823">
        <v>1040</v>
      </c>
      <c r="F823">
        <v>8131</v>
      </c>
      <c r="G823">
        <v>193263</v>
      </c>
      <c r="H823" s="1">
        <v>46253</v>
      </c>
      <c r="I823" t="str">
        <v>TRAVELERRECEIVED</v>
      </c>
      <c r="K823" t="str">
        <v>Shipped</v>
      </c>
      <c r="L823">
        <v>30026</v>
      </c>
    </row>
    <row r="824">
      <c r="A824">
        <v>716752</v>
      </c>
      <c r="B824" t="str">
        <v>06513399AA</v>
      </c>
      <c r="C824">
        <v>1763</v>
      </c>
      <c r="E824">
        <v>1200</v>
      </c>
      <c r="F824">
        <v>9382</v>
      </c>
      <c r="G824">
        <v>193263</v>
      </c>
      <c r="H824" s="1">
        <v>46253</v>
      </c>
      <c r="I824" t="str">
        <v>TRAVELERRECEIVED</v>
      </c>
      <c r="K824" t="str">
        <v>Shipped</v>
      </c>
      <c r="L824">
        <v>30010</v>
      </c>
    </row>
    <row r="825">
      <c r="A825">
        <v>716753</v>
      </c>
      <c r="B825" t="str">
        <v>06513399AA</v>
      </c>
      <c r="C825">
        <v>349</v>
      </c>
      <c r="E825">
        <v>760</v>
      </c>
      <c r="F825">
        <v>5942</v>
      </c>
      <c r="G825">
        <v>193263</v>
      </c>
      <c r="H825" s="1">
        <v>46253</v>
      </c>
      <c r="I825" t="str">
        <v>TRAVELERRECEIVED</v>
      </c>
      <c r="K825" t="str">
        <v>Shipped</v>
      </c>
      <c r="L825">
        <v>30013</v>
      </c>
    </row>
    <row r="826">
      <c r="A826">
        <v>716754</v>
      </c>
      <c r="B826" t="str">
        <v>06513399AA</v>
      </c>
      <c r="C826">
        <v>358</v>
      </c>
      <c r="E826">
        <v>1075</v>
      </c>
      <c r="F826">
        <v>8405</v>
      </c>
      <c r="G826">
        <v>193263</v>
      </c>
      <c r="H826" s="1">
        <v>46253</v>
      </c>
      <c r="I826" t="str">
        <v>TRAVELERRECEIVED</v>
      </c>
      <c r="K826" t="str">
        <v>Shipped</v>
      </c>
      <c r="L826">
        <v>30026</v>
      </c>
    </row>
    <row r="827">
      <c r="A827">
        <v>716756</v>
      </c>
      <c r="B827" t="str">
        <v>06513399AA</v>
      </c>
      <c r="C827">
        <v>686</v>
      </c>
      <c r="E827">
        <v>1023</v>
      </c>
      <c r="F827">
        <v>7998</v>
      </c>
      <c r="G827">
        <v>193263</v>
      </c>
      <c r="H827" s="1">
        <v>46253</v>
      </c>
      <c r="I827" t="str">
        <v>TRAVELERRECEIVED</v>
      </c>
      <c r="K827" t="str">
        <v>Shipped</v>
      </c>
      <c r="L827">
        <v>30026</v>
      </c>
    </row>
    <row r="828">
      <c r="A828">
        <v>716969</v>
      </c>
      <c r="B828">
        <v>11548535</v>
      </c>
      <c r="C828">
        <v>241</v>
      </c>
      <c r="E828">
        <v>1142</v>
      </c>
      <c r="F828">
        <v>5710</v>
      </c>
      <c r="G828">
        <v>193263</v>
      </c>
      <c r="H828" s="1">
        <v>46253</v>
      </c>
      <c r="I828" t="str">
        <v>SORT&amp;RETURN</v>
      </c>
      <c r="K828" t="str">
        <v>Shipped</v>
      </c>
      <c r="L828">
        <v>30011</v>
      </c>
    </row>
    <row r="829">
      <c r="A829">
        <v>716970</v>
      </c>
      <c r="B829">
        <v>11548535</v>
      </c>
      <c r="C829">
        <v>588</v>
      </c>
      <c r="E829">
        <v>1100</v>
      </c>
      <c r="F829">
        <v>5500</v>
      </c>
      <c r="G829">
        <v>193263</v>
      </c>
      <c r="H829" s="1">
        <v>46253</v>
      </c>
      <c r="I829" t="str">
        <v>SORT&amp;RETURN</v>
      </c>
      <c r="K829" t="str">
        <v>Shipped</v>
      </c>
      <c r="L829">
        <v>30011</v>
      </c>
    </row>
    <row r="830">
      <c r="A830">
        <v>717083</v>
      </c>
      <c r="B830">
        <v>11588714</v>
      </c>
      <c r="C830" t="str">
        <v>KIB</v>
      </c>
      <c r="E830">
        <v>1547</v>
      </c>
      <c r="F830">
        <v>70000</v>
      </c>
      <c r="G830">
        <v>193263</v>
      </c>
      <c r="H830" s="1">
        <v>46253</v>
      </c>
      <c r="I830" t="str">
        <v>TRAVELERRECEIVED</v>
      </c>
      <c r="K830" t="str">
        <v>Shipped</v>
      </c>
      <c r="L830">
        <v>30026</v>
      </c>
    </row>
    <row r="831">
      <c r="A831">
        <v>717084</v>
      </c>
      <c r="B831">
        <v>11588714</v>
      </c>
      <c r="C831" t="str">
        <v>KIB</v>
      </c>
      <c r="E831">
        <v>1547</v>
      </c>
      <c r="F831">
        <v>70000</v>
      </c>
      <c r="G831">
        <v>193263</v>
      </c>
      <c r="H831" s="1">
        <v>46253</v>
      </c>
      <c r="I831" t="str">
        <v>SPLIT FROM TR#717083</v>
      </c>
      <c r="K831" t="str">
        <v>Shipped</v>
      </c>
      <c r="L831">
        <v>30026</v>
      </c>
    </row>
    <row r="832">
      <c r="A832">
        <v>717085</v>
      </c>
      <c r="B832">
        <v>11588714</v>
      </c>
      <c r="C832" t="str">
        <v>KIB</v>
      </c>
      <c r="E832">
        <v>1547</v>
      </c>
      <c r="F832">
        <v>70000</v>
      </c>
      <c r="G832">
        <v>193263</v>
      </c>
      <c r="H832" s="1">
        <v>46253</v>
      </c>
      <c r="I832" t="str">
        <v>TRAVELERRECEIVED</v>
      </c>
      <c r="K832" t="str">
        <v>Shipped</v>
      </c>
      <c r="L832">
        <v>30026</v>
      </c>
    </row>
    <row r="833">
      <c r="A833">
        <v>717086</v>
      </c>
      <c r="B833">
        <v>11588714</v>
      </c>
      <c r="C833" t="str">
        <v>KIB</v>
      </c>
      <c r="E833">
        <v>1547</v>
      </c>
      <c r="F833">
        <v>70000</v>
      </c>
      <c r="G833">
        <v>193263</v>
      </c>
      <c r="H833" s="1">
        <v>46253</v>
      </c>
      <c r="I833" t="str">
        <v>SPLIT FROM TR#717085</v>
      </c>
      <c r="K833" t="str">
        <v>Shipped</v>
      </c>
      <c r="L833">
        <v>30026</v>
      </c>
    </row>
    <row r="834">
      <c r="A834">
        <v>717113</v>
      </c>
      <c r="B834">
        <v>11588714</v>
      </c>
      <c r="C834" t="str">
        <v>KIB</v>
      </c>
      <c r="E834">
        <v>1547</v>
      </c>
      <c r="F834">
        <v>70000</v>
      </c>
      <c r="G834">
        <v>193263</v>
      </c>
      <c r="H834" s="1">
        <v>46253</v>
      </c>
      <c r="I834" t="str">
        <v>TRAVELERRECEIVED</v>
      </c>
      <c r="K834" t="str">
        <v>Shipped</v>
      </c>
      <c r="L834">
        <v>30018</v>
      </c>
    </row>
    <row r="835">
      <c r="A835">
        <v>717114</v>
      </c>
      <c r="B835">
        <v>11588714</v>
      </c>
      <c r="C835" t="str">
        <v>KIB</v>
      </c>
      <c r="E835">
        <v>1547</v>
      </c>
      <c r="F835">
        <v>70000</v>
      </c>
      <c r="G835">
        <v>193263</v>
      </c>
      <c r="H835" s="1">
        <v>46253</v>
      </c>
      <c r="I835" t="str">
        <v>SPLIT FROM TR#717113</v>
      </c>
      <c r="J835" t="str">
        <v>DONE</v>
      </c>
      <c r="K835">
        <f>IF(ISERROR(MATCH(WORKORDER[[#This Row],[TRAVELER]],Table1[TRAVELER],0)),K835,"Shipped")</f>
        <v>0</v>
      </c>
      <c r="L835">
        <f>+IF(ISERROR(MATCH(WORKORDER[[#This Row],[TRAVELER]],Table1[TRAVELER],0)),L835,'PACKING SLIP'!$F$5)</f>
        <v>0</v>
      </c>
    </row>
    <row r="836">
      <c r="A836">
        <v>717115</v>
      </c>
      <c r="B836">
        <v>11588714</v>
      </c>
      <c r="C836" t="str">
        <v>KIB</v>
      </c>
      <c r="E836">
        <v>1547</v>
      </c>
      <c r="F836">
        <v>70000</v>
      </c>
      <c r="G836">
        <v>193263</v>
      </c>
      <c r="H836" s="1">
        <v>46253</v>
      </c>
      <c r="I836" t="str">
        <v>TRAVELERRECEIVED</v>
      </c>
      <c r="K836" t="str">
        <v>Shipped</v>
      </c>
      <c r="L836">
        <v>30026</v>
      </c>
    </row>
    <row r="837">
      <c r="A837">
        <v>717116</v>
      </c>
      <c r="B837">
        <v>11588714</v>
      </c>
      <c r="C837" t="str">
        <v>KIB</v>
      </c>
      <c r="E837">
        <v>1547</v>
      </c>
      <c r="F837">
        <v>70000</v>
      </c>
      <c r="G837">
        <v>193263</v>
      </c>
      <c r="H837" s="1">
        <v>46253</v>
      </c>
      <c r="I837" t="str">
        <v>SPLIT FROM TR#717115</v>
      </c>
      <c r="K837" t="str">
        <v>Shipped</v>
      </c>
      <c r="L837">
        <v>30026</v>
      </c>
    </row>
    <row r="838">
      <c r="A838">
        <v>713267</v>
      </c>
      <c r="B838" t="str">
        <v>W711468-S437</v>
      </c>
      <c r="C838">
        <v>298</v>
      </c>
      <c r="E838">
        <v>750</v>
      </c>
      <c r="F838">
        <v>43353</v>
      </c>
      <c r="G838">
        <v>193267</v>
      </c>
      <c r="H838" s="1">
        <v>46253</v>
      </c>
      <c r="K838" t="str">
        <v>Shipped</v>
      </c>
      <c r="L838">
        <v>30024</v>
      </c>
    </row>
    <row r="839">
      <c r="A839">
        <v>713508</v>
      </c>
      <c r="B839">
        <v>11548535</v>
      </c>
      <c r="C839">
        <v>1798</v>
      </c>
      <c r="E839">
        <v>1130</v>
      </c>
      <c r="F839">
        <v>5650</v>
      </c>
      <c r="G839">
        <v>193267</v>
      </c>
      <c r="H839" s="1">
        <v>46253</v>
      </c>
      <c r="I839" t="str">
        <v>6-230-01-A</v>
      </c>
      <c r="K839" t="str">
        <v>Shipped</v>
      </c>
      <c r="L839">
        <v>30008</v>
      </c>
    </row>
    <row r="840">
      <c r="A840">
        <v>713582</v>
      </c>
      <c r="B840">
        <v>11546774</v>
      </c>
      <c r="C840">
        <v>865</v>
      </c>
      <c r="E840">
        <v>1007</v>
      </c>
      <c r="F840">
        <v>12927</v>
      </c>
      <c r="G840">
        <v>193267</v>
      </c>
      <c r="H840" s="1">
        <v>46253</v>
      </c>
      <c r="I840" t="str">
        <v>6-230-33-A</v>
      </c>
      <c r="K840" t="str">
        <v>Shipped</v>
      </c>
      <c r="L840">
        <v>30010</v>
      </c>
    </row>
    <row r="841">
      <c r="A841">
        <v>713584</v>
      </c>
      <c r="B841">
        <v>11546774</v>
      </c>
      <c r="C841">
        <v>1045</v>
      </c>
      <c r="E841">
        <v>908</v>
      </c>
      <c r="F841">
        <v>11656</v>
      </c>
      <c r="G841">
        <v>193267</v>
      </c>
      <c r="H841" s="1">
        <v>46253</v>
      </c>
      <c r="I841" t="str">
        <v>6-230-33-B</v>
      </c>
      <c r="J841" t="str">
        <v>DONE</v>
      </c>
      <c r="K841" t="str">
        <v>Shipped</v>
      </c>
      <c r="L841">
        <v>30037</v>
      </c>
    </row>
    <row r="842">
      <c r="A842">
        <v>713858</v>
      </c>
      <c r="B842">
        <v>11546703</v>
      </c>
      <c r="C842">
        <v>422</v>
      </c>
      <c r="E842">
        <v>1115</v>
      </c>
      <c r="F842">
        <v>137654</v>
      </c>
      <c r="G842">
        <v>193267</v>
      </c>
      <c r="H842" s="1">
        <v>46253</v>
      </c>
      <c r="I842" t="str">
        <v>6-229-04-A</v>
      </c>
      <c r="K842" t="str">
        <v>Shipped</v>
      </c>
      <c r="L842">
        <v>30013</v>
      </c>
    </row>
    <row r="843">
      <c r="A843">
        <v>713859</v>
      </c>
      <c r="B843">
        <v>11546703</v>
      </c>
      <c r="C843">
        <v>55</v>
      </c>
      <c r="E843">
        <v>894</v>
      </c>
      <c r="F843">
        <v>110370</v>
      </c>
      <c r="G843">
        <v>193267</v>
      </c>
      <c r="H843" s="1">
        <v>46253</v>
      </c>
      <c r="I843" t="str">
        <v>6-229-04-B</v>
      </c>
      <c r="K843" t="str">
        <v>Shipped</v>
      </c>
      <c r="L843">
        <v>30013</v>
      </c>
    </row>
    <row r="844">
      <c r="A844">
        <v>714058</v>
      </c>
      <c r="B844" t="str">
        <v>11612078-B</v>
      </c>
      <c r="C844">
        <v>226</v>
      </c>
      <c r="E844">
        <v>1443</v>
      </c>
      <c r="F844">
        <v>82000</v>
      </c>
      <c r="G844">
        <v>193267</v>
      </c>
      <c r="H844" s="1">
        <v>46253</v>
      </c>
      <c r="I844" t="str">
        <v>SORT&amp;RETURN</v>
      </c>
      <c r="K844" t="str">
        <v>Shipped</v>
      </c>
      <c r="L844">
        <v>30011</v>
      </c>
    </row>
    <row r="845">
      <c r="A845">
        <v>714085</v>
      </c>
      <c r="B845" t="str">
        <v>W711468-S437</v>
      </c>
      <c r="C845">
        <v>620</v>
      </c>
      <c r="E845">
        <v>783</v>
      </c>
      <c r="F845">
        <v>45260</v>
      </c>
      <c r="G845">
        <v>193267</v>
      </c>
      <c r="H845" s="1">
        <v>46253</v>
      </c>
      <c r="I845" t="str">
        <v>6-226-26-B</v>
      </c>
      <c r="K845" t="str">
        <v>Shipped</v>
      </c>
      <c r="L845">
        <v>30013</v>
      </c>
    </row>
    <row r="846">
      <c r="A846">
        <v>714420</v>
      </c>
      <c r="B846">
        <v>11546703</v>
      </c>
      <c r="C846">
        <v>1324</v>
      </c>
      <c r="E846">
        <v>920</v>
      </c>
      <c r="F846">
        <v>113580</v>
      </c>
      <c r="G846">
        <v>193267</v>
      </c>
      <c r="H846" s="1">
        <v>46253</v>
      </c>
      <c r="I846" t="str">
        <v>6-229-03-A</v>
      </c>
      <c r="K846" t="str">
        <v>Shipped</v>
      </c>
      <c r="L846">
        <v>30013</v>
      </c>
    </row>
    <row r="847">
      <c r="A847">
        <v>714422</v>
      </c>
      <c r="B847">
        <v>11546703</v>
      </c>
      <c r="C847">
        <v>542</v>
      </c>
      <c r="E847">
        <v>1051</v>
      </c>
      <c r="F847">
        <v>129753</v>
      </c>
      <c r="G847">
        <v>193267</v>
      </c>
      <c r="H847" s="1">
        <v>46253</v>
      </c>
      <c r="I847" t="str">
        <v>6-229-03-B</v>
      </c>
      <c r="K847" t="str">
        <v>Shipped</v>
      </c>
      <c r="L847">
        <v>30013</v>
      </c>
    </row>
    <row r="848">
      <c r="A848">
        <v>714653</v>
      </c>
      <c r="B848" t="str">
        <v>11546774-MY-AK</v>
      </c>
      <c r="C848">
        <v>152</v>
      </c>
      <c r="E848">
        <v>1062</v>
      </c>
      <c r="F848">
        <v>14709</v>
      </c>
      <c r="G848">
        <v>193267</v>
      </c>
      <c r="H848" s="1">
        <v>46253</v>
      </c>
      <c r="I848" t="str">
        <v>6-230-31-H</v>
      </c>
      <c r="K848" t="str">
        <v>Shipped</v>
      </c>
      <c r="L848">
        <v>30026</v>
      </c>
    </row>
    <row r="849">
      <c r="A849">
        <v>714657</v>
      </c>
      <c r="B849" t="str">
        <v>11546774-MY-AK</v>
      </c>
      <c r="C849">
        <v>652</v>
      </c>
      <c r="D849" t="str">
        <v>TB</v>
      </c>
      <c r="E849">
        <v>931</v>
      </c>
      <c r="F849">
        <v>12895</v>
      </c>
      <c r="G849">
        <v>193267</v>
      </c>
      <c r="H849" s="1">
        <v>46253</v>
      </c>
      <c r="I849" t="str">
        <v>6-230-31-J</v>
      </c>
      <c r="J849" t="str">
        <v>DONE</v>
      </c>
      <c r="K849" t="str">
        <v>Shipped</v>
      </c>
      <c r="L849">
        <v>30037</v>
      </c>
    </row>
    <row r="850">
      <c r="A850">
        <v>714691</v>
      </c>
      <c r="B850" t="str">
        <v>W520101-S450</v>
      </c>
      <c r="C850">
        <v>585</v>
      </c>
      <c r="E850">
        <v>989</v>
      </c>
      <c r="F850">
        <v>112386</v>
      </c>
      <c r="G850">
        <v>193267</v>
      </c>
      <c r="H850" s="1">
        <v>46253</v>
      </c>
      <c r="I850" t="str">
        <v>6-226-15-B</v>
      </c>
      <c r="K850" t="str">
        <v>Shipped</v>
      </c>
      <c r="L850">
        <v>30024</v>
      </c>
    </row>
    <row r="851">
      <c r="A851">
        <v>714693</v>
      </c>
      <c r="B851" t="str">
        <v>W520101-S442</v>
      </c>
      <c r="C851">
        <v>147</v>
      </c>
      <c r="E851">
        <v>1066</v>
      </c>
      <c r="F851">
        <v>121136</v>
      </c>
      <c r="G851">
        <v>193267</v>
      </c>
      <c r="H851" s="1">
        <v>46253</v>
      </c>
      <c r="I851" t="str">
        <v>6-226-13-A</v>
      </c>
      <c r="J851" t="str">
        <v>DONE</v>
      </c>
      <c r="K851">
        <f>IF(ISERROR(MATCH(WORKORDER[[#This Row],[TRAVELER]],Table1[TRAVELER],0)),K851,"Shipped")</f>
        <v>0</v>
      </c>
      <c r="L851">
        <f>+IF(ISERROR(MATCH(WORKORDER[[#This Row],[TRAVELER]],Table1[TRAVELER],0)),L851,'PACKING SLIP'!$F$5)</f>
        <v>0</v>
      </c>
    </row>
    <row r="852">
      <c r="A852">
        <v>714694</v>
      </c>
      <c r="B852" t="str">
        <v>W520101-S442</v>
      </c>
      <c r="C852">
        <v>650</v>
      </c>
      <c r="E852">
        <v>1100</v>
      </c>
      <c r="F852">
        <v>125000</v>
      </c>
      <c r="G852">
        <v>193267</v>
      </c>
      <c r="H852" s="1">
        <v>46253</v>
      </c>
      <c r="I852" t="str">
        <v>6-226-14-A</v>
      </c>
      <c r="K852" t="str">
        <v>Shipped</v>
      </c>
      <c r="L852">
        <v>30018</v>
      </c>
    </row>
    <row r="853">
      <c r="A853">
        <v>714695</v>
      </c>
      <c r="B853" t="str">
        <v>W520101-S442</v>
      </c>
      <c r="C853">
        <v>498</v>
      </c>
      <c r="E853">
        <v>1100</v>
      </c>
      <c r="F853">
        <v>125000</v>
      </c>
      <c r="G853">
        <v>193267</v>
      </c>
      <c r="H853" s="1">
        <v>46253</v>
      </c>
      <c r="I853" t="str">
        <v>6-226-14-B</v>
      </c>
      <c r="K853" t="str">
        <v>Shipped</v>
      </c>
      <c r="L853">
        <v>30013</v>
      </c>
    </row>
    <row r="854">
      <c r="A854">
        <v>714698</v>
      </c>
      <c r="B854" t="str">
        <v>W520101-S437</v>
      </c>
      <c r="C854">
        <v>188</v>
      </c>
      <c r="D854" t="str">
        <v>TB</v>
      </c>
      <c r="E854">
        <v>1138</v>
      </c>
      <c r="F854">
        <v>129318</v>
      </c>
      <c r="G854">
        <v>193267</v>
      </c>
      <c r="H854" s="1">
        <v>46253</v>
      </c>
      <c r="I854" t="str">
        <v>6-224-29-A</v>
      </c>
      <c r="K854" t="str">
        <v>Shipped</v>
      </c>
      <c r="L854">
        <v>30031</v>
      </c>
    </row>
    <row r="855">
      <c r="A855">
        <v>715796</v>
      </c>
      <c r="B855">
        <v>11610128</v>
      </c>
      <c r="C855">
        <v>1330</v>
      </c>
      <c r="E855">
        <v>832</v>
      </c>
      <c r="F855">
        <v>29714</v>
      </c>
      <c r="G855">
        <v>193267</v>
      </c>
      <c r="H855" s="1">
        <v>46253</v>
      </c>
      <c r="I855" t="str">
        <v>6-224-05-A</v>
      </c>
      <c r="K855" t="str">
        <v>Shipped</v>
      </c>
      <c r="L855">
        <v>30026</v>
      </c>
    </row>
    <row r="856">
      <c r="A856">
        <v>715797</v>
      </c>
      <c r="B856">
        <v>11610128</v>
      </c>
      <c r="C856">
        <v>670</v>
      </c>
      <c r="E856">
        <v>902</v>
      </c>
      <c r="F856">
        <v>32214</v>
      </c>
      <c r="G856">
        <v>193267</v>
      </c>
      <c r="H856" s="1">
        <v>46253</v>
      </c>
      <c r="I856" t="str">
        <v>6-224-05-B</v>
      </c>
      <c r="K856" t="str">
        <v>Shipped</v>
      </c>
      <c r="L856">
        <v>30010</v>
      </c>
    </row>
    <row r="857">
      <c r="A857">
        <v>716002</v>
      </c>
      <c r="B857">
        <v>11546571</v>
      </c>
      <c r="C857">
        <v>87</v>
      </c>
      <c r="E857">
        <v>942</v>
      </c>
      <c r="F857">
        <v>56407</v>
      </c>
      <c r="G857">
        <v>193267</v>
      </c>
      <c r="H857" s="1">
        <v>46253</v>
      </c>
      <c r="I857" t="str">
        <v>6-223-14-C</v>
      </c>
      <c r="K857" t="str">
        <v>Shipped</v>
      </c>
      <c r="L857">
        <v>30010</v>
      </c>
    </row>
    <row r="858">
      <c r="A858">
        <v>716006</v>
      </c>
      <c r="B858" t="str">
        <v>06503825-A</v>
      </c>
      <c r="C858">
        <v>495</v>
      </c>
      <c r="E858">
        <v>757</v>
      </c>
      <c r="F858">
        <v>58231</v>
      </c>
      <c r="G858">
        <v>193267</v>
      </c>
      <c r="H858" s="1">
        <v>46253</v>
      </c>
      <c r="I858" t="str">
        <v>6-229-54-C</v>
      </c>
      <c r="K858" t="str">
        <v>Shipped</v>
      </c>
      <c r="L858">
        <v>30008</v>
      </c>
    </row>
    <row r="859">
      <c r="A859">
        <v>716007</v>
      </c>
      <c r="B859" t="str">
        <v>06503825-A</v>
      </c>
      <c r="C859">
        <v>1501</v>
      </c>
      <c r="E859">
        <v>717</v>
      </c>
      <c r="F859">
        <v>55154</v>
      </c>
      <c r="G859">
        <v>193267</v>
      </c>
      <c r="H859" s="1">
        <v>46253</v>
      </c>
      <c r="I859" t="str">
        <v>6-229-54-D</v>
      </c>
      <c r="K859" t="str">
        <v>Shipped</v>
      </c>
      <c r="L859">
        <v>30008</v>
      </c>
    </row>
    <row r="860">
      <c r="A860">
        <v>716010</v>
      </c>
      <c r="B860" t="str">
        <v>06512834AA</v>
      </c>
      <c r="C860">
        <v>1504</v>
      </c>
      <c r="E860">
        <v>966</v>
      </c>
      <c r="F860">
        <v>9545</v>
      </c>
      <c r="G860">
        <v>193267</v>
      </c>
      <c r="H860" s="1">
        <v>46253</v>
      </c>
      <c r="I860" t="str">
        <v>6-229-60-A</v>
      </c>
      <c r="K860" t="str">
        <v>Shipped</v>
      </c>
      <c r="L860">
        <v>30010</v>
      </c>
    </row>
    <row r="861">
      <c r="A861">
        <v>716011</v>
      </c>
      <c r="B861" t="str">
        <v>06512834AA</v>
      </c>
      <c r="C861">
        <v>1016</v>
      </c>
      <c r="E861">
        <v>767</v>
      </c>
      <c r="F861">
        <v>7579</v>
      </c>
      <c r="G861">
        <v>193267</v>
      </c>
      <c r="H861" s="1">
        <v>46253</v>
      </c>
      <c r="I861" t="str">
        <v>6-229-60-B</v>
      </c>
      <c r="K861" t="str">
        <v>Shipped</v>
      </c>
      <c r="L861">
        <v>30013</v>
      </c>
    </row>
    <row r="862">
      <c r="A862">
        <v>716020</v>
      </c>
      <c r="B862" t="str">
        <v>06105051AA</v>
      </c>
      <c r="C862">
        <v>292</v>
      </c>
      <c r="E862">
        <v>818</v>
      </c>
      <c r="F862">
        <v>17479</v>
      </c>
      <c r="G862">
        <v>193267</v>
      </c>
      <c r="H862" s="1">
        <v>46253</v>
      </c>
      <c r="I862" t="str">
        <v>6-229-59-A</v>
      </c>
      <c r="K862" t="str">
        <v>Shipped</v>
      </c>
      <c r="L862">
        <v>30013</v>
      </c>
    </row>
    <row r="863">
      <c r="A863">
        <v>716021</v>
      </c>
      <c r="B863" t="str">
        <v>06105051AA</v>
      </c>
      <c r="C863">
        <v>1002</v>
      </c>
      <c r="E863">
        <v>680</v>
      </c>
      <c r="F863">
        <v>14530</v>
      </c>
      <c r="G863">
        <v>193267</v>
      </c>
      <c r="H863" s="1">
        <v>46253</v>
      </c>
      <c r="I863" t="str">
        <v>6-229-59-B</v>
      </c>
      <c r="K863" t="str">
        <v>Shipped</v>
      </c>
      <c r="L863">
        <v>30010</v>
      </c>
    </row>
    <row r="864">
      <c r="A864">
        <v>716022</v>
      </c>
      <c r="B864" t="str">
        <v>55364498AA</v>
      </c>
      <c r="C864">
        <v>984</v>
      </c>
      <c r="E864">
        <v>652</v>
      </c>
      <c r="F864">
        <v>11439</v>
      </c>
      <c r="G864">
        <v>193267</v>
      </c>
      <c r="H864" s="1">
        <v>46253</v>
      </c>
      <c r="K864" t="str">
        <v>Shipped</v>
      </c>
      <c r="L864">
        <v>30010</v>
      </c>
    </row>
    <row r="865">
      <c r="A865">
        <v>716023</v>
      </c>
      <c r="B865" t="str">
        <v>55364498AA</v>
      </c>
      <c r="C865">
        <v>1648</v>
      </c>
      <c r="E865">
        <v>743</v>
      </c>
      <c r="F865">
        <v>13035</v>
      </c>
      <c r="G865">
        <v>193267</v>
      </c>
      <c r="H865" s="1">
        <v>46253</v>
      </c>
      <c r="K865" t="str">
        <v>Shipped</v>
      </c>
      <c r="L865">
        <v>30010</v>
      </c>
    </row>
    <row r="866">
      <c r="A866">
        <v>716029</v>
      </c>
      <c r="B866" t="str">
        <v>06512732AA</v>
      </c>
      <c r="C866">
        <v>1596</v>
      </c>
      <c r="E866">
        <v>531</v>
      </c>
      <c r="F866">
        <v>13650</v>
      </c>
      <c r="G866">
        <v>193267</v>
      </c>
      <c r="H866" s="1">
        <v>46253</v>
      </c>
      <c r="I866" t="str">
        <v>6-229-58-B</v>
      </c>
      <c r="K866" t="str">
        <v>Shipped</v>
      </c>
      <c r="L866">
        <v>30013</v>
      </c>
    </row>
    <row r="867">
      <c r="A867">
        <v>716251</v>
      </c>
      <c r="B867" t="str">
        <v>NU3014-02</v>
      </c>
      <c r="C867">
        <v>167</v>
      </c>
      <c r="E867">
        <v>1106</v>
      </c>
      <c r="F867">
        <v>9955</v>
      </c>
      <c r="G867">
        <v>193267</v>
      </c>
      <c r="H867" s="1">
        <v>46253</v>
      </c>
      <c r="I867" t="str">
        <v>6-226-21-F</v>
      </c>
      <c r="K867" t="str">
        <v>Shipped</v>
      </c>
      <c r="L867">
        <v>30011</v>
      </c>
    </row>
    <row r="868">
      <c r="A868">
        <v>716252</v>
      </c>
      <c r="B868" t="str">
        <v>NU3014-02</v>
      </c>
      <c r="C868">
        <v>604</v>
      </c>
      <c r="E868">
        <v>1206</v>
      </c>
      <c r="F868">
        <v>10855</v>
      </c>
      <c r="G868">
        <v>193267</v>
      </c>
      <c r="H868" s="1">
        <v>46253</v>
      </c>
      <c r="I868" t="str">
        <v>6-224-03-A</v>
      </c>
      <c r="K868" t="str">
        <v>Shipped</v>
      </c>
      <c r="L868">
        <v>30011</v>
      </c>
    </row>
    <row r="869">
      <c r="A869">
        <v>717442</v>
      </c>
      <c r="B869" t="str">
        <v>715150010W</v>
      </c>
      <c r="C869" t="str">
        <v>34CTNS</v>
      </c>
      <c r="D869" t="str">
        <v>TB</v>
      </c>
      <c r="E869">
        <v>1309</v>
      </c>
      <c r="F869">
        <v>85000</v>
      </c>
      <c r="G869">
        <v>193267</v>
      </c>
      <c r="H869" s="1">
        <v>46253</v>
      </c>
      <c r="I869" t="str">
        <v>6-231-08-A</v>
      </c>
      <c r="K869">
        <f>IF(ISERROR(MATCH(WORKORDER[[#This Row],[TRAVELER]],Table1[TRAVELER],0)),K869,"Shipped")</f>
        <v>0</v>
      </c>
      <c r="L869">
        <f>+IF(ISERROR(MATCH(WORKORDER[[#This Row],[TRAVELER]],Table1[TRAVELER],0)),L869,'PACKING SLIP'!$F$5)</f>
        <v>0</v>
      </c>
    </row>
    <row r="870">
      <c r="A870">
        <v>714656</v>
      </c>
      <c r="B870" t="str">
        <v>11546774-MY-AK</v>
      </c>
      <c r="C870">
        <v>1099</v>
      </c>
      <c r="E870">
        <v>1025</v>
      </c>
      <c r="F870">
        <v>14197</v>
      </c>
      <c r="G870">
        <v>193295</v>
      </c>
      <c r="H870" s="1">
        <v>46253</v>
      </c>
      <c r="I870" t="str">
        <v>6-230-31-I</v>
      </c>
      <c r="K870" t="str">
        <v>Shipped</v>
      </c>
      <c r="L870">
        <v>30013</v>
      </c>
    </row>
    <row r="871">
      <c r="A871">
        <v>716009</v>
      </c>
      <c r="B871" t="str">
        <v>06503825-A</v>
      </c>
      <c r="C871">
        <v>672</v>
      </c>
      <c r="E871">
        <v>725</v>
      </c>
      <c r="F871">
        <v>55769</v>
      </c>
      <c r="G871">
        <v>193295</v>
      </c>
      <c r="H871" s="1">
        <v>46253</v>
      </c>
      <c r="I871" t="str">
        <v>6-229-54-D</v>
      </c>
      <c r="K871" t="str">
        <v>Shipped</v>
      </c>
      <c r="L871">
        <v>30013</v>
      </c>
    </row>
    <row r="872">
      <c r="A872">
        <v>716087</v>
      </c>
      <c r="B872">
        <v>94012039</v>
      </c>
      <c r="C872">
        <v>1048</v>
      </c>
      <c r="E872">
        <v>720</v>
      </c>
      <c r="F872">
        <v>57600</v>
      </c>
      <c r="G872">
        <v>193295</v>
      </c>
      <c r="H872" s="1">
        <v>46253</v>
      </c>
      <c r="I872" t="str">
        <v>6-231-14-A</v>
      </c>
      <c r="J872" t="str">
        <v>DONE</v>
      </c>
      <c r="K872" t="str">
        <v>Shipped</v>
      </c>
      <c r="L872">
        <v>30039</v>
      </c>
    </row>
    <row r="873">
      <c r="A873">
        <v>717443</v>
      </c>
      <c r="B873">
        <v>11604000</v>
      </c>
      <c r="C873" t="str">
        <v>KIB</v>
      </c>
      <c r="E873">
        <v>1515</v>
      </c>
      <c r="F873">
        <v>29700</v>
      </c>
      <c r="G873">
        <v>193295</v>
      </c>
      <c r="H873" s="1">
        <v>46253</v>
      </c>
      <c r="I873" t="str">
        <v>6-231-13-A</v>
      </c>
      <c r="K873" t="str">
        <v>Shipped</v>
      </c>
      <c r="L873">
        <v>30024</v>
      </c>
    </row>
    <row r="874">
      <c r="A874">
        <v>715962</v>
      </c>
      <c r="B874" t="str">
        <v>11546378-MY-AK</v>
      </c>
      <c r="C874">
        <v>1056</v>
      </c>
      <c r="D874" t="str">
        <v>MC/BF</v>
      </c>
      <c r="E874">
        <v>1152</v>
      </c>
      <c r="F874">
        <v>44138</v>
      </c>
      <c r="G874">
        <v>193322</v>
      </c>
      <c r="H874" s="1">
        <v>46254</v>
      </c>
      <c r="I874" t="str">
        <v>TRAVELERRECEIVED</v>
      </c>
      <c r="J874" t="str">
        <v>DONE</v>
      </c>
      <c r="K874" t="str">
        <v>Shipped</v>
      </c>
      <c r="L874">
        <v>30042</v>
      </c>
    </row>
    <row r="875">
      <c r="A875">
        <v>715963</v>
      </c>
      <c r="B875" t="str">
        <v>11546378-MY-AK</v>
      </c>
      <c r="C875">
        <v>1033</v>
      </c>
      <c r="D875" t="str">
        <v>MC/BF</v>
      </c>
      <c r="E875">
        <v>1124</v>
      </c>
      <c r="F875">
        <v>43065</v>
      </c>
      <c r="G875">
        <v>193322</v>
      </c>
      <c r="H875" s="1">
        <v>46254</v>
      </c>
      <c r="I875" t="str">
        <v>TRAVELERRECEIVED</v>
      </c>
      <c r="J875" t="str">
        <v>DONE</v>
      </c>
      <c r="K875" t="str">
        <v>Shipped</v>
      </c>
      <c r="L875">
        <v>30039</v>
      </c>
    </row>
    <row r="876">
      <c r="A876">
        <v>715964</v>
      </c>
      <c r="B876" t="str">
        <v>11546378-MY-AK</v>
      </c>
      <c r="C876">
        <v>712</v>
      </c>
      <c r="D876" t="str">
        <v>MC/BF</v>
      </c>
      <c r="E876">
        <v>1199</v>
      </c>
      <c r="F876">
        <v>45939</v>
      </c>
      <c r="G876">
        <v>193322</v>
      </c>
      <c r="H876" s="1">
        <v>46254</v>
      </c>
      <c r="I876" t="str">
        <v>TRAVELERRECEIVED</v>
      </c>
      <c r="J876" t="str">
        <v>DONE</v>
      </c>
      <c r="K876" t="str">
        <v>Shipped</v>
      </c>
      <c r="L876">
        <v>30031</v>
      </c>
    </row>
    <row r="877">
      <c r="A877">
        <v>715965</v>
      </c>
      <c r="B877" t="str">
        <v>11546378-MY-AK</v>
      </c>
      <c r="C877">
        <v>248</v>
      </c>
      <c r="D877" t="str">
        <v>MC/BF</v>
      </c>
      <c r="E877">
        <v>1087</v>
      </c>
      <c r="F877">
        <v>41648</v>
      </c>
      <c r="G877">
        <v>193322</v>
      </c>
      <c r="H877" s="1">
        <v>46254</v>
      </c>
      <c r="I877" t="str">
        <v>TRAVELERRECEIVED</v>
      </c>
      <c r="J877" t="str">
        <v>DONE</v>
      </c>
      <c r="K877">
        <f>IF(ISERROR(MATCH(WORKORDER[[#This Row],[TRAVELER]],Table1[TRAVELER],0)),K877,"Shipped")</f>
        <v>0</v>
      </c>
      <c r="L877">
        <f>+IF(ISERROR(MATCH(WORKORDER[[#This Row],[TRAVELER]],Table1[TRAVELER],0)),L877,'PACKING SLIP'!$F$5)</f>
        <v>0</v>
      </c>
    </row>
    <row r="878">
      <c r="A878">
        <v>716132</v>
      </c>
      <c r="B878" t="str">
        <v>11546367-MY-AK</v>
      </c>
      <c r="C878">
        <v>158</v>
      </c>
      <c r="E878">
        <v>1155</v>
      </c>
      <c r="F878">
        <v>24839</v>
      </c>
      <c r="G878">
        <v>193322</v>
      </c>
      <c r="H878" s="1">
        <v>46254</v>
      </c>
      <c r="I878" t="str">
        <v>TRAVELERRECEIVED</v>
      </c>
      <c r="K878" t="str">
        <v>Shipped</v>
      </c>
      <c r="L878">
        <v>30026</v>
      </c>
    </row>
    <row r="879">
      <c r="A879">
        <v>716133</v>
      </c>
      <c r="B879" t="str">
        <v>11546367-MY-AK</v>
      </c>
      <c r="C879">
        <v>722</v>
      </c>
      <c r="E879">
        <v>1150</v>
      </c>
      <c r="F879">
        <v>24731</v>
      </c>
      <c r="G879">
        <v>193322</v>
      </c>
      <c r="H879" s="1">
        <v>46254</v>
      </c>
      <c r="I879" t="str">
        <v>TRAVELERRECEIVED</v>
      </c>
      <c r="K879" t="str">
        <v>Shipped</v>
      </c>
      <c r="L879">
        <v>30024</v>
      </c>
    </row>
    <row r="880">
      <c r="A880">
        <v>716134</v>
      </c>
      <c r="B880" t="str">
        <v>11546367-MY-AK</v>
      </c>
      <c r="C880">
        <v>1031</v>
      </c>
      <c r="E880">
        <v>1107</v>
      </c>
      <c r="F880">
        <v>23806</v>
      </c>
      <c r="G880">
        <v>193322</v>
      </c>
      <c r="H880" s="1">
        <v>46254</v>
      </c>
      <c r="I880" t="str">
        <v>TRAVELERRECEIVED</v>
      </c>
      <c r="K880" t="str">
        <v>Shipped</v>
      </c>
      <c r="L880">
        <v>30024</v>
      </c>
    </row>
    <row r="881">
      <c r="A881">
        <v>716135</v>
      </c>
      <c r="B881" t="str">
        <v>11546367-MY-AK</v>
      </c>
      <c r="C881">
        <v>439</v>
      </c>
      <c r="D881" t="str">
        <v>MC/BF</v>
      </c>
      <c r="E881">
        <v>1178</v>
      </c>
      <c r="F881">
        <v>25333</v>
      </c>
      <c r="G881">
        <v>193322</v>
      </c>
      <c r="H881" s="1">
        <v>46254</v>
      </c>
      <c r="I881" t="str">
        <v>TRAVELERRECEIVED</v>
      </c>
      <c r="J881" t="str">
        <v>DONE</v>
      </c>
      <c r="K881" t="str">
        <v>Shipped</v>
      </c>
      <c r="L881">
        <v>30044</v>
      </c>
    </row>
    <row r="882">
      <c r="A882">
        <v>716138</v>
      </c>
      <c r="B882" t="str">
        <v>11546367-MY-AK</v>
      </c>
      <c r="C882">
        <v>101</v>
      </c>
      <c r="D882" t="str">
        <v>MC/BF</v>
      </c>
      <c r="E882">
        <v>1150</v>
      </c>
      <c r="F882">
        <v>24731</v>
      </c>
      <c r="G882">
        <v>193322</v>
      </c>
      <c r="H882" s="1">
        <v>46254</v>
      </c>
      <c r="I882" t="str">
        <v>TRAVELERRECEIVED</v>
      </c>
      <c r="K882" t="str">
        <v>Shipped</v>
      </c>
      <c r="L882">
        <v>30030</v>
      </c>
    </row>
    <row r="883">
      <c r="A883">
        <v>716139</v>
      </c>
      <c r="B883" t="str">
        <v>11546367-MY-AK</v>
      </c>
      <c r="C883">
        <v>432</v>
      </c>
      <c r="D883" t="str">
        <v>MC/BF</v>
      </c>
      <c r="E883">
        <v>1142</v>
      </c>
      <c r="F883">
        <v>24559</v>
      </c>
      <c r="G883">
        <v>193322</v>
      </c>
      <c r="H883" s="1">
        <v>46254</v>
      </c>
      <c r="I883" t="str">
        <v>TRAVELERRECEIVED</v>
      </c>
      <c r="J883" t="str">
        <v>DONE</v>
      </c>
      <c r="K883" t="str">
        <v>Shipped</v>
      </c>
      <c r="L883">
        <v>30069</v>
      </c>
    </row>
    <row r="884">
      <c r="A884">
        <v>716375</v>
      </c>
      <c r="B884" t="str">
        <v>11546367-MY-AK</v>
      </c>
      <c r="C884">
        <v>1595</v>
      </c>
      <c r="D884" t="str">
        <v>MC/BF</v>
      </c>
      <c r="E884">
        <v>1136</v>
      </c>
      <c r="F884">
        <v>24430</v>
      </c>
      <c r="G884">
        <v>193322</v>
      </c>
      <c r="H884" s="1">
        <v>46254</v>
      </c>
      <c r="I884" t="str">
        <v>TRAVELERRECEIVED</v>
      </c>
      <c r="J884" t="str">
        <v>DONE</v>
      </c>
      <c r="K884" t="str">
        <v>Shipped</v>
      </c>
      <c r="L884">
        <v>30037</v>
      </c>
    </row>
    <row r="885">
      <c r="A885">
        <v>716376</v>
      </c>
      <c r="B885" t="str">
        <v>11546367-MY-AK</v>
      </c>
      <c r="C885">
        <v>637</v>
      </c>
      <c r="D885" t="str">
        <v>MC/BF</v>
      </c>
      <c r="E885">
        <v>1167</v>
      </c>
      <c r="F885">
        <v>25097</v>
      </c>
      <c r="G885">
        <v>193322</v>
      </c>
      <c r="H885" s="1">
        <v>46254</v>
      </c>
      <c r="I885" t="str">
        <v>TRAVELERRECEIVED</v>
      </c>
      <c r="J885" t="str">
        <v>DONE</v>
      </c>
      <c r="K885" t="str">
        <v>Shipped</v>
      </c>
      <c r="L885">
        <v>30037</v>
      </c>
    </row>
    <row r="886">
      <c r="A886">
        <v>716377</v>
      </c>
      <c r="B886" t="str">
        <v>11546367-MY-AK</v>
      </c>
      <c r="C886">
        <v>7</v>
      </c>
      <c r="D886" t="str">
        <v>MC/BF</v>
      </c>
      <c r="E886">
        <v>1224</v>
      </c>
      <c r="F886">
        <v>26323</v>
      </c>
      <c r="G886">
        <v>193322</v>
      </c>
      <c r="H886" s="1">
        <v>46254</v>
      </c>
      <c r="I886" t="str">
        <v>TRAVELERRECEIVED</v>
      </c>
      <c r="J886" t="str">
        <v>DONE</v>
      </c>
      <c r="K886" t="str">
        <f>IF(ISERROR(MATCH(WORKORDER[[#This Row],[TRAVELER]],Table1[TRAVELER],0)),K886,"Shipped")</f>
        <v>Shipped</v>
      </c>
      <c r="L886">
        <f>+IF(ISERROR(MATCH(WORKORDER[[#This Row],[TRAVELER]],Table1[TRAVELER],0)),L886,'PACKING SLIP'!$F$5)</f>
        <v>30069</v>
      </c>
    </row>
    <row r="887">
      <c r="A887">
        <v>716378</v>
      </c>
      <c r="B887" t="str">
        <v>11546367-MY-AK</v>
      </c>
      <c r="C887">
        <v>1512</v>
      </c>
      <c r="D887" t="str">
        <v>MC/BF</v>
      </c>
      <c r="E887">
        <v>1058</v>
      </c>
      <c r="F887">
        <v>22753</v>
      </c>
      <c r="G887">
        <v>193322</v>
      </c>
      <c r="H887" s="1">
        <v>46254</v>
      </c>
      <c r="I887" t="str">
        <v>TRAVELERRECEIVED</v>
      </c>
      <c r="J887" t="str">
        <v>DONE</v>
      </c>
      <c r="K887" t="str">
        <v>Shipped</v>
      </c>
      <c r="L887">
        <v>30031</v>
      </c>
    </row>
    <row r="888">
      <c r="A888">
        <v>716381</v>
      </c>
      <c r="B888" t="str">
        <v>11546367-MY-AK</v>
      </c>
      <c r="C888">
        <v>1525</v>
      </c>
      <c r="D888" t="str">
        <v>MC/BF</v>
      </c>
      <c r="E888">
        <v>1163</v>
      </c>
      <c r="F888">
        <v>25011</v>
      </c>
      <c r="G888">
        <v>193322</v>
      </c>
      <c r="H888" s="1">
        <v>46254</v>
      </c>
      <c r="I888" t="str">
        <v>TRAVELERRECEIVED</v>
      </c>
      <c r="J888" t="str">
        <v>DONE</v>
      </c>
      <c r="K888">
        <f>IF(ISERROR(MATCH(WORKORDER[[#This Row],[TRAVELER]],Table1[TRAVELER],0)),K888,"Shipped")</f>
        <v>0</v>
      </c>
      <c r="L888">
        <f>+IF(ISERROR(MATCH(WORKORDER[[#This Row],[TRAVELER]],Table1[TRAVELER],0)),L888,'PACKING SLIP'!$F$5)</f>
        <v>0</v>
      </c>
    </row>
    <row r="889">
      <c r="A889">
        <v>716382</v>
      </c>
      <c r="B889" t="str">
        <v>11546367-MY-AK</v>
      </c>
      <c r="C889">
        <v>365</v>
      </c>
      <c r="E889">
        <v>1163</v>
      </c>
      <c r="F889">
        <v>25011</v>
      </c>
      <c r="G889">
        <v>193322</v>
      </c>
      <c r="H889" s="1">
        <v>46254</v>
      </c>
      <c r="I889" t="str">
        <v>TRAVELERRECEIVED</v>
      </c>
      <c r="K889" t="str">
        <v>Shipped</v>
      </c>
      <c r="L889">
        <v>30024</v>
      </c>
    </row>
    <row r="890">
      <c r="A890">
        <v>716849</v>
      </c>
      <c r="B890" t="str">
        <v>W20-1028-020SL</v>
      </c>
      <c r="C890">
        <v>193</v>
      </c>
      <c r="E890">
        <v>1010</v>
      </c>
      <c r="F890">
        <v>7394</v>
      </c>
      <c r="G890">
        <v>193322</v>
      </c>
      <c r="H890" s="1">
        <v>46254</v>
      </c>
      <c r="K890" t="str">
        <v>Shipped</v>
      </c>
      <c r="L890">
        <v>30011</v>
      </c>
    </row>
    <row r="891">
      <c r="A891">
        <v>716850</v>
      </c>
      <c r="B891" t="str">
        <v>W20-1028-020SL</v>
      </c>
      <c r="C891">
        <v>1411</v>
      </c>
      <c r="E891">
        <v>899</v>
      </c>
      <c r="F891">
        <v>6581</v>
      </c>
      <c r="G891">
        <v>193322</v>
      </c>
      <c r="H891" s="1">
        <v>46254</v>
      </c>
      <c r="K891" t="str">
        <v>Shipped</v>
      </c>
      <c r="L891">
        <v>30011</v>
      </c>
    </row>
    <row r="892">
      <c r="A892">
        <v>716851</v>
      </c>
      <c r="B892" t="str">
        <v>W20-1028-020SL</v>
      </c>
      <c r="C892">
        <v>1664</v>
      </c>
      <c r="E892">
        <v>1136</v>
      </c>
      <c r="F892">
        <v>8316</v>
      </c>
      <c r="G892">
        <v>193322</v>
      </c>
      <c r="H892" s="1">
        <v>46254</v>
      </c>
      <c r="K892" t="str">
        <v>Shipped</v>
      </c>
      <c r="L892">
        <v>30011</v>
      </c>
    </row>
    <row r="893">
      <c r="A893">
        <v>716852</v>
      </c>
      <c r="B893" t="str">
        <v>W20-1028-020SL</v>
      </c>
      <c r="C893">
        <v>638</v>
      </c>
      <c r="E893">
        <v>599</v>
      </c>
      <c r="F893">
        <v>4385</v>
      </c>
      <c r="G893">
        <v>193322</v>
      </c>
      <c r="H893" s="1">
        <v>46254</v>
      </c>
      <c r="K893" t="str">
        <v>Shipped</v>
      </c>
      <c r="L893">
        <v>30011</v>
      </c>
    </row>
    <row r="894">
      <c r="A894">
        <v>716868</v>
      </c>
      <c r="B894">
        <v>11546449</v>
      </c>
      <c r="C894">
        <v>1028</v>
      </c>
      <c r="D894" t="str">
        <v>MC/BF</v>
      </c>
      <c r="E894">
        <v>1108</v>
      </c>
      <c r="F894">
        <v>93898</v>
      </c>
      <c r="G894">
        <v>193322</v>
      </c>
      <c r="H894" s="1">
        <v>46254</v>
      </c>
      <c r="I894" t="str">
        <v>TRAVELERRECEIVED</v>
      </c>
      <c r="J894" t="str">
        <v>DONE</v>
      </c>
      <c r="K894" t="str">
        <v>Shipped</v>
      </c>
      <c r="L894">
        <v>30031</v>
      </c>
    </row>
    <row r="895">
      <c r="A895">
        <v>716869</v>
      </c>
      <c r="B895">
        <v>11546449</v>
      </c>
      <c r="C895">
        <v>704</v>
      </c>
      <c r="D895" t="str">
        <v>MC/BF</v>
      </c>
      <c r="E895">
        <v>1031</v>
      </c>
      <c r="F895">
        <v>87373</v>
      </c>
      <c r="G895">
        <v>193322</v>
      </c>
      <c r="H895" s="1">
        <v>46254</v>
      </c>
      <c r="I895" t="str">
        <v>TRAVELERRECEIVED</v>
      </c>
      <c r="J895" t="str">
        <v>DONE</v>
      </c>
      <c r="K895" t="str">
        <f>IF(ISERROR(MATCH(WORKORDER[[#This Row],[TRAVELER]],Table1[TRAVELER],0)),K895,"Shipped")</f>
        <v>Shipped</v>
      </c>
      <c r="L895">
        <f>+IF(ISERROR(MATCH(WORKORDER[[#This Row],[TRAVELER]],Table1[TRAVELER],0)),L895,'PACKING SLIP'!$F$5)</f>
        <v>0</v>
      </c>
    </row>
    <row r="896">
      <c r="A896">
        <v>716870</v>
      </c>
      <c r="B896">
        <v>11546449</v>
      </c>
      <c r="C896">
        <v>1671</v>
      </c>
      <c r="D896" t="str">
        <v>MC/BF</v>
      </c>
      <c r="E896">
        <v>1171</v>
      </c>
      <c r="F896">
        <v>99237</v>
      </c>
      <c r="G896">
        <v>193322</v>
      </c>
      <c r="H896" s="1">
        <v>46254</v>
      </c>
      <c r="I896" t="str">
        <v>TRAVELERRECEIVED</v>
      </c>
      <c r="J896" t="str">
        <v>DONE</v>
      </c>
      <c r="K896" t="str">
        <f>IF(ISERROR(MATCH(WORKORDER[[#This Row],[TRAVELER]],Table1[TRAVELER],0)),K896,"Shipped")</f>
        <v>Shipped</v>
      </c>
      <c r="L896">
        <f>+IF(ISERROR(MATCH(WORKORDER[[#This Row],[TRAVELER]],Table1[TRAVELER],0)),L896,'PACKING SLIP'!$F$5)</f>
        <v>0</v>
      </c>
    </row>
    <row r="897">
      <c r="A897">
        <v>716871</v>
      </c>
      <c r="B897">
        <v>11546449</v>
      </c>
      <c r="C897">
        <v>1819</v>
      </c>
      <c r="D897" t="str">
        <v>MC/BF</v>
      </c>
      <c r="E897">
        <v>978</v>
      </c>
      <c r="F897">
        <v>82881</v>
      </c>
      <c r="G897">
        <v>193322</v>
      </c>
      <c r="H897" s="1">
        <v>46254</v>
      </c>
      <c r="I897" t="str">
        <v>TRAVELERRECEIVED</v>
      </c>
      <c r="J897" t="str">
        <v>DONE</v>
      </c>
      <c r="K897" t="str">
        <v>Shipped</v>
      </c>
      <c r="L897">
        <v>30039</v>
      </c>
    </row>
    <row r="898">
      <c r="A898">
        <v>716872</v>
      </c>
      <c r="B898">
        <v>11546449</v>
      </c>
      <c r="C898">
        <v>559</v>
      </c>
      <c r="D898" t="str">
        <v>MC/BF</v>
      </c>
      <c r="E898">
        <v>1108</v>
      </c>
      <c r="F898">
        <v>93898</v>
      </c>
      <c r="G898">
        <v>193322</v>
      </c>
      <c r="H898" s="1">
        <v>46254</v>
      </c>
      <c r="I898" t="str">
        <v>TRAVELERRECEIVED</v>
      </c>
      <c r="J898" t="str">
        <v>DONE</v>
      </c>
      <c r="K898" t="str">
        <v>Shipped</v>
      </c>
      <c r="L898">
        <v>30031</v>
      </c>
    </row>
    <row r="899">
      <c r="A899">
        <v>716873</v>
      </c>
      <c r="B899">
        <v>11546449</v>
      </c>
      <c r="C899">
        <v>580</v>
      </c>
      <c r="D899" t="str">
        <v>MC/BF</v>
      </c>
      <c r="E899">
        <v>893</v>
      </c>
      <c r="F899">
        <v>75678</v>
      </c>
      <c r="G899">
        <v>193322</v>
      </c>
      <c r="H899" s="1">
        <v>46254</v>
      </c>
      <c r="I899" t="str">
        <v>TRAVELERRECEIVED</v>
      </c>
      <c r="J899" t="str">
        <v>DONE</v>
      </c>
      <c r="K899" t="str">
        <f>IF(ISERROR(MATCH(WORKORDER[[#This Row],[TRAVELER]],Table1[TRAVELER],0)),K899,"Shipped")</f>
        <v>Shipped</v>
      </c>
      <c r="L899">
        <f>+IF(ISERROR(MATCH(WORKORDER[[#This Row],[TRAVELER]],Table1[TRAVELER],0)),L899,'PACKING SLIP'!$F$5)</f>
        <v>0</v>
      </c>
    </row>
    <row r="900">
      <c r="A900">
        <v>716874</v>
      </c>
      <c r="B900">
        <v>11546449</v>
      </c>
      <c r="C900">
        <v>1395</v>
      </c>
      <c r="D900" t="str">
        <v>MC/BF</v>
      </c>
      <c r="E900">
        <v>1044</v>
      </c>
      <c r="F900">
        <v>88475</v>
      </c>
      <c r="G900">
        <v>193322</v>
      </c>
      <c r="H900" s="1">
        <v>46254</v>
      </c>
      <c r="I900" t="str">
        <v>TRAVELERRECEIVED</v>
      </c>
      <c r="J900" t="str">
        <v>DONE</v>
      </c>
      <c r="K900" t="str">
        <f>IF(ISERROR(MATCH(WORKORDER[[#This Row],[TRAVELER]],Table1[TRAVELER],0)),K900,"Shipped")</f>
        <v>Shipped</v>
      </c>
      <c r="L900">
        <f>+IF(ISERROR(MATCH(WORKORDER[[#This Row],[TRAVELER]],Table1[TRAVELER],0)),L900,'PACKING SLIP'!$F$5)</f>
        <v>0</v>
      </c>
    </row>
    <row r="901">
      <c r="A901">
        <v>716875</v>
      </c>
      <c r="B901">
        <v>11546449</v>
      </c>
      <c r="C901">
        <v>1074</v>
      </c>
      <c r="D901" t="str">
        <v>MC/BF</v>
      </c>
      <c r="E901">
        <v>1031</v>
      </c>
      <c r="F901">
        <v>87373</v>
      </c>
      <c r="G901">
        <v>193322</v>
      </c>
      <c r="H901" s="1">
        <v>46254</v>
      </c>
      <c r="I901" t="str">
        <v>TRAVELERRECEIVED</v>
      </c>
      <c r="J901" t="str">
        <v>DONE</v>
      </c>
      <c r="K901">
        <f>IF(ISERROR(MATCH(WORKORDER[[#This Row],[TRAVELER]],Table1[TRAVELER],0)),K901,"Shipped")</f>
        <v>0</v>
      </c>
      <c r="L901">
        <f>+IF(ISERROR(MATCH(WORKORDER[[#This Row],[TRAVELER]],Table1[TRAVELER],0)),L901,'PACKING SLIP'!$F$5)</f>
        <v>0</v>
      </c>
    </row>
    <row r="902">
      <c r="A902">
        <v>716876</v>
      </c>
      <c r="B902">
        <v>11546449</v>
      </c>
      <c r="C902">
        <v>1620</v>
      </c>
      <c r="D902" t="str">
        <v>MC/BF</v>
      </c>
      <c r="E902">
        <v>979</v>
      </c>
      <c r="F902">
        <v>82966</v>
      </c>
      <c r="G902">
        <v>193322</v>
      </c>
      <c r="H902" s="1">
        <v>46254</v>
      </c>
      <c r="I902" t="str">
        <v>TRAVELERRECEIVED</v>
      </c>
      <c r="J902" t="str">
        <v>DONE</v>
      </c>
      <c r="K902">
        <f>IF(ISERROR(MATCH(WORKORDER[[#This Row],[TRAVELER]],Table1[TRAVELER],0)),K902,"Shipped")</f>
        <v>0</v>
      </c>
      <c r="L902">
        <f>+IF(ISERROR(MATCH(WORKORDER[[#This Row],[TRAVELER]],Table1[TRAVELER],0)),L902,'PACKING SLIP'!$F$5)</f>
        <v>0</v>
      </c>
    </row>
    <row r="903">
      <c r="A903">
        <v>716877</v>
      </c>
      <c r="B903">
        <v>11546449</v>
      </c>
      <c r="C903">
        <v>221</v>
      </c>
      <c r="D903" t="str">
        <v>MC/BF</v>
      </c>
      <c r="E903">
        <v>1079</v>
      </c>
      <c r="F903">
        <v>91441</v>
      </c>
      <c r="G903">
        <v>193322</v>
      </c>
      <c r="H903" s="1">
        <v>46254</v>
      </c>
      <c r="I903" t="str">
        <v>TRAVELERRECEIVED</v>
      </c>
      <c r="J903" t="str">
        <v>DONE</v>
      </c>
      <c r="K903" t="str">
        <f>IF(ISERROR(MATCH(WORKORDER[[#This Row],[TRAVELER]],Table1[TRAVELER],0)),K903,"Shipped")</f>
        <v>Shipped</v>
      </c>
      <c r="L903">
        <f>+IF(ISERROR(MATCH(WORKORDER[[#This Row],[TRAVELER]],Table1[TRAVELER],0)),L903,'PACKING SLIP'!$F$5)</f>
        <v>30092</v>
      </c>
    </row>
    <row r="904">
      <c r="A904">
        <v>716878</v>
      </c>
      <c r="B904">
        <v>11546449</v>
      </c>
      <c r="C904">
        <v>150</v>
      </c>
      <c r="D904" t="str">
        <v>MC/BF</v>
      </c>
      <c r="E904">
        <v>954</v>
      </c>
      <c r="F904">
        <v>80847</v>
      </c>
      <c r="G904">
        <v>193322</v>
      </c>
      <c r="H904" s="1">
        <v>46254</v>
      </c>
      <c r="I904" t="str">
        <v>TRAVELERRECEIVED</v>
      </c>
      <c r="J904" t="str">
        <v>DONE</v>
      </c>
      <c r="K904" t="str">
        <v>Shipped</v>
      </c>
      <c r="L904">
        <v>30031</v>
      </c>
    </row>
    <row r="905">
      <c r="A905">
        <v>716879</v>
      </c>
      <c r="B905">
        <v>11546449</v>
      </c>
      <c r="C905">
        <v>1829</v>
      </c>
      <c r="D905" t="str">
        <v>MC/BF</v>
      </c>
      <c r="E905">
        <v>1123</v>
      </c>
      <c r="F905">
        <v>95169</v>
      </c>
      <c r="G905">
        <v>193322</v>
      </c>
      <c r="H905" s="1">
        <v>46254</v>
      </c>
      <c r="I905" t="str">
        <v>TRAVELERRECEIVED</v>
      </c>
      <c r="J905" t="str">
        <v>DONE</v>
      </c>
      <c r="K905">
        <f>IF(ISERROR(MATCH(WORKORDER[[#This Row],[TRAVELER]],Table1[TRAVELER],0)),K905,"Shipped")</f>
        <v>0</v>
      </c>
      <c r="L905">
        <f>+IF(ISERROR(MATCH(WORKORDER[[#This Row],[TRAVELER]],Table1[TRAVELER],0)),L905,'PACKING SLIP'!$F$5)</f>
        <v>0</v>
      </c>
    </row>
    <row r="906">
      <c r="A906">
        <v>717141</v>
      </c>
      <c r="B906" t="str">
        <v>11546449-TH-TC</v>
      </c>
      <c r="C906">
        <v>63</v>
      </c>
      <c r="E906">
        <v>914</v>
      </c>
      <c r="F906">
        <v>71406</v>
      </c>
      <c r="G906">
        <v>193322</v>
      </c>
      <c r="H906" s="1">
        <v>46254</v>
      </c>
      <c r="I906" t="str">
        <v>TRAVELERRECEIVED</v>
      </c>
      <c r="J906" t="str">
        <v>DONE</v>
      </c>
      <c r="K906" t="str">
        <v>Shipped</v>
      </c>
      <c r="L906">
        <v>30037</v>
      </c>
    </row>
    <row r="907">
      <c r="A907">
        <v>717142</v>
      </c>
      <c r="B907" t="str">
        <v>11546449-TH-TC</v>
      </c>
      <c r="C907">
        <v>369</v>
      </c>
      <c r="E907">
        <v>1048</v>
      </c>
      <c r="F907">
        <v>81875</v>
      </c>
      <c r="G907">
        <v>193322</v>
      </c>
      <c r="H907" s="1">
        <v>46254</v>
      </c>
      <c r="I907" t="str">
        <v>TRAVELERRECEIVED</v>
      </c>
      <c r="J907" t="str">
        <v>DONE</v>
      </c>
      <c r="K907" t="str">
        <f>IF(ISERROR(MATCH(WORKORDER[[#This Row],[TRAVELER]],Table1[TRAVELER],0)),K907,"Shipped")</f>
        <v>Shipped</v>
      </c>
      <c r="L907">
        <f>+IF(ISERROR(MATCH(WORKORDER[[#This Row],[TRAVELER]],Table1[TRAVELER],0)),L907,'PACKING SLIP'!$F$5)</f>
        <v>30092</v>
      </c>
    </row>
    <row r="908">
      <c r="A908">
        <v>717143</v>
      </c>
      <c r="B908" t="str">
        <v>11546449-TH-TC</v>
      </c>
      <c r="C908">
        <v>922</v>
      </c>
      <c r="E908">
        <v>1050</v>
      </c>
      <c r="F908">
        <v>82031</v>
      </c>
      <c r="G908">
        <v>193322</v>
      </c>
      <c r="H908" s="1">
        <v>46254</v>
      </c>
      <c r="I908" t="str">
        <v>TRAVELERRECEIVED</v>
      </c>
      <c r="J908" t="str">
        <v>DONE</v>
      </c>
      <c r="K908" t="str">
        <v>Shipped</v>
      </c>
      <c r="L908">
        <v>30039</v>
      </c>
    </row>
    <row r="909">
      <c r="A909">
        <v>712882</v>
      </c>
      <c r="B909" t="str">
        <v>11612078-B</v>
      </c>
      <c r="C909">
        <v>1350</v>
      </c>
      <c r="D909" t="str">
        <v>TB</v>
      </c>
      <c r="E909">
        <v>1373</v>
      </c>
      <c r="F909">
        <v>78000</v>
      </c>
      <c r="G909">
        <v>193336</v>
      </c>
      <c r="H909" s="1">
        <v>46254</v>
      </c>
      <c r="I909" t="str">
        <v>SORT&amp;RETURN</v>
      </c>
      <c r="K909" t="str">
        <f>IF(ISERROR(MATCH(WORKORDER[[#This Row],[TRAVELER]],Table1[TRAVELER],0)),K909,"Shipped")</f>
        <v>Shipped</v>
      </c>
      <c r="L909">
        <f>+IF(ISERROR(MATCH(WORKORDER[[#This Row],[TRAVELER]],Table1[TRAVELER],0)),L909,'PACKING SLIP'!$F$5)</f>
        <v>30074</v>
      </c>
    </row>
    <row r="910">
      <c r="A910">
        <v>712886</v>
      </c>
      <c r="B910" t="str">
        <v>11612078-B</v>
      </c>
      <c r="C910">
        <v>555</v>
      </c>
      <c r="D910" t="str">
        <v>TB</v>
      </c>
      <c r="E910">
        <v>1197</v>
      </c>
      <c r="F910">
        <v>68000</v>
      </c>
      <c r="G910">
        <v>193336</v>
      </c>
      <c r="H910" s="1">
        <v>46254</v>
      </c>
      <c r="I910" t="str">
        <v>SORT&amp;RETURN</v>
      </c>
      <c r="K910" t="str">
        <f>IF(ISERROR(MATCH(WORKORDER[[#This Row],[TRAVELER]],Table1[TRAVELER],0)),K910,"Shipped")</f>
        <v>Shipped</v>
      </c>
      <c r="L910">
        <f>+IF(ISERROR(MATCH(WORKORDER[[#This Row],[TRAVELER]],Table1[TRAVELER],0)),L910,'PACKING SLIP'!$F$5)</f>
        <v>30074</v>
      </c>
    </row>
    <row r="911">
      <c r="A911">
        <v>714580</v>
      </c>
      <c r="B911" t="str">
        <v>F1302AB</v>
      </c>
      <c r="C911">
        <v>522</v>
      </c>
      <c r="E911">
        <v>622</v>
      </c>
      <c r="F911">
        <v>20129</v>
      </c>
      <c r="G911">
        <v>193336</v>
      </c>
      <c r="H911" s="1">
        <v>46254</v>
      </c>
      <c r="I911" t="str">
        <v>6-229-56-A</v>
      </c>
      <c r="K911" t="str">
        <v>Shipped</v>
      </c>
      <c r="L911">
        <v>30018</v>
      </c>
    </row>
    <row r="912">
      <c r="A912">
        <v>714581</v>
      </c>
      <c r="B912" t="str">
        <v>F1302AB</v>
      </c>
      <c r="C912">
        <v>116</v>
      </c>
      <c r="E912">
        <v>585</v>
      </c>
      <c r="F912">
        <v>18932</v>
      </c>
      <c r="G912">
        <v>193336</v>
      </c>
      <c r="H912" s="1">
        <v>46254</v>
      </c>
      <c r="I912" t="str">
        <v>6-229-56-B</v>
      </c>
      <c r="K912" t="str">
        <v>Shipped</v>
      </c>
      <c r="L912">
        <v>30018</v>
      </c>
    </row>
    <row r="913">
      <c r="A913">
        <v>715832</v>
      </c>
      <c r="B913" t="str">
        <v>PZ18-7P483-AA</v>
      </c>
      <c r="C913" t="str">
        <v>27TOTES</v>
      </c>
      <c r="D913" t="str">
        <v>TB</v>
      </c>
      <c r="E913">
        <v>755</v>
      </c>
      <c r="F913">
        <v>5600</v>
      </c>
      <c r="G913">
        <v>193336</v>
      </c>
      <c r="H913" s="1">
        <v>46254</v>
      </c>
      <c r="I913" t="str">
        <v>6-210-20-A</v>
      </c>
      <c r="K913" t="str">
        <f>IF(ISERROR(MATCH(WORKORDER[[#This Row],[TRAVELER]],Table1[TRAVELER],0)),K913,"Shipped")</f>
        <v>Shipped</v>
      </c>
      <c r="L913">
        <f>+IF(ISERROR(MATCH(WORKORDER[[#This Row],[TRAVELER]],Table1[TRAVELER],0)),L913,'PACKING SLIP'!$F$5)</f>
        <v>30082</v>
      </c>
    </row>
    <row r="914">
      <c r="A914">
        <v>716008</v>
      </c>
      <c r="B914" t="str">
        <v>06503825-A</v>
      </c>
      <c r="C914">
        <v>259</v>
      </c>
      <c r="E914">
        <v>745</v>
      </c>
      <c r="F914">
        <v>57308</v>
      </c>
      <c r="G914">
        <v>193336</v>
      </c>
      <c r="H914" s="1">
        <v>46254</v>
      </c>
      <c r="I914" t="str">
        <v>6-229-54-C</v>
      </c>
      <c r="J914" t="str">
        <v>DONE</v>
      </c>
      <c r="K914" t="str">
        <v>Shipped</v>
      </c>
      <c r="L914">
        <v>30028</v>
      </c>
    </row>
    <row r="915">
      <c r="A915">
        <v>716254</v>
      </c>
      <c r="B915">
        <v>11547059</v>
      </c>
      <c r="C915">
        <v>738</v>
      </c>
      <c r="D915" t="str">
        <v>TB</v>
      </c>
      <c r="E915">
        <v>1071</v>
      </c>
      <c r="F915">
        <v>23538</v>
      </c>
      <c r="G915">
        <v>193336</v>
      </c>
      <c r="H915" s="1">
        <v>46254</v>
      </c>
      <c r="I915" t="str">
        <v>6-230-36-A</v>
      </c>
      <c r="J915" t="str">
        <v>DONE</v>
      </c>
      <c r="K915" t="str">
        <v>Shipped</v>
      </c>
      <c r="L915">
        <v>30031</v>
      </c>
    </row>
    <row r="916">
      <c r="A916">
        <v>716255</v>
      </c>
      <c r="B916">
        <v>11547059</v>
      </c>
      <c r="C916">
        <v>875</v>
      </c>
      <c r="D916" t="str">
        <v>TB</v>
      </c>
      <c r="E916">
        <v>995</v>
      </c>
      <c r="F916">
        <v>21868</v>
      </c>
      <c r="G916">
        <v>193336</v>
      </c>
      <c r="H916" s="1">
        <v>46254</v>
      </c>
      <c r="I916" t="str">
        <v>6-230-36-B</v>
      </c>
      <c r="J916" t="str">
        <v>DONE</v>
      </c>
      <c r="K916">
        <f>IF(ISERROR(MATCH(WORKORDER[[#This Row],[TRAVELER]],Table1[TRAVELER],0)),K916,"Shipped")</f>
        <v>0</v>
      </c>
      <c r="L916">
        <f>+IF(ISERROR(MATCH(WORKORDER[[#This Row],[TRAVELER]],Table1[TRAVELER],0)),L916,'PACKING SLIP'!$F$5)</f>
        <v>0</v>
      </c>
    </row>
    <row r="917">
      <c r="A917">
        <v>716256</v>
      </c>
      <c r="B917">
        <v>11547059</v>
      </c>
      <c r="C917">
        <v>510</v>
      </c>
      <c r="D917" t="str">
        <v>TB</v>
      </c>
      <c r="E917">
        <v>1025</v>
      </c>
      <c r="F917">
        <v>22527</v>
      </c>
      <c r="G917">
        <v>193336</v>
      </c>
      <c r="H917" s="1">
        <v>46254</v>
      </c>
      <c r="I917" t="str">
        <v>6-230-36-C</v>
      </c>
      <c r="J917" t="str">
        <v>DONE</v>
      </c>
      <c r="K917">
        <f>IF(ISERROR(MATCH(WORKORDER[[#This Row],[TRAVELER]],Table1[TRAVELER],0)),K917,"Shipped")</f>
        <v>0</v>
      </c>
      <c r="L917">
        <f>+IF(ISERROR(MATCH(WORKORDER[[#This Row],[TRAVELER]],Table1[TRAVELER],0)),L917,'PACKING SLIP'!$F$5)</f>
        <v>0</v>
      </c>
    </row>
    <row r="918">
      <c r="A918">
        <v>716257</v>
      </c>
      <c r="B918">
        <v>11547059</v>
      </c>
      <c r="C918">
        <v>1612</v>
      </c>
      <c r="D918" t="str">
        <v>TB</v>
      </c>
      <c r="E918">
        <v>1018</v>
      </c>
      <c r="F918">
        <v>22374</v>
      </c>
      <c r="G918">
        <v>193336</v>
      </c>
      <c r="H918" s="1">
        <v>46254</v>
      </c>
      <c r="I918" t="str">
        <v>6-230-36-D</v>
      </c>
      <c r="J918" t="str">
        <v>DONE</v>
      </c>
      <c r="K918">
        <f>IF(ISERROR(MATCH(WORKORDER[[#This Row],[TRAVELER]],Table1[TRAVELER],0)),K918,"Shipped")</f>
        <v>0</v>
      </c>
      <c r="L918">
        <f>+IF(ISERROR(MATCH(WORKORDER[[#This Row],[TRAVELER]],Table1[TRAVELER],0)),L918,'PACKING SLIP'!$F$5)</f>
        <v>0</v>
      </c>
    </row>
    <row r="919">
      <c r="A919">
        <v>716404</v>
      </c>
      <c r="B919" t="str">
        <v>PZ18-7P483-AA</v>
      </c>
      <c r="C919" t="str">
        <v>33TOTES</v>
      </c>
      <c r="D919" t="str">
        <v>TB</v>
      </c>
      <c r="E919">
        <v>1013</v>
      </c>
      <c r="F919">
        <v>7515</v>
      </c>
      <c r="G919">
        <v>193336</v>
      </c>
      <c r="H919" s="1">
        <v>46254</v>
      </c>
      <c r="I919" t="str">
        <v>6-217-21-A</v>
      </c>
      <c r="K919" t="str">
        <f>IF(ISERROR(MATCH(WORKORDER[[#This Row],[TRAVELER]],Table1[TRAVELER],0)),K919,"Shipped")</f>
        <v>Shipped</v>
      </c>
      <c r="L919">
        <f>+IF(ISERROR(MATCH(WORKORDER[[#This Row],[TRAVELER]],Table1[TRAVELER],0)),L919,'PACKING SLIP'!$F$5)</f>
        <v>30061</v>
      </c>
    </row>
    <row r="920">
      <c r="A920">
        <v>716406</v>
      </c>
      <c r="B920" t="str">
        <v>PZ18-7P483-AA</v>
      </c>
      <c r="C920" t="str">
        <v>49TOTES</v>
      </c>
      <c r="D920" t="str">
        <v>TB</v>
      </c>
      <c r="E920">
        <v>968</v>
      </c>
      <c r="F920">
        <v>7181</v>
      </c>
      <c r="G920">
        <v>193336</v>
      </c>
      <c r="H920" s="1">
        <v>46254</v>
      </c>
      <c r="I920" t="str">
        <v>6-218-18-A</v>
      </c>
      <c r="K920" t="str">
        <f>IF(ISERROR(MATCH(WORKORDER[[#This Row],[TRAVELER]],Table1[TRAVELER],0)),K920,"Shipped")</f>
        <v>Shipped</v>
      </c>
      <c r="L920">
        <f>+IF(ISERROR(MATCH(WORKORDER[[#This Row],[TRAVELER]],Table1[TRAVELER],0)),L920,'PACKING SLIP'!$F$5)</f>
        <v>0</v>
      </c>
    </row>
    <row r="921">
      <c r="A921">
        <v>716410</v>
      </c>
      <c r="B921" t="str">
        <v>PZ18-7P483-AA</v>
      </c>
      <c r="C921" t="str">
        <v>33TOTES</v>
      </c>
      <c r="D921" t="str">
        <v>TB</v>
      </c>
      <c r="E921">
        <v>965</v>
      </c>
      <c r="F921">
        <v>7159</v>
      </c>
      <c r="G921">
        <v>193336</v>
      </c>
      <c r="H921" s="1">
        <v>46254</v>
      </c>
      <c r="I921" t="str">
        <v>6-218-18-B</v>
      </c>
      <c r="K921" t="str">
        <v>Shipped</v>
      </c>
      <c r="L921">
        <v>30046</v>
      </c>
    </row>
    <row r="922">
      <c r="A922">
        <v>716412</v>
      </c>
      <c r="B922" t="str">
        <v>PZ18-7P483-AA</v>
      </c>
      <c r="C922" t="str">
        <v>33TOTES</v>
      </c>
      <c r="D922" t="str">
        <v>TB</v>
      </c>
      <c r="E922">
        <v>130</v>
      </c>
      <c r="F922">
        <v>963</v>
      </c>
      <c r="G922">
        <v>193336</v>
      </c>
      <c r="H922" s="1">
        <v>46254</v>
      </c>
      <c r="I922" t="str">
        <v>6-217-21-B</v>
      </c>
      <c r="K922" t="str">
        <f>IF(ISERROR(MATCH(WORKORDER[[#This Row],[TRAVELER]],Table1[TRAVELER],0)),K922,"Shipped")</f>
        <v>Shipped</v>
      </c>
      <c r="L922">
        <f>+IF(ISERROR(MATCH(WORKORDER[[#This Row],[TRAVELER]],Table1[TRAVELER],0)),L922,'PACKING SLIP'!$F$5)</f>
        <v>30092</v>
      </c>
    </row>
    <row r="923">
      <c r="A923">
        <v>716661</v>
      </c>
      <c r="B923" t="str">
        <v>06514720AA</v>
      </c>
      <c r="C923">
        <v>135</v>
      </c>
      <c r="E923">
        <v>919</v>
      </c>
      <c r="F923">
        <v>41584</v>
      </c>
      <c r="G923">
        <v>193336</v>
      </c>
      <c r="H923" s="1">
        <v>46254</v>
      </c>
      <c r="I923" t="str">
        <v>6-232-27-C</v>
      </c>
      <c r="K923" t="str">
        <v>Shipped</v>
      </c>
      <c r="L923">
        <v>30013</v>
      </c>
    </row>
    <row r="924">
      <c r="A924">
        <v>716662</v>
      </c>
      <c r="B924" t="str">
        <v>06514720AA</v>
      </c>
      <c r="C924">
        <v>883</v>
      </c>
      <c r="E924">
        <v>828</v>
      </c>
      <c r="F924">
        <v>37466</v>
      </c>
      <c r="G924">
        <v>193336</v>
      </c>
      <c r="H924" s="1">
        <v>46254</v>
      </c>
      <c r="I924" t="str">
        <v>6-232-27-D</v>
      </c>
      <c r="K924" t="str">
        <v>Shipped</v>
      </c>
      <c r="L924">
        <v>30024</v>
      </c>
    </row>
    <row r="925">
      <c r="A925">
        <v>716663</v>
      </c>
      <c r="B925" t="str">
        <v>06514720AA</v>
      </c>
      <c r="C925">
        <v>305</v>
      </c>
      <c r="E925">
        <v>817</v>
      </c>
      <c r="F925">
        <v>36968</v>
      </c>
      <c r="G925">
        <v>193336</v>
      </c>
      <c r="H925" s="1">
        <v>46254</v>
      </c>
      <c r="I925" t="str">
        <v>6-232-28-C</v>
      </c>
      <c r="K925" t="str">
        <v>Shipped</v>
      </c>
      <c r="L925">
        <v>30018</v>
      </c>
    </row>
    <row r="926">
      <c r="A926">
        <v>716664</v>
      </c>
      <c r="B926" t="str">
        <v>06514720AA</v>
      </c>
      <c r="C926">
        <v>195</v>
      </c>
      <c r="E926">
        <v>932</v>
      </c>
      <c r="F926">
        <v>42172</v>
      </c>
      <c r="G926">
        <v>193336</v>
      </c>
      <c r="H926" s="1">
        <v>46254</v>
      </c>
      <c r="I926" t="str">
        <v>6-232-28-D</v>
      </c>
      <c r="K926" t="str">
        <v>Shipped</v>
      </c>
      <c r="L926">
        <v>30018</v>
      </c>
    </row>
    <row r="927">
      <c r="A927">
        <v>716807</v>
      </c>
      <c r="B927" t="str">
        <v>NU1237</v>
      </c>
      <c r="C927">
        <v>1446</v>
      </c>
      <c r="E927">
        <v>1001</v>
      </c>
      <c r="F927">
        <v>22444</v>
      </c>
      <c r="G927">
        <v>193336</v>
      </c>
      <c r="H927" s="1">
        <v>46254</v>
      </c>
      <c r="I927" t="str">
        <v>6-232-36-A</v>
      </c>
      <c r="K927" t="str">
        <v>Shipped</v>
      </c>
      <c r="L927">
        <v>30011</v>
      </c>
    </row>
    <row r="928">
      <c r="A928">
        <v>716808</v>
      </c>
      <c r="B928" t="str">
        <v>NU1237</v>
      </c>
      <c r="C928">
        <v>408</v>
      </c>
      <c r="E928">
        <v>1154</v>
      </c>
      <c r="F928">
        <v>25874</v>
      </c>
      <c r="G928">
        <v>193336</v>
      </c>
      <c r="H928" s="1">
        <v>46254</v>
      </c>
      <c r="I928" t="str">
        <v>6-232-36-B</v>
      </c>
      <c r="K928" t="str">
        <v>Shipped</v>
      </c>
      <c r="L928">
        <v>30011</v>
      </c>
    </row>
    <row r="929">
      <c r="A929">
        <v>716809</v>
      </c>
      <c r="B929" t="str">
        <v>NU1237</v>
      </c>
      <c r="C929">
        <v>1038</v>
      </c>
      <c r="E929">
        <v>960</v>
      </c>
      <c r="F929">
        <v>21525</v>
      </c>
      <c r="G929">
        <v>193336</v>
      </c>
      <c r="H929" s="1">
        <v>46254</v>
      </c>
      <c r="I929" t="str">
        <v>6-232-37-A</v>
      </c>
      <c r="K929" t="str">
        <v>Shipped</v>
      </c>
      <c r="L929">
        <v>30011</v>
      </c>
    </row>
    <row r="930">
      <c r="A930">
        <v>716810</v>
      </c>
      <c r="B930" t="str">
        <v>NU1237</v>
      </c>
      <c r="C930">
        <v>1510</v>
      </c>
      <c r="E930">
        <v>1191</v>
      </c>
      <c r="F930">
        <v>26704</v>
      </c>
      <c r="G930">
        <v>193336</v>
      </c>
      <c r="H930" s="1">
        <v>46254</v>
      </c>
      <c r="I930" t="str">
        <v>6-232-37-B</v>
      </c>
      <c r="K930" t="str">
        <v>Shipped</v>
      </c>
      <c r="L930">
        <v>30011</v>
      </c>
    </row>
    <row r="931">
      <c r="A931">
        <v>716815</v>
      </c>
      <c r="B931" t="str">
        <v>NA1055-02</v>
      </c>
      <c r="C931">
        <v>260</v>
      </c>
      <c r="E931">
        <v>1055</v>
      </c>
      <c r="F931">
        <v>15202</v>
      </c>
      <c r="G931">
        <v>193336</v>
      </c>
      <c r="H931" s="1">
        <v>46254</v>
      </c>
      <c r="I931" t="str">
        <v>6-232-35-A</v>
      </c>
      <c r="K931" t="str">
        <v>Shipped</v>
      </c>
      <c r="L931">
        <v>30011</v>
      </c>
    </row>
    <row r="932">
      <c r="A932">
        <v>716816</v>
      </c>
      <c r="B932" t="str">
        <v>NA1055-02</v>
      </c>
      <c r="C932">
        <v>233</v>
      </c>
      <c r="E932">
        <v>1049</v>
      </c>
      <c r="F932">
        <v>15115</v>
      </c>
      <c r="G932">
        <v>193336</v>
      </c>
      <c r="H932" s="1">
        <v>46254</v>
      </c>
      <c r="I932" t="str">
        <v>6-232-35-B</v>
      </c>
      <c r="K932" t="str">
        <v>Shipped</v>
      </c>
      <c r="L932">
        <v>30013</v>
      </c>
    </row>
    <row r="933">
      <c r="A933">
        <v>717105</v>
      </c>
      <c r="B933" t="str">
        <v>NU5210-03</v>
      </c>
      <c r="C933">
        <v>282</v>
      </c>
      <c r="E933">
        <v>1096</v>
      </c>
      <c r="F933">
        <v>40000</v>
      </c>
      <c r="G933">
        <v>193336</v>
      </c>
      <c r="H933" s="1">
        <v>46254</v>
      </c>
      <c r="I933" t="str">
        <v>6-229-52-A</v>
      </c>
      <c r="J933" t="str">
        <v>DONE</v>
      </c>
      <c r="K933" t="str">
        <v>Shipped</v>
      </c>
      <c r="L933">
        <v>30042</v>
      </c>
    </row>
    <row r="934">
      <c r="A934">
        <v>717279</v>
      </c>
      <c r="B934" t="str">
        <v>NU1405-00</v>
      </c>
      <c r="C934">
        <v>1632</v>
      </c>
      <c r="E934">
        <v>1155</v>
      </c>
      <c r="F934">
        <v>75000</v>
      </c>
      <c r="G934">
        <v>193336</v>
      </c>
      <c r="H934" s="1">
        <v>46254</v>
      </c>
      <c r="I934" t="str">
        <v>6-232-38-A</v>
      </c>
      <c r="K934" t="str">
        <v>Shipped</v>
      </c>
      <c r="L934">
        <v>30011</v>
      </c>
    </row>
    <row r="935">
      <c r="A935">
        <v>717280</v>
      </c>
      <c r="B935" t="str">
        <v>NU1405-00</v>
      </c>
      <c r="C935">
        <v>820</v>
      </c>
      <c r="E935">
        <v>1151</v>
      </c>
      <c r="F935">
        <v>74740</v>
      </c>
      <c r="G935">
        <v>193336</v>
      </c>
      <c r="H935" s="1">
        <v>46254</v>
      </c>
      <c r="I935" t="str">
        <v>6-232-38-B</v>
      </c>
      <c r="K935" t="str">
        <v>Shipped</v>
      </c>
      <c r="L935">
        <v>30013</v>
      </c>
    </row>
    <row r="936">
      <c r="A936">
        <v>717281</v>
      </c>
      <c r="B936" t="str">
        <v>NU1405-00</v>
      </c>
      <c r="C936">
        <v>1712</v>
      </c>
      <c r="E936">
        <v>1128</v>
      </c>
      <c r="F936">
        <v>73247</v>
      </c>
      <c r="G936">
        <v>193336</v>
      </c>
      <c r="H936" s="1">
        <v>46254</v>
      </c>
      <c r="I936" t="str">
        <v>6-232-39-A</v>
      </c>
      <c r="K936" t="str">
        <v>Shipped</v>
      </c>
      <c r="L936">
        <v>30011</v>
      </c>
    </row>
    <row r="937">
      <c r="A937">
        <v>717282</v>
      </c>
      <c r="B937" t="str">
        <v>NU1405-00</v>
      </c>
      <c r="C937">
        <v>261</v>
      </c>
      <c r="E937">
        <v>1196</v>
      </c>
      <c r="F937">
        <v>77662</v>
      </c>
      <c r="G937">
        <v>193336</v>
      </c>
      <c r="H937" s="1">
        <v>46254</v>
      </c>
      <c r="I937" t="str">
        <v>6-232-39-B</v>
      </c>
      <c r="J937" t="str">
        <v>DONE</v>
      </c>
      <c r="K937" t="str">
        <v>Shipped</v>
      </c>
      <c r="L937">
        <v>30042</v>
      </c>
    </row>
    <row r="938">
      <c r="A938">
        <v>717283</v>
      </c>
      <c r="B938" t="str">
        <v>NU1405-00</v>
      </c>
      <c r="C938">
        <v>1011</v>
      </c>
      <c r="E938">
        <v>1196</v>
      </c>
      <c r="F938">
        <v>77662</v>
      </c>
      <c r="G938">
        <v>193336</v>
      </c>
      <c r="H938" s="1">
        <v>46254</v>
      </c>
      <c r="I938" t="str">
        <v>6-232-40-A</v>
      </c>
      <c r="J938" t="str">
        <v>DONE</v>
      </c>
      <c r="K938" t="str">
        <v>Shipped</v>
      </c>
      <c r="L938">
        <v>30042</v>
      </c>
    </row>
    <row r="939">
      <c r="A939">
        <v>717284</v>
      </c>
      <c r="B939" t="str">
        <v>NU1405-00</v>
      </c>
      <c r="C939">
        <v>457</v>
      </c>
      <c r="E939">
        <v>1115</v>
      </c>
      <c r="F939">
        <v>72403</v>
      </c>
      <c r="G939">
        <v>193336</v>
      </c>
      <c r="H939" s="1">
        <v>46254</v>
      </c>
      <c r="I939" t="str">
        <v>6-232-40-B</v>
      </c>
      <c r="J939" t="str">
        <v>DONE</v>
      </c>
      <c r="K939" t="str">
        <v>Shipped</v>
      </c>
      <c r="L939">
        <v>30042</v>
      </c>
    </row>
    <row r="940">
      <c r="A940">
        <v>717553</v>
      </c>
      <c r="B940">
        <v>11588293</v>
      </c>
      <c r="C940" t="str">
        <v>KIB</v>
      </c>
      <c r="E940">
        <v>1946</v>
      </c>
      <c r="F940">
        <v>70000</v>
      </c>
      <c r="G940">
        <v>193336</v>
      </c>
      <c r="H940" s="1">
        <v>46254</v>
      </c>
      <c r="I940" t="str">
        <v>6-232-24-A</v>
      </c>
      <c r="J940" t="str">
        <v>DONE</v>
      </c>
      <c r="K940" t="str">
        <v>Shipped</v>
      </c>
      <c r="L940">
        <v>30039</v>
      </c>
    </row>
    <row r="941">
      <c r="A941">
        <v>717554</v>
      </c>
      <c r="B941">
        <v>11588293</v>
      </c>
      <c r="C941" t="str">
        <v>KIB</v>
      </c>
      <c r="E941">
        <v>1946</v>
      </c>
      <c r="F941">
        <v>70000</v>
      </c>
      <c r="G941">
        <v>193336</v>
      </c>
      <c r="H941" s="1">
        <v>46254</v>
      </c>
      <c r="I941" t="str">
        <v>SPLIT FROM TR#717553</v>
      </c>
      <c r="K941" t="str">
        <v>Shipped</v>
      </c>
      <c r="L941">
        <v>30024</v>
      </c>
    </row>
    <row r="942">
      <c r="A942">
        <v>717555</v>
      </c>
      <c r="B942">
        <v>11588293</v>
      </c>
      <c r="C942" t="str">
        <v>KIB</v>
      </c>
      <c r="E942">
        <v>1946</v>
      </c>
      <c r="F942">
        <v>70000</v>
      </c>
      <c r="G942">
        <v>193336</v>
      </c>
      <c r="H942" s="1">
        <v>46254</v>
      </c>
      <c r="I942" t="str">
        <v>6-232-23-A</v>
      </c>
      <c r="K942" t="str">
        <v>Shipped</v>
      </c>
      <c r="L942">
        <v>30011</v>
      </c>
    </row>
    <row r="943">
      <c r="A943">
        <v>717556</v>
      </c>
      <c r="B943">
        <v>11588293</v>
      </c>
      <c r="C943" t="str">
        <v>KIB</v>
      </c>
      <c r="E943">
        <v>1946</v>
      </c>
      <c r="F943">
        <v>70000</v>
      </c>
      <c r="G943">
        <v>193336</v>
      </c>
      <c r="H943" s="1">
        <v>46254</v>
      </c>
      <c r="I943" t="str">
        <v>SPLIT FROM TR#717555</v>
      </c>
      <c r="K943">
        <f>IF(ISERROR(MATCH(WORKORDER[[#This Row],[TRAVELER]],Table1[TRAVELER],0)),K943,"Shipped")</f>
        <v>0</v>
      </c>
      <c r="L943">
        <f>+IF(ISERROR(MATCH(WORKORDER[[#This Row],[TRAVELER]],Table1[TRAVELER],0)),L943,'PACKING SLIP'!$F$5)</f>
        <v>0</v>
      </c>
    </row>
    <row r="944">
      <c r="A944">
        <v>717557</v>
      </c>
      <c r="B944">
        <v>11588293</v>
      </c>
      <c r="C944" t="str">
        <v>KIB</v>
      </c>
      <c r="E944">
        <v>1946</v>
      </c>
      <c r="F944">
        <v>70000</v>
      </c>
      <c r="G944">
        <v>193336</v>
      </c>
      <c r="H944" s="1">
        <v>46254</v>
      </c>
      <c r="I944" t="str">
        <v>6-232-24-C</v>
      </c>
      <c r="J944" t="str">
        <v>DONE</v>
      </c>
      <c r="K944" t="str">
        <v>Shipped</v>
      </c>
      <c r="L944">
        <v>30039</v>
      </c>
    </row>
    <row r="945">
      <c r="A945">
        <v>716769</v>
      </c>
      <c r="B945" t="str">
        <v>06104384AA</v>
      </c>
      <c r="C945">
        <v>577</v>
      </c>
      <c r="E945">
        <v>959</v>
      </c>
      <c r="F945">
        <v>25370</v>
      </c>
      <c r="G945">
        <v>193339</v>
      </c>
      <c r="H945" s="1">
        <v>46255</v>
      </c>
      <c r="I945" t="str">
        <v>TRAVELERRECEIVED</v>
      </c>
      <c r="J945" t="str">
        <v>DONE</v>
      </c>
      <c r="K945" t="str">
        <v>Shipped</v>
      </c>
      <c r="L945">
        <v>30031</v>
      </c>
    </row>
    <row r="946">
      <c r="A946">
        <v>716770</v>
      </c>
      <c r="B946" t="str">
        <v>06104384AA</v>
      </c>
      <c r="C946">
        <v>1522</v>
      </c>
      <c r="E946">
        <v>787</v>
      </c>
      <c r="F946">
        <v>20820</v>
      </c>
      <c r="G946">
        <v>193339</v>
      </c>
      <c r="H946" s="1">
        <v>46255</v>
      </c>
      <c r="I946" t="str">
        <v>TRAVELERRECEIVED</v>
      </c>
      <c r="J946" t="str">
        <v>DONE</v>
      </c>
      <c r="K946" t="str">
        <v>Shipped</v>
      </c>
      <c r="L946">
        <v>30031</v>
      </c>
    </row>
    <row r="947">
      <c r="A947">
        <v>716789</v>
      </c>
      <c r="B947" t="str">
        <v>06104725AA</v>
      </c>
      <c r="C947">
        <v>177</v>
      </c>
      <c r="E947">
        <v>1124</v>
      </c>
      <c r="F947">
        <v>106038</v>
      </c>
      <c r="G947">
        <v>193339</v>
      </c>
      <c r="H947" s="1">
        <v>46255</v>
      </c>
      <c r="I947" t="str">
        <v>TRAVELERRECEIVED</v>
      </c>
      <c r="J947" t="str">
        <v>DONE</v>
      </c>
      <c r="K947" t="str">
        <f>IF(ISERROR(MATCH(WORKORDER[[#This Row],[TRAVELER]],Table1[TRAVELER],0)),K947,"Shipped")</f>
        <v>Shipped</v>
      </c>
      <c r="L947">
        <f>+IF(ISERROR(MATCH(WORKORDER[[#This Row],[TRAVELER]],Table1[TRAVELER],0)),L947,'PACKING SLIP'!$F$5)</f>
        <v>30101</v>
      </c>
    </row>
    <row r="948">
      <c r="A948">
        <v>716790</v>
      </c>
      <c r="B948" t="str">
        <v>06104725AA</v>
      </c>
      <c r="C948">
        <v>903</v>
      </c>
      <c r="E948">
        <v>1002</v>
      </c>
      <c r="F948">
        <v>94528</v>
      </c>
      <c r="G948">
        <v>193339</v>
      </c>
      <c r="H948" s="1">
        <v>46255</v>
      </c>
      <c r="I948" t="str">
        <v>TRAVELERRECEIVED</v>
      </c>
      <c r="J948" t="str">
        <v>DONE</v>
      </c>
      <c r="K948" t="str">
        <f>IF(ISERROR(MATCH(WORKORDER[[#This Row],[TRAVELER]],Table1[TRAVELER],0)),K948,"Shipped")</f>
        <v>Shipped</v>
      </c>
      <c r="L948">
        <f>+IF(ISERROR(MATCH(WORKORDER[[#This Row],[TRAVELER]],Table1[TRAVELER],0)),L948,'PACKING SLIP'!$F$5)</f>
        <v>30101</v>
      </c>
    </row>
    <row r="949">
      <c r="A949">
        <v>716791</v>
      </c>
      <c r="B949" t="str">
        <v>06104725AA</v>
      </c>
      <c r="C949">
        <v>1649</v>
      </c>
      <c r="D949" t="str">
        <v>MC/BF</v>
      </c>
      <c r="E949">
        <v>1124</v>
      </c>
      <c r="F949">
        <v>106038</v>
      </c>
      <c r="G949">
        <v>193339</v>
      </c>
      <c r="H949" s="1">
        <v>46255</v>
      </c>
      <c r="I949" t="str">
        <v>TRAVELERRECEIVED</v>
      </c>
      <c r="K949">
        <f>IF(ISERROR(MATCH(WORKORDER[[#This Row],[TRAVELER]],Table1[TRAVELER],0)),K949,"Shipped")</f>
        <v>0</v>
      </c>
      <c r="L949">
        <f>+IF(ISERROR(MATCH(WORKORDER[[#This Row],[TRAVELER]],Table1[TRAVELER],0)),L949,'PACKING SLIP'!$F$5)</f>
        <v>0</v>
      </c>
    </row>
    <row r="950">
      <c r="A950">
        <v>716792</v>
      </c>
      <c r="B950" t="str">
        <v>06104725AA</v>
      </c>
      <c r="C950">
        <v>851</v>
      </c>
      <c r="D950" t="str">
        <v>MC/BF</v>
      </c>
      <c r="E950">
        <v>1013</v>
      </c>
      <c r="F950">
        <v>95566</v>
      </c>
      <c r="G950">
        <v>193339</v>
      </c>
      <c r="H950" s="1">
        <v>46255</v>
      </c>
      <c r="I950" t="str">
        <v>TRAVELERRECEIVED</v>
      </c>
      <c r="K950" t="str">
        <v>Shipped</v>
      </c>
      <c r="L950">
        <v>30044</v>
      </c>
    </row>
    <row r="951">
      <c r="A951">
        <v>716793</v>
      </c>
      <c r="B951" t="str">
        <v>06104725AA</v>
      </c>
      <c r="C951">
        <v>1687</v>
      </c>
      <c r="D951" t="str">
        <v>MC/BF</v>
      </c>
      <c r="E951">
        <v>1086</v>
      </c>
      <c r="F951">
        <v>102453</v>
      </c>
      <c r="G951">
        <v>193339</v>
      </c>
      <c r="H951" s="1">
        <v>46255</v>
      </c>
      <c r="I951" t="str">
        <v>TRAVELERRECEIVED</v>
      </c>
      <c r="K951" t="str">
        <v>Shipped</v>
      </c>
      <c r="L951">
        <v>30030</v>
      </c>
    </row>
    <row r="952">
      <c r="A952">
        <v>716794</v>
      </c>
      <c r="B952" t="str">
        <v>06104725AA</v>
      </c>
      <c r="C952">
        <v>1775</v>
      </c>
      <c r="D952" t="str">
        <v>MC/BF</v>
      </c>
      <c r="E952">
        <v>1088</v>
      </c>
      <c r="F952">
        <v>102642</v>
      </c>
      <c r="G952">
        <v>193339</v>
      </c>
      <c r="H952" s="1">
        <v>46255</v>
      </c>
      <c r="I952" t="str">
        <v>TRAVELERRECEIVED</v>
      </c>
      <c r="K952" t="str">
        <v>Shipped</v>
      </c>
      <c r="L952">
        <v>30030</v>
      </c>
    </row>
    <row r="953">
      <c r="A953">
        <v>716795</v>
      </c>
      <c r="B953" t="str">
        <v>06104725AA</v>
      </c>
      <c r="C953">
        <v>1539</v>
      </c>
      <c r="D953" t="str">
        <v>MC/BF</v>
      </c>
      <c r="E953">
        <v>1086</v>
      </c>
      <c r="F953">
        <v>102453</v>
      </c>
      <c r="G953">
        <v>193339</v>
      </c>
      <c r="H953" s="1">
        <v>46255</v>
      </c>
      <c r="I953" t="str">
        <v>TRAVELERRECEIVED</v>
      </c>
      <c r="K953" t="str">
        <v>Shipped</v>
      </c>
      <c r="L953">
        <v>30031</v>
      </c>
    </row>
    <row r="954">
      <c r="A954">
        <v>716796</v>
      </c>
      <c r="B954" t="str">
        <v>06104725AA</v>
      </c>
      <c r="C954">
        <v>2</v>
      </c>
      <c r="E954">
        <v>1081</v>
      </c>
      <c r="F954">
        <v>101981</v>
      </c>
      <c r="G954">
        <v>193339</v>
      </c>
      <c r="H954" s="1">
        <v>46255</v>
      </c>
      <c r="I954" t="str">
        <v>TRAVELERRECEIVED</v>
      </c>
      <c r="J954" t="str">
        <v>DONE</v>
      </c>
      <c r="K954">
        <f>IF(ISERROR(MATCH(WORKORDER[[#This Row],[TRAVELER]],Table1[TRAVELER],0)),K954,"Shipped")</f>
        <v>0</v>
      </c>
      <c r="L954">
        <f>+IF(ISERROR(MATCH(WORKORDER[[#This Row],[TRAVELER]],Table1[TRAVELER],0)),L954,'PACKING SLIP'!$F$5)</f>
        <v>0</v>
      </c>
    </row>
    <row r="955">
      <c r="A955">
        <v>716797</v>
      </c>
      <c r="B955" t="str">
        <v>06104725AA</v>
      </c>
      <c r="C955">
        <v>108</v>
      </c>
      <c r="E955">
        <v>978</v>
      </c>
      <c r="F955">
        <v>92264</v>
      </c>
      <c r="G955">
        <v>193339</v>
      </c>
      <c r="H955" s="1">
        <v>46255</v>
      </c>
      <c r="I955" t="str">
        <v>TRAVELERRECEIVED</v>
      </c>
      <c r="J955" t="str">
        <v>DONE</v>
      </c>
      <c r="K955" t="str">
        <f>IF(ISERROR(MATCH(WORKORDER[[#This Row],[TRAVELER]],Table1[TRAVELER],0)),K955,"Shipped")</f>
        <v>Shipped</v>
      </c>
      <c r="L955">
        <f>+IF(ISERROR(MATCH(WORKORDER[[#This Row],[TRAVELER]],Table1[TRAVELER],0)),L955,'PACKING SLIP'!$F$5)</f>
        <v>30065</v>
      </c>
    </row>
    <row r="956">
      <c r="A956">
        <v>716798</v>
      </c>
      <c r="B956" t="str">
        <v>06104725AA</v>
      </c>
      <c r="C956">
        <v>1402</v>
      </c>
      <c r="E956">
        <v>1181</v>
      </c>
      <c r="F956">
        <v>111415</v>
      </c>
      <c r="G956">
        <v>193339</v>
      </c>
      <c r="H956" s="1">
        <v>46255</v>
      </c>
      <c r="I956" t="str">
        <v>TRAVELERRECEIVED</v>
      </c>
      <c r="J956" t="str">
        <v>DONE</v>
      </c>
      <c r="K956">
        <f>IF(ISERROR(MATCH(WORKORDER[[#This Row],[TRAVELER]],Table1[TRAVELER],0)),K956,"Shipped")</f>
        <v>0</v>
      </c>
      <c r="L956">
        <f>+IF(ISERROR(MATCH(WORKORDER[[#This Row],[TRAVELER]],Table1[TRAVELER],0)),L956,'PACKING SLIP'!$F$5)</f>
        <v>0</v>
      </c>
    </row>
    <row r="957">
      <c r="A957">
        <v>716799</v>
      </c>
      <c r="B957" t="str">
        <v>06104388AA</v>
      </c>
      <c r="C957">
        <v>48</v>
      </c>
      <c r="E957">
        <v>848</v>
      </c>
      <c r="F957">
        <v>20533</v>
      </c>
      <c r="G957">
        <v>193339</v>
      </c>
      <c r="H957" s="1">
        <v>46255</v>
      </c>
      <c r="I957" t="str">
        <v>TRAVELERRECEIVED</v>
      </c>
      <c r="J957" t="str">
        <v>DONE</v>
      </c>
      <c r="K957" t="str">
        <v>Shipped</v>
      </c>
      <c r="L957">
        <v>30039</v>
      </c>
    </row>
    <row r="958">
      <c r="A958">
        <v>716800</v>
      </c>
      <c r="B958" t="str">
        <v>06104388AA</v>
      </c>
      <c r="C958">
        <v>82</v>
      </c>
      <c r="E958">
        <v>818</v>
      </c>
      <c r="F958">
        <v>19806</v>
      </c>
      <c r="G958">
        <v>193339</v>
      </c>
      <c r="H958" s="1">
        <v>46255</v>
      </c>
      <c r="I958" t="str">
        <v>TRAVELERRECEIVED</v>
      </c>
      <c r="J958" t="str">
        <v>DONE</v>
      </c>
      <c r="K958" t="str">
        <f>IF(ISERROR(MATCH(WORKORDER[[#This Row],[TRAVELER]],Table1[TRAVELER],0)),K958,"Shipped")</f>
        <v>Shipped</v>
      </c>
      <c r="L958">
        <f>+IF(ISERROR(MATCH(WORKORDER[[#This Row],[TRAVELER]],Table1[TRAVELER],0)),L958,'PACKING SLIP'!$F$5)</f>
        <v>30069</v>
      </c>
    </row>
    <row r="959">
      <c r="A959">
        <v>716801</v>
      </c>
      <c r="B959" t="str">
        <v>06104388AA</v>
      </c>
      <c r="C959">
        <v>1603</v>
      </c>
      <c r="E959">
        <v>860</v>
      </c>
      <c r="F959">
        <v>20823</v>
      </c>
      <c r="G959">
        <v>193339</v>
      </c>
      <c r="H959" s="1">
        <v>46255</v>
      </c>
      <c r="I959" t="str">
        <v>TRAVELERRECEIVED</v>
      </c>
      <c r="J959" t="str">
        <v>DONE</v>
      </c>
      <c r="K959" t="str">
        <v>Shipped</v>
      </c>
      <c r="L959">
        <v>30031</v>
      </c>
    </row>
    <row r="960">
      <c r="A960">
        <v>716802</v>
      </c>
      <c r="B960" t="str">
        <v>06104388AA</v>
      </c>
      <c r="C960">
        <v>878</v>
      </c>
      <c r="E960">
        <v>803</v>
      </c>
      <c r="F960">
        <v>19443</v>
      </c>
      <c r="G960">
        <v>193339</v>
      </c>
      <c r="H960" s="1">
        <v>46255</v>
      </c>
      <c r="I960" t="str">
        <v>TRAVELERRECEIVED</v>
      </c>
      <c r="J960" t="str">
        <v>DONE</v>
      </c>
      <c r="K960" t="str">
        <f>IF(ISERROR(MATCH(WORKORDER[[#This Row],[TRAVELER]],Table1[TRAVELER],0)),K960,"Shipped")</f>
        <v>Shipped</v>
      </c>
      <c r="L960">
        <f>+IF(ISERROR(MATCH(WORKORDER[[#This Row],[TRAVELER]],Table1[TRAVELER],0)),L960,'PACKING SLIP'!$F$5)</f>
        <v>30069</v>
      </c>
    </row>
    <row r="961">
      <c r="A961">
        <v>716803</v>
      </c>
      <c r="B961" t="str">
        <v>06104388AA</v>
      </c>
      <c r="C961">
        <v>373</v>
      </c>
      <c r="E961">
        <v>817</v>
      </c>
      <c r="F961">
        <v>19782</v>
      </c>
      <c r="G961">
        <v>193339</v>
      </c>
      <c r="H961" s="1">
        <v>46255</v>
      </c>
      <c r="I961" t="str">
        <v>TRAVELERRECEIVED</v>
      </c>
      <c r="J961" t="str">
        <v>DONE</v>
      </c>
      <c r="K961" t="str">
        <v>Shipped</v>
      </c>
      <c r="L961">
        <v>30031</v>
      </c>
    </row>
    <row r="962">
      <c r="A962">
        <v>716804</v>
      </c>
      <c r="B962" t="str">
        <v>06104388AA</v>
      </c>
      <c r="C962">
        <v>798</v>
      </c>
      <c r="E962">
        <v>843</v>
      </c>
      <c r="F962">
        <v>20412</v>
      </c>
      <c r="G962">
        <v>193339</v>
      </c>
      <c r="H962" s="1">
        <v>46255</v>
      </c>
      <c r="I962" t="str">
        <v>TRAVELERRECEIVED</v>
      </c>
      <c r="J962" t="str">
        <v>DONE</v>
      </c>
      <c r="K962" t="str">
        <v>Shipped</v>
      </c>
      <c r="L962">
        <v>30039</v>
      </c>
    </row>
    <row r="963">
      <c r="A963">
        <v>716880</v>
      </c>
      <c r="B963" t="str">
        <v>W20-1028-020SL</v>
      </c>
      <c r="C963">
        <v>19</v>
      </c>
      <c r="D963" t="str">
        <v>TB</v>
      </c>
      <c r="E963">
        <v>1111</v>
      </c>
      <c r="F963">
        <v>8133</v>
      </c>
      <c r="G963">
        <v>193339</v>
      </c>
      <c r="H963" s="1">
        <v>46255</v>
      </c>
      <c r="I963" t="str">
        <v>TRAVELERRECEIVED</v>
      </c>
      <c r="J963" t="str">
        <v>DONE</v>
      </c>
      <c r="K963" t="str">
        <f>IF(ISERROR(MATCH(WORKORDER[[#This Row],[TRAVELER]],Table1[TRAVELER],0)),K963,"Shipped")</f>
        <v>Shipped</v>
      </c>
      <c r="L963">
        <f>+IF(ISERROR(MATCH(WORKORDER[[#This Row],[TRAVELER]],Table1[TRAVELER],0)),L963,'PACKING SLIP'!$F$5)</f>
        <v>30074</v>
      </c>
    </row>
    <row r="964">
      <c r="A964">
        <v>716881</v>
      </c>
      <c r="B964" t="str">
        <v>W20-1028-020SL</v>
      </c>
      <c r="C964">
        <v>653</v>
      </c>
      <c r="D964" t="str">
        <v>TB</v>
      </c>
      <c r="E964">
        <v>942</v>
      </c>
      <c r="F964">
        <v>6896</v>
      </c>
      <c r="G964">
        <v>193339</v>
      </c>
      <c r="H964" s="1">
        <v>46255</v>
      </c>
      <c r="I964" t="str">
        <v>TRAVELERRECEIVED</v>
      </c>
      <c r="J964" t="str">
        <v>DONE</v>
      </c>
      <c r="K964" t="str">
        <f>IF(ISERROR(MATCH(WORKORDER[[#This Row],[TRAVELER]],Table1[TRAVELER],0)),K964,"Shipped")</f>
        <v>Shipped</v>
      </c>
      <c r="L964">
        <f>+IF(ISERROR(MATCH(WORKORDER[[#This Row],[TRAVELER]],Table1[TRAVELER],0)),L964,'PACKING SLIP'!$F$5)</f>
        <v>30074</v>
      </c>
    </row>
    <row r="965">
      <c r="A965">
        <v>716882</v>
      </c>
      <c r="B965" t="str">
        <v>W20-1028-020SL</v>
      </c>
      <c r="C965">
        <v>1437</v>
      </c>
      <c r="D965" t="str">
        <v>TB</v>
      </c>
      <c r="E965">
        <v>993</v>
      </c>
      <c r="F965">
        <v>7269</v>
      </c>
      <c r="G965">
        <v>193339</v>
      </c>
      <c r="H965" s="1">
        <v>46255</v>
      </c>
      <c r="I965" t="str">
        <v>TRAVELERRECEIVED</v>
      </c>
      <c r="J965" t="str">
        <v>DONE</v>
      </c>
      <c r="K965" t="str">
        <f>IF(ISERROR(MATCH(WORKORDER[[#This Row],[TRAVELER]],Table1[TRAVELER],0)),K965,"Shipped")</f>
        <v>Shipped</v>
      </c>
      <c r="L965">
        <f>+IF(ISERROR(MATCH(WORKORDER[[#This Row],[TRAVELER]],Table1[TRAVELER],0)),L965,'PACKING SLIP'!$F$5)</f>
        <v>30074</v>
      </c>
    </row>
    <row r="966">
      <c r="A966">
        <v>716883</v>
      </c>
      <c r="B966" t="str">
        <v>W20-1028-020SL</v>
      </c>
      <c r="C966">
        <v>1811</v>
      </c>
      <c r="D966" t="str">
        <v>TB</v>
      </c>
      <c r="E966">
        <v>1080</v>
      </c>
      <c r="F966">
        <v>7906</v>
      </c>
      <c r="G966">
        <v>193339</v>
      </c>
      <c r="H966" s="1">
        <v>46255</v>
      </c>
      <c r="I966" t="str">
        <v>TRAVELERRECEIVED</v>
      </c>
      <c r="J966" t="str">
        <v>DONE</v>
      </c>
      <c r="K966" t="str">
        <f>IF(ISERROR(MATCH(WORKORDER[[#This Row],[TRAVELER]],Table1[TRAVELER],0)),K966,"Shipped")</f>
        <v>Shipped</v>
      </c>
      <c r="L966">
        <f>+IF(ISERROR(MATCH(WORKORDER[[#This Row],[TRAVELER]],Table1[TRAVELER],0)),L966,'PACKING SLIP'!$F$5)</f>
        <v>30074</v>
      </c>
    </row>
    <row r="967">
      <c r="A967">
        <v>716884</v>
      </c>
      <c r="B967" t="str">
        <v>W20-1028-020SL</v>
      </c>
      <c r="C967">
        <v>1813</v>
      </c>
      <c r="D967" t="str">
        <v>TB</v>
      </c>
      <c r="E967">
        <v>979</v>
      </c>
      <c r="F967">
        <v>7167</v>
      </c>
      <c r="G967">
        <v>193339</v>
      </c>
      <c r="H967" s="1">
        <v>46255</v>
      </c>
      <c r="I967" t="str">
        <v>TRAVELERRECEIVED</v>
      </c>
      <c r="J967" t="str">
        <v>DONE</v>
      </c>
      <c r="K967" t="str">
        <f>IF(ISERROR(MATCH(WORKORDER[[#This Row],[TRAVELER]],Table1[TRAVELER],0)),K967,"Shipped")</f>
        <v>Shipped</v>
      </c>
      <c r="L967">
        <f>+IF(ISERROR(MATCH(WORKORDER[[#This Row],[TRAVELER]],Table1[TRAVELER],0)),L967,'PACKING SLIP'!$F$5)</f>
        <v>30074</v>
      </c>
    </row>
    <row r="968">
      <c r="A968">
        <v>716885</v>
      </c>
      <c r="B968" t="str">
        <v>W20-1028-020SL</v>
      </c>
      <c r="C968">
        <v>209</v>
      </c>
      <c r="D968" t="str">
        <v>TB</v>
      </c>
      <c r="E968">
        <v>1095</v>
      </c>
      <c r="F968">
        <v>8016</v>
      </c>
      <c r="G968">
        <v>193339</v>
      </c>
      <c r="H968" s="1">
        <v>46255</v>
      </c>
      <c r="I968" t="str">
        <v>TRAVELERRECEIVED</v>
      </c>
      <c r="J968" t="str">
        <v>DONE</v>
      </c>
      <c r="K968" t="str">
        <f>IF(ISERROR(MATCH(WORKORDER[[#This Row],[TRAVELER]],Table1[TRAVELER],0)),K968,"Shipped")</f>
        <v>Shipped</v>
      </c>
      <c r="L968">
        <f>+IF(ISERROR(MATCH(WORKORDER[[#This Row],[TRAVELER]],Table1[TRAVELER],0)),L968,'PACKING SLIP'!$F$5)</f>
        <v>30074</v>
      </c>
    </row>
    <row r="969">
      <c r="A969">
        <v>716971</v>
      </c>
      <c r="B969" t="str">
        <v>06102612AA</v>
      </c>
      <c r="C969">
        <v>181</v>
      </c>
      <c r="E969">
        <v>1194</v>
      </c>
      <c r="F969">
        <v>72364</v>
      </c>
      <c r="G969">
        <v>193339</v>
      </c>
      <c r="H969" s="1">
        <v>46255</v>
      </c>
      <c r="I969" t="str">
        <v>TRAVELERRECEIVED</v>
      </c>
      <c r="J969" t="str">
        <v>DONE</v>
      </c>
      <c r="K969" t="str">
        <f>IF(ISERROR(MATCH(WORKORDER[[#This Row],[TRAVELER]],Table1[TRAVELER],0)),K969,"Shipped")</f>
        <v>Shipped</v>
      </c>
      <c r="L969">
        <f>+IF(ISERROR(MATCH(WORKORDER[[#This Row],[TRAVELER]],Table1[TRAVELER],0)),L969,'PACKING SLIP'!$F$5)</f>
        <v>30072</v>
      </c>
    </row>
    <row r="970">
      <c r="A970">
        <v>717047</v>
      </c>
      <c r="B970">
        <v>11548414</v>
      </c>
      <c r="C970">
        <v>823</v>
      </c>
      <c r="E970">
        <v>1120</v>
      </c>
      <c r="F970">
        <v>17364</v>
      </c>
      <c r="G970">
        <v>193339</v>
      </c>
      <c r="H970" s="1">
        <v>46255</v>
      </c>
      <c r="I970" t="str">
        <v>TRAVELERRECEIVED</v>
      </c>
      <c r="J970" t="str">
        <v>DONE</v>
      </c>
      <c r="K970" t="str">
        <f>IF(ISERROR(MATCH(WORKORDER[[#This Row],[TRAVELER]],Table1[TRAVELER],0)),K970,"Shipped")</f>
        <v>Shipped</v>
      </c>
      <c r="L970">
        <f>+IF(ISERROR(MATCH([1]!WORKORDER[[#This Row],[TRAVELER]],[1]!Table1[TRAVELER],0)),L970,#REF!)</f>
        <v>0</v>
      </c>
    </row>
    <row r="971">
      <c r="A971">
        <v>717048</v>
      </c>
      <c r="B971">
        <v>11548414</v>
      </c>
      <c r="C971">
        <v>1319</v>
      </c>
      <c r="E971">
        <v>880</v>
      </c>
      <c r="F971">
        <v>13643</v>
      </c>
      <c r="G971">
        <v>193339</v>
      </c>
      <c r="H971" s="1">
        <v>46255</v>
      </c>
      <c r="I971" t="str">
        <v>TRAVELERRECEIVED</v>
      </c>
      <c r="J971" t="str">
        <v>DONE</v>
      </c>
      <c r="K971">
        <f>IF(ISERROR(MATCH(WORKORDER[[#This Row],[TRAVELER]],Table1[TRAVELER],0)),K971,"Shipped")</f>
        <v>0</v>
      </c>
      <c r="L971">
        <f>+IF(ISERROR(MATCH(WORKORDER[[#This Row],[TRAVELER]],Table1[TRAVELER],0)),L971,'PACKING SLIP'!$F$5)</f>
        <v>0</v>
      </c>
    </row>
    <row r="972">
      <c r="A972">
        <v>717049</v>
      </c>
      <c r="B972">
        <v>11548414</v>
      </c>
      <c r="C972">
        <v>68</v>
      </c>
      <c r="E972">
        <v>1040</v>
      </c>
      <c r="F972">
        <v>16124</v>
      </c>
      <c r="G972">
        <v>193339</v>
      </c>
      <c r="H972" s="1">
        <v>46255</v>
      </c>
      <c r="I972" t="str">
        <v>TRAVELERRECEIVED</v>
      </c>
      <c r="J972" t="str">
        <v>DONE</v>
      </c>
      <c r="K972" t="str">
        <f>IF(ISERROR(MATCH(WORKORDER[[#This Row],[TRAVELER]],Table1[TRAVELER],0)),K972,"Shipped")</f>
        <v>Shipped</v>
      </c>
      <c r="L972">
        <f>+IF(ISERROR(MATCH(WORKORDER[[#This Row],[TRAVELER]],Table1[TRAVELER],0)),L972,'PACKING SLIP'!$F$5)</f>
        <v>30082</v>
      </c>
    </row>
    <row r="973">
      <c r="A973">
        <v>717050</v>
      </c>
      <c r="B973">
        <v>11548414</v>
      </c>
      <c r="C973">
        <v>1409</v>
      </c>
      <c r="D973" t="str">
        <v>MC/BF</v>
      </c>
      <c r="E973">
        <v>1146</v>
      </c>
      <c r="F973">
        <v>17767</v>
      </c>
      <c r="G973">
        <v>193339</v>
      </c>
      <c r="H973" s="1">
        <v>46255</v>
      </c>
      <c r="I973" t="str">
        <v>TRAVELERRECEIVED</v>
      </c>
      <c r="K973" t="str">
        <v>Shipped</v>
      </c>
      <c r="L973">
        <v>30031</v>
      </c>
    </row>
    <row r="974">
      <c r="A974">
        <v>717051</v>
      </c>
      <c r="B974">
        <v>11548414</v>
      </c>
      <c r="C974">
        <v>44</v>
      </c>
      <c r="E974">
        <v>1160</v>
      </c>
      <c r="F974">
        <v>17984</v>
      </c>
      <c r="G974">
        <v>193339</v>
      </c>
      <c r="H974" s="1">
        <v>46255</v>
      </c>
      <c r="I974" t="str">
        <v>TRAVELERRECEIVED</v>
      </c>
      <c r="J974" t="str">
        <v>DONE</v>
      </c>
      <c r="K974">
        <f>IF(ISERROR(MATCH(WORKORDER[[#This Row],[TRAVELER]],Table1[TRAVELER],0)),K974,"Shipped")</f>
        <v>0</v>
      </c>
      <c r="L974">
        <f>+IF(ISERROR(MATCH(WORKORDER[[#This Row],[TRAVELER]],Table1[TRAVELER],0)),L974,'PACKING SLIP'!$F$5)</f>
        <v>0</v>
      </c>
    </row>
    <row r="975">
      <c r="A975">
        <v>717052</v>
      </c>
      <c r="B975">
        <v>11548414</v>
      </c>
      <c r="C975">
        <v>1417</v>
      </c>
      <c r="E975">
        <v>1046</v>
      </c>
      <c r="F975">
        <v>16217</v>
      </c>
      <c r="G975">
        <v>193339</v>
      </c>
      <c r="H975" s="1">
        <v>46255</v>
      </c>
      <c r="I975" t="str">
        <v>TRAVELERRECEIVED</v>
      </c>
      <c r="J975" t="str">
        <v>DONE</v>
      </c>
      <c r="K975">
        <f>IF(ISERROR(MATCH(WORKORDER[[#This Row],[TRAVELER]],Table1[TRAVELER],0)),K975,"Shipped")</f>
        <v>0</v>
      </c>
      <c r="L975">
        <f>+IF(ISERROR(MATCH(WORKORDER[[#This Row],[TRAVELER]],Table1[TRAVELER],0)),L975,'PACKING SLIP'!$F$5)</f>
        <v>0</v>
      </c>
    </row>
    <row r="976">
      <c r="A976">
        <v>717053</v>
      </c>
      <c r="B976">
        <v>11548414</v>
      </c>
      <c r="C976">
        <v>1366</v>
      </c>
      <c r="D976" t="str">
        <v>MC/BF</v>
      </c>
      <c r="E976">
        <v>806</v>
      </c>
      <c r="F976">
        <v>12496</v>
      </c>
      <c r="G976">
        <v>193339</v>
      </c>
      <c r="H976" s="1">
        <v>46255</v>
      </c>
      <c r="I976" t="str">
        <v>TRAVELERRECEIVED</v>
      </c>
      <c r="K976" t="str">
        <v>Shipped</v>
      </c>
      <c r="L976">
        <v>30037</v>
      </c>
    </row>
    <row r="977">
      <c r="A977">
        <v>717054</v>
      </c>
      <c r="B977">
        <v>11548414</v>
      </c>
      <c r="C977">
        <v>913</v>
      </c>
      <c r="D977" t="str">
        <v>MC/BF</v>
      </c>
      <c r="E977">
        <v>650</v>
      </c>
      <c r="F977">
        <v>10078</v>
      </c>
      <c r="G977">
        <v>193339</v>
      </c>
      <c r="H977" s="1">
        <v>46255</v>
      </c>
      <c r="I977" t="str">
        <v>TRAVELERRECEIVED</v>
      </c>
      <c r="K977" t="str">
        <v>Shipped</v>
      </c>
      <c r="L977">
        <v>30030</v>
      </c>
    </row>
    <row r="978">
      <c r="A978">
        <v>717055</v>
      </c>
      <c r="B978">
        <v>11548414</v>
      </c>
      <c r="C978">
        <v>400</v>
      </c>
      <c r="D978" t="str">
        <v>MC/BF</v>
      </c>
      <c r="E978">
        <v>1107</v>
      </c>
      <c r="F978">
        <v>17163</v>
      </c>
      <c r="G978">
        <v>193339</v>
      </c>
      <c r="H978" s="1">
        <v>46255</v>
      </c>
      <c r="I978" t="str">
        <v>TRAVELERRECEIVED</v>
      </c>
      <c r="K978">
        <f>IF(ISERROR(MATCH(WORKORDER[[#This Row],[TRAVELER]],Table1[TRAVELER],0)),K978,"Shipped")</f>
        <v>0</v>
      </c>
      <c r="L978">
        <f>+IF(ISERROR(MATCH(WORKORDER[[#This Row],[TRAVELER]],Table1[TRAVELER],0)),L978,'PACKING SLIP'!$F$5)</f>
        <v>0</v>
      </c>
    </row>
    <row r="979">
      <c r="A979">
        <v>717056</v>
      </c>
      <c r="B979">
        <v>11548414</v>
      </c>
      <c r="C979">
        <v>120</v>
      </c>
      <c r="D979" t="str">
        <v>MC/BF</v>
      </c>
      <c r="E979">
        <v>1056</v>
      </c>
      <c r="F979">
        <v>16372</v>
      </c>
      <c r="G979">
        <v>193339</v>
      </c>
      <c r="H979" s="1">
        <v>46255</v>
      </c>
      <c r="I979" t="str">
        <v>TRAVELERRECEIVED</v>
      </c>
      <c r="K979" t="str">
        <v>Shipped</v>
      </c>
      <c r="L979">
        <v>30030</v>
      </c>
    </row>
    <row r="980">
      <c r="A980">
        <v>715948</v>
      </c>
      <c r="B980" t="str">
        <v>11546366-MY-AK</v>
      </c>
      <c r="C980">
        <v>525</v>
      </c>
      <c r="D980" t="str">
        <v>MC/BF</v>
      </c>
      <c r="E980">
        <v>1143</v>
      </c>
      <c r="F980">
        <v>41264</v>
      </c>
      <c r="G980">
        <v>193371</v>
      </c>
      <c r="H980" s="1">
        <v>46255</v>
      </c>
      <c r="I980" t="str">
        <v>TRAVELERRECEIVED</v>
      </c>
      <c r="J980" t="str">
        <v>DONE</v>
      </c>
      <c r="K980" t="str">
        <v>Shipped</v>
      </c>
      <c r="L980">
        <v>30039</v>
      </c>
    </row>
    <row r="981">
      <c r="A981">
        <v>715949</v>
      </c>
      <c r="B981" t="str">
        <v>11546366-MY-AK</v>
      </c>
      <c r="C981">
        <v>51</v>
      </c>
      <c r="D981" t="str">
        <v>MC/BF</v>
      </c>
      <c r="E981">
        <v>1118</v>
      </c>
      <c r="F981">
        <v>40361</v>
      </c>
      <c r="G981">
        <v>193371</v>
      </c>
      <c r="H981" s="1">
        <v>46255</v>
      </c>
      <c r="J981" t="str">
        <v>DONE</v>
      </c>
      <c r="K981" t="str">
        <f>IF(ISERROR(MATCH(WORKORDER[[#This Row],[TRAVELER]],Table1[TRAVELER],0)),K981,"Shipped")</f>
        <v>Shipped</v>
      </c>
      <c r="L981">
        <v>30030</v>
      </c>
    </row>
    <row r="982">
      <c r="A982">
        <v>715950</v>
      </c>
      <c r="B982" t="str">
        <v>11546366-MY-AK</v>
      </c>
      <c r="C982">
        <v>1631</v>
      </c>
      <c r="D982" t="str">
        <v>MC/BF</v>
      </c>
      <c r="E982">
        <v>1105</v>
      </c>
      <c r="F982">
        <v>39892</v>
      </c>
      <c r="G982">
        <v>193371</v>
      </c>
      <c r="H982" s="1">
        <v>46255</v>
      </c>
      <c r="I982" t="str">
        <v>TRAVELERRECEIVED</v>
      </c>
      <c r="J982" t="str">
        <v>DONE</v>
      </c>
      <c r="K982" t="str">
        <f>IF(ISERROR(MATCH(WORKORDER[[#This Row],[TRAVELER]],Table1[TRAVELER],0)),K982,"Shipped")</f>
        <v>Shipped</v>
      </c>
      <c r="L982">
        <f>+IF(ISERROR(MATCH(WORKORDER[[#This Row],[TRAVELER]],Table1[TRAVELER],0)),L982,'PACKING SLIP'!$F$5)</f>
        <v>30059</v>
      </c>
    </row>
    <row r="983">
      <c r="A983">
        <v>715951</v>
      </c>
      <c r="B983" t="str">
        <v>11546366-MY-AK</v>
      </c>
      <c r="C983">
        <v>1428</v>
      </c>
      <c r="D983" t="str">
        <v>MC/BF</v>
      </c>
      <c r="E983">
        <v>1154</v>
      </c>
      <c r="F983">
        <v>41661</v>
      </c>
      <c r="G983">
        <v>193371</v>
      </c>
      <c r="H983" s="1">
        <v>46255</v>
      </c>
      <c r="I983" t="str">
        <v>TRAVELERRECEIVED</v>
      </c>
      <c r="J983" t="str">
        <v>DONE</v>
      </c>
      <c r="K983" t="str">
        <v>Shipped</v>
      </c>
      <c r="L983">
        <v>30037</v>
      </c>
    </row>
    <row r="984">
      <c r="A984">
        <v>715966</v>
      </c>
      <c r="B984" t="str">
        <v>11546365-MY-AK</v>
      </c>
      <c r="C984">
        <v>808</v>
      </c>
      <c r="D984" t="str">
        <v>MC/BF</v>
      </c>
      <c r="E984">
        <v>1178</v>
      </c>
      <c r="F984">
        <v>68889</v>
      </c>
      <c r="G984">
        <v>193371</v>
      </c>
      <c r="H984" s="1">
        <v>46255</v>
      </c>
      <c r="I984" t="str">
        <v>TRAVELERRECEIVED</v>
      </c>
      <c r="K984" t="str">
        <v>Shipped</v>
      </c>
      <c r="L984">
        <v>30030</v>
      </c>
    </row>
    <row r="985">
      <c r="A985">
        <v>715967</v>
      </c>
      <c r="B985" t="str">
        <v>11546365-MY-AK</v>
      </c>
      <c r="C985">
        <v>57</v>
      </c>
      <c r="D985" t="str">
        <v>MC/BF</v>
      </c>
      <c r="E985">
        <v>1099</v>
      </c>
      <c r="F985">
        <v>64269</v>
      </c>
      <c r="G985">
        <v>193371</v>
      </c>
      <c r="H985" s="1">
        <v>46255</v>
      </c>
      <c r="I985" t="str">
        <v>TRAVELERRECEIVED</v>
      </c>
      <c r="J985" t="str">
        <v>DONE</v>
      </c>
      <c r="K985" t="str">
        <v>Shipped</v>
      </c>
      <c r="L985">
        <v>30037</v>
      </c>
    </row>
    <row r="986">
      <c r="A986">
        <v>715968</v>
      </c>
      <c r="B986" t="str">
        <v>11546365-MY-AK</v>
      </c>
      <c r="C986">
        <v>1696</v>
      </c>
      <c r="D986" t="str">
        <v>MC/BF</v>
      </c>
      <c r="E986">
        <v>1199</v>
      </c>
      <c r="F986">
        <v>70117</v>
      </c>
      <c r="G986">
        <v>193371</v>
      </c>
      <c r="H986" s="1">
        <v>46255</v>
      </c>
      <c r="I986" t="str">
        <v>TRAVELERRECEIVED</v>
      </c>
      <c r="J986" t="str">
        <v>DONE</v>
      </c>
      <c r="K986" t="str">
        <v>Shipped</v>
      </c>
      <c r="L986">
        <v>30037</v>
      </c>
    </row>
    <row r="987">
      <c r="A987">
        <v>715969</v>
      </c>
      <c r="B987" t="str">
        <v>11546365-MY-AK</v>
      </c>
      <c r="C987">
        <v>860</v>
      </c>
      <c r="D987" t="str">
        <v>MC/BF</v>
      </c>
      <c r="E987">
        <v>1087</v>
      </c>
      <c r="F987">
        <v>63567</v>
      </c>
      <c r="G987">
        <v>193371</v>
      </c>
      <c r="H987" s="1">
        <v>46255</v>
      </c>
      <c r="I987" t="str">
        <v>TRAVELERRECEIVED</v>
      </c>
      <c r="J987" t="str">
        <v>DONE</v>
      </c>
      <c r="K987" t="str">
        <v>Shipped</v>
      </c>
      <c r="L987">
        <v>30030</v>
      </c>
    </row>
    <row r="988">
      <c r="A988">
        <v>716032</v>
      </c>
      <c r="B988" t="str">
        <v>11547369-BR-HA</v>
      </c>
      <c r="C988">
        <v>464</v>
      </c>
      <c r="D988" t="str">
        <v>TB</v>
      </c>
      <c r="E988">
        <v>1038</v>
      </c>
      <c r="F988">
        <v>8579</v>
      </c>
      <c r="G988">
        <v>193371</v>
      </c>
      <c r="H988" s="1">
        <v>46255</v>
      </c>
      <c r="I988" t="str">
        <v>TRAVELERRECEIVED</v>
      </c>
      <c r="J988" t="str">
        <v>DONE</v>
      </c>
      <c r="K988" t="str">
        <v>Shipped</v>
      </c>
      <c r="L988">
        <v>30044</v>
      </c>
    </row>
    <row r="989">
      <c r="A989">
        <v>716034</v>
      </c>
      <c r="B989" t="str">
        <v>11547369-BR-HA</v>
      </c>
      <c r="C989">
        <v>1752</v>
      </c>
      <c r="D989" t="str">
        <v>TB</v>
      </c>
      <c r="E989">
        <v>1480</v>
      </c>
      <c r="F989">
        <v>12231</v>
      </c>
      <c r="G989">
        <v>193371</v>
      </c>
      <c r="H989" s="1">
        <v>46255</v>
      </c>
      <c r="I989" t="str">
        <v>TRAVELERRECEIVED</v>
      </c>
      <c r="J989" t="str">
        <v>DONE</v>
      </c>
      <c r="K989" t="str">
        <f>IF(ISERROR(MATCH(WORKORDER[[#This Row],[TRAVELER]],Table1[TRAVELER],0)),K989,"Shipped")</f>
        <v>Shipped</v>
      </c>
      <c r="L989">
        <f>+IF(ISERROR(MATCH(WORKORDER[[#This Row],[TRAVELER]],Table1[TRAVELER],0)),L989,'PACKING SLIP'!$F$5)</f>
        <v>30061</v>
      </c>
    </row>
    <row r="990">
      <c r="A990">
        <v>716042</v>
      </c>
      <c r="B990" t="str">
        <v>11547369-BR-HA</v>
      </c>
      <c r="C990">
        <v>1822</v>
      </c>
      <c r="D990" t="str">
        <v>TB</v>
      </c>
      <c r="E990">
        <v>1465</v>
      </c>
      <c r="F990">
        <v>12107</v>
      </c>
      <c r="G990">
        <v>193371</v>
      </c>
      <c r="H990" s="1">
        <v>46255</v>
      </c>
      <c r="I990" t="str">
        <v>TRAVELERRECEIVED</v>
      </c>
      <c r="J990" t="str">
        <v>DONE</v>
      </c>
      <c r="K990" t="str">
        <f>IF(ISERROR(MATCH(WORKORDER[[#This Row],[TRAVELER]],Table1[TRAVELER],0)),K990,"Shipped")</f>
        <v>Shipped</v>
      </c>
      <c r="L990">
        <f>+IF(ISERROR(MATCH(WORKORDER[[#This Row],[TRAVELER]],Table1[TRAVELER],0)),L990,'PACKING SLIP'!$F$5)</f>
        <v>30061</v>
      </c>
    </row>
    <row r="991">
      <c r="A991">
        <v>716464</v>
      </c>
      <c r="B991" t="str">
        <v>11546378-MY-AK</v>
      </c>
      <c r="C991">
        <v>1575</v>
      </c>
      <c r="D991" t="str">
        <v>MC/BF</v>
      </c>
      <c r="E991">
        <v>1129</v>
      </c>
      <c r="F991">
        <v>43257</v>
      </c>
      <c r="G991">
        <v>193371</v>
      </c>
      <c r="H991" s="1">
        <v>46255</v>
      </c>
      <c r="I991" t="str">
        <v>TRAVELERRECEIVED</v>
      </c>
      <c r="J991" t="str">
        <v>DONE</v>
      </c>
      <c r="K991" t="str">
        <f>IF(ISERROR(MATCH(WORKORDER[[#This Row],[TRAVELER]],Table1[TRAVELER],0)),K991,"Shipped")</f>
        <v>Shipped</v>
      </c>
      <c r="L991">
        <f>+IF(ISERROR(MATCH(WORKORDER[[#This Row],[TRAVELER]],Table1[TRAVELER],0)),L991,'PACKING SLIP'!$F$5)</f>
        <v>30061</v>
      </c>
    </row>
    <row r="992">
      <c r="A992">
        <v>716465</v>
      </c>
      <c r="B992" t="str">
        <v>11546378-MY-AK</v>
      </c>
      <c r="C992">
        <v>1784</v>
      </c>
      <c r="D992" t="str">
        <v>MC/BF</v>
      </c>
      <c r="E992">
        <v>1159</v>
      </c>
      <c r="F992">
        <v>44406</v>
      </c>
      <c r="G992">
        <v>193371</v>
      </c>
      <c r="H992" s="1">
        <v>46255</v>
      </c>
      <c r="I992" t="str">
        <v>TRAVELERRECEIVED</v>
      </c>
      <c r="J992" t="str">
        <v>DONE</v>
      </c>
      <c r="K992" t="str">
        <f>IF(ISERROR(MATCH(WORKORDER[[#This Row],[TRAVELER]],Table1[TRAVELER],0)),K992,"Shipped")</f>
        <v>Shipped</v>
      </c>
      <c r="L992">
        <f>+IF(ISERROR(MATCH(WORKORDER[[#This Row],[TRAVELER]],Table1[TRAVELER],0)),L992,'PACKING SLIP'!$F$5)</f>
        <v>30080</v>
      </c>
    </row>
    <row r="993">
      <c r="A993">
        <v>716466</v>
      </c>
      <c r="B993" t="str">
        <v>11546378-MY-AK</v>
      </c>
      <c r="C993">
        <v>396</v>
      </c>
      <c r="D993" t="str">
        <v>MC/BF</v>
      </c>
      <c r="E993">
        <v>1129</v>
      </c>
      <c r="F993">
        <v>43406</v>
      </c>
      <c r="G993">
        <v>193371</v>
      </c>
      <c r="H993" s="1">
        <v>46255</v>
      </c>
      <c r="I993" t="str">
        <v>TRAVELERRECEIVED</v>
      </c>
      <c r="K993" t="str">
        <v>Shipped</v>
      </c>
      <c r="L993">
        <v>30030</v>
      </c>
    </row>
    <row r="994">
      <c r="A994">
        <v>716467</v>
      </c>
      <c r="B994" t="str">
        <v>11546378-MY-AK</v>
      </c>
      <c r="C994">
        <v>629</v>
      </c>
      <c r="D994" t="str">
        <v>MC/BF</v>
      </c>
      <c r="E994">
        <v>1120</v>
      </c>
      <c r="F994">
        <v>42912</v>
      </c>
      <c r="G994">
        <v>193371</v>
      </c>
      <c r="H994" s="1">
        <v>46255</v>
      </c>
      <c r="I994" t="str">
        <v>TRAVELERRECEIVED</v>
      </c>
      <c r="J994" t="str">
        <v>DONE</v>
      </c>
      <c r="K994">
        <f>IF(ISERROR(MATCH(WORKORDER[[#This Row],[TRAVELER]],Table1[TRAVELER],0)),K994,"Shipped")</f>
        <v>0</v>
      </c>
      <c r="L994">
        <f>+IF(ISERROR(MATCH(WORKORDER[[#This Row],[TRAVELER]],Table1[TRAVELER],0)),L994,'PACKING SLIP'!$F$5)</f>
        <v>0</v>
      </c>
    </row>
    <row r="995">
      <c r="A995">
        <v>716468</v>
      </c>
      <c r="B995" t="str">
        <v>11546378-MY-AK</v>
      </c>
      <c r="C995">
        <v>462</v>
      </c>
      <c r="D995" t="str">
        <v>MC/BF</v>
      </c>
      <c r="E995">
        <v>1195</v>
      </c>
      <c r="F995">
        <v>45785</v>
      </c>
      <c r="G995">
        <v>193371</v>
      </c>
      <c r="H995" s="1">
        <v>46255</v>
      </c>
      <c r="I995" t="str">
        <v>TRAVELERRECEIVED</v>
      </c>
      <c r="J995" t="str">
        <v>DONE</v>
      </c>
      <c r="K995" t="str">
        <v>Shipped</v>
      </c>
      <c r="L995">
        <v>30031</v>
      </c>
    </row>
    <row r="996">
      <c r="A996">
        <v>716469</v>
      </c>
      <c r="B996" t="str">
        <v>11546378-MY-AK</v>
      </c>
      <c r="C996">
        <v>616</v>
      </c>
      <c r="D996" t="str">
        <v>MC/BF</v>
      </c>
      <c r="E996">
        <v>1089</v>
      </c>
      <c r="F996">
        <v>41724</v>
      </c>
      <c r="G996">
        <v>193371</v>
      </c>
      <c r="H996" s="1">
        <v>46255</v>
      </c>
      <c r="I996" t="str">
        <v>TRAVELERRECEIVED</v>
      </c>
      <c r="J996" t="str">
        <v>DONE</v>
      </c>
      <c r="K996">
        <f>IF(ISERROR(MATCH(WORKORDER[[#This Row],[TRAVELER]],Table1[TRAVELER],0)),K996,"Shipped")</f>
        <v>0</v>
      </c>
      <c r="L996">
        <f>+IF(ISERROR(MATCH(WORKORDER[[#This Row],[TRAVELER]],Table1[TRAVELER],0)),L996,'PACKING SLIP'!$F$5)</f>
        <v>0</v>
      </c>
    </row>
    <row r="997">
      <c r="A997">
        <v>716886</v>
      </c>
      <c r="B997" t="str">
        <v>06101831-A</v>
      </c>
      <c r="C997">
        <v>1017</v>
      </c>
      <c r="D997" t="str">
        <v>MC/BF</v>
      </c>
      <c r="E997">
        <v>794</v>
      </c>
      <c r="F997">
        <v>28768</v>
      </c>
      <c r="G997">
        <v>193371</v>
      </c>
      <c r="H997" s="1">
        <v>46255</v>
      </c>
      <c r="I997" t="str">
        <v>TRAVELERRECEIVED</v>
      </c>
      <c r="K997" t="str">
        <v>Shipped</v>
      </c>
      <c r="L997">
        <v>30040</v>
      </c>
    </row>
    <row r="998">
      <c r="A998">
        <v>716887</v>
      </c>
      <c r="B998" t="str">
        <v>06101831-A</v>
      </c>
      <c r="C998">
        <v>1659</v>
      </c>
      <c r="D998" t="str">
        <v>MC/BF</v>
      </c>
      <c r="E998">
        <v>815</v>
      </c>
      <c r="F998">
        <v>29529</v>
      </c>
      <c r="G998">
        <v>193371</v>
      </c>
      <c r="H998" s="1">
        <v>46255</v>
      </c>
      <c r="I998" t="str">
        <v>TRAVELERRECEIVED</v>
      </c>
      <c r="K998" t="str">
        <v>Shipped</v>
      </c>
      <c r="L998">
        <v>30030</v>
      </c>
    </row>
    <row r="999">
      <c r="A999">
        <v>716888</v>
      </c>
      <c r="B999" t="str">
        <v>06101831-A</v>
      </c>
      <c r="C999">
        <v>1314</v>
      </c>
      <c r="D999" t="str">
        <v>MC/BF</v>
      </c>
      <c r="E999">
        <v>875</v>
      </c>
      <c r="F999">
        <v>31703</v>
      </c>
      <c r="G999">
        <v>193371</v>
      </c>
      <c r="H999" s="1">
        <v>46255</v>
      </c>
      <c r="I999" t="str">
        <v>TRAVELERRECEIVED</v>
      </c>
      <c r="K999" t="str">
        <v>Shipped</v>
      </c>
      <c r="L999">
        <v>30040</v>
      </c>
    </row>
    <row r="1000">
      <c r="A1000">
        <v>716889</v>
      </c>
      <c r="B1000" t="str">
        <v>06101831-A</v>
      </c>
      <c r="C1000">
        <v>304</v>
      </c>
      <c r="D1000" t="str">
        <v>MC/BF</v>
      </c>
      <c r="E1000">
        <v>773</v>
      </c>
      <c r="F1000">
        <v>28007</v>
      </c>
      <c r="G1000">
        <v>193371</v>
      </c>
      <c r="H1000" s="1">
        <v>46255</v>
      </c>
      <c r="I1000" t="str">
        <v>TRAVELERRECEIVED</v>
      </c>
      <c r="K1000" t="str">
        <v>Shipped</v>
      </c>
      <c r="L1000">
        <v>30031</v>
      </c>
    </row>
    <row r="1001">
      <c r="A1001">
        <v>716890</v>
      </c>
      <c r="B1001" t="str">
        <v>06101831-A</v>
      </c>
      <c r="C1001">
        <v>1568</v>
      </c>
      <c r="D1001" t="str">
        <v>MC/BF</v>
      </c>
      <c r="E1001">
        <v>853</v>
      </c>
      <c r="F1001">
        <v>30906</v>
      </c>
      <c r="G1001">
        <v>193371</v>
      </c>
      <c r="H1001" s="1">
        <v>46255</v>
      </c>
      <c r="I1001" t="str">
        <v>TRAVELERRECEIVED</v>
      </c>
      <c r="K1001" t="str">
        <v>Shipped</v>
      </c>
      <c r="L1001">
        <v>30030</v>
      </c>
    </row>
    <row r="1002">
      <c r="A1002">
        <v>716891</v>
      </c>
      <c r="B1002" t="str">
        <v>06101831-A</v>
      </c>
      <c r="C1002">
        <v>130</v>
      </c>
      <c r="D1002" t="str">
        <v>MC/BF</v>
      </c>
      <c r="E1002">
        <v>798</v>
      </c>
      <c r="F1002">
        <v>28913</v>
      </c>
      <c r="G1002">
        <v>193371</v>
      </c>
      <c r="H1002" s="1">
        <v>46255</v>
      </c>
      <c r="I1002" t="str">
        <v>TRAVELERRECEIVED</v>
      </c>
      <c r="K1002" t="str">
        <v>Shipped</v>
      </c>
      <c r="L1002">
        <v>30046</v>
      </c>
    </row>
    <row r="1003">
      <c r="A1003">
        <v>716985</v>
      </c>
      <c r="B1003" t="str">
        <v>06105102AA</v>
      </c>
      <c r="C1003" t="str">
        <v>KIB</v>
      </c>
      <c r="D1003" t="str">
        <v>TB</v>
      </c>
      <c r="E1003">
        <v>1736</v>
      </c>
      <c r="F1003">
        <v>40000</v>
      </c>
      <c r="G1003">
        <v>193371</v>
      </c>
      <c r="H1003" s="1">
        <v>46255</v>
      </c>
      <c r="I1003" t="str">
        <v>TRAVELERRECEIVED</v>
      </c>
      <c r="J1003" t="str">
        <v>DONE</v>
      </c>
      <c r="K1003" t="str">
        <f>IF(ISERROR(MATCH(WORKORDER[[#This Row],[TRAVELER]],Table1[TRAVELER],0)),K1003,"Shipped")</f>
        <v>Shipped</v>
      </c>
      <c r="L1003">
        <f>+IF(ISERROR(MATCH(WORKORDER[[#This Row],[TRAVELER]],Table1[TRAVELER],0)),L1003,'PACKING SLIP'!$F$5)</f>
        <v>30065</v>
      </c>
    </row>
    <row r="1004">
      <c r="A1004">
        <v>716986</v>
      </c>
      <c r="B1004" t="str">
        <v>06105102AA</v>
      </c>
      <c r="C1004" t="str">
        <v>KIB</v>
      </c>
      <c r="D1004" t="str">
        <v>TB</v>
      </c>
      <c r="E1004">
        <v>1736</v>
      </c>
      <c r="F1004">
        <v>40000</v>
      </c>
      <c r="G1004">
        <v>193371</v>
      </c>
      <c r="H1004" s="1">
        <v>46255</v>
      </c>
      <c r="I1004" t="str">
        <v>SPLIT FROM TR716985</v>
      </c>
      <c r="J1004" t="str">
        <v>DONE</v>
      </c>
      <c r="K1004" t="str">
        <f>IF(ISERROR(MATCH(WORKORDER[[#This Row],[TRAVELER]],Table1[TRAVELER],0)),K1004,"Shipped")</f>
        <v>Shipped</v>
      </c>
      <c r="L1004">
        <f>+IF(ISERROR(MATCH(WORKORDER[[#This Row],[TRAVELER]],Table1[TRAVELER],0)),L1004,'PACKING SLIP'!$F$5)</f>
        <v>30065</v>
      </c>
    </row>
    <row r="1005">
      <c r="A1005">
        <v>716987</v>
      </c>
      <c r="B1005" t="str">
        <v>06105102AA</v>
      </c>
      <c r="C1005" t="str">
        <v>KIB</v>
      </c>
      <c r="D1005" t="str">
        <v>TB</v>
      </c>
      <c r="E1005">
        <v>1736</v>
      </c>
      <c r="F1005">
        <v>40000</v>
      </c>
      <c r="G1005">
        <v>193371</v>
      </c>
      <c r="H1005" s="1">
        <v>46255</v>
      </c>
      <c r="I1005" t="str">
        <v>TRAVELERRECEIVED</v>
      </c>
      <c r="J1005" t="str">
        <v>DONE</v>
      </c>
      <c r="K1005" t="str">
        <f>IF(ISERROR(MATCH(WORKORDER[[#This Row],[TRAVELER]],Table1[TRAVELER],0)),K1005,"Shipped")</f>
        <v>Shipped</v>
      </c>
      <c r="L1005">
        <f>+IF(ISERROR(MATCH(WORKORDER[[#This Row],[TRAVELER]],Table1[TRAVELER],0)),L1005,'PACKING SLIP'!$F$5)</f>
        <v>30061</v>
      </c>
    </row>
    <row r="1006">
      <c r="A1006">
        <v>716988</v>
      </c>
      <c r="B1006" t="str">
        <v>06105102AA</v>
      </c>
      <c r="C1006" t="str">
        <v>KIB</v>
      </c>
      <c r="D1006" t="str">
        <v>TB</v>
      </c>
      <c r="E1006">
        <v>1736</v>
      </c>
      <c r="F1006">
        <v>40000</v>
      </c>
      <c r="G1006">
        <v>193371</v>
      </c>
      <c r="H1006" s="1">
        <v>46255</v>
      </c>
      <c r="I1006" t="str">
        <v>SPLIT FROM TR716987</v>
      </c>
      <c r="J1006" t="str">
        <v>DONE</v>
      </c>
      <c r="K1006" t="str">
        <f>IF(ISERROR(MATCH(WORKORDER[[#This Row],[TRAVELER]],Table1[TRAVELER],0)),K1006,"Shipped")</f>
        <v>Shipped</v>
      </c>
      <c r="L1006">
        <f>+IF(ISERROR(MATCH(WORKORDER[[#This Row],[TRAVELER]],Table1[TRAVELER],0)),L1006,'PACKING SLIP'!$F$5)</f>
        <v>30065</v>
      </c>
    </row>
    <row r="1007">
      <c r="A1007">
        <v>716989</v>
      </c>
      <c r="B1007" t="str">
        <v>06509967AA</v>
      </c>
      <c r="C1007" t="str">
        <v>KIB</v>
      </c>
      <c r="D1007" t="str">
        <v>TB</v>
      </c>
      <c r="E1007">
        <v>1320</v>
      </c>
      <c r="F1007">
        <v>40000</v>
      </c>
      <c r="G1007">
        <v>193371</v>
      </c>
      <c r="H1007" s="1">
        <v>46255</v>
      </c>
      <c r="I1007" t="str">
        <v>TRAVELERRECEIVED</v>
      </c>
      <c r="J1007" t="str">
        <v>DONE</v>
      </c>
      <c r="K1007" t="str">
        <v>Shipped</v>
      </c>
      <c r="L1007">
        <v>30031</v>
      </c>
    </row>
    <row r="1008">
      <c r="A1008">
        <v>716990</v>
      </c>
      <c r="B1008" t="str">
        <v>06105102AA</v>
      </c>
      <c r="C1008" t="str">
        <v>KIB</v>
      </c>
      <c r="D1008" t="str">
        <v>TB</v>
      </c>
      <c r="E1008">
        <v>1736</v>
      </c>
      <c r="F1008">
        <v>40000</v>
      </c>
      <c r="G1008">
        <v>193371</v>
      </c>
      <c r="H1008" s="1">
        <v>46255</v>
      </c>
      <c r="I1008" t="str">
        <v>SPLIT FROM TR716989</v>
      </c>
      <c r="J1008" t="str">
        <v>DONE</v>
      </c>
      <c r="K1008">
        <f>IF(ISERROR(MATCH(WORKORDER[[#This Row],[TRAVELER]],Table1[TRAVELER],0)),K1008,"Shipped")</f>
        <v>0</v>
      </c>
      <c r="L1008">
        <f>+IF(ISERROR(MATCH(WORKORDER[[#This Row],[TRAVELER]],Table1[TRAVELER],0)),L1008,'PACKING SLIP'!$F$5)</f>
        <v>0</v>
      </c>
    </row>
    <row r="1009">
      <c r="A1009">
        <v>717057</v>
      </c>
      <c r="B1009">
        <v>11546463</v>
      </c>
      <c r="C1009">
        <v>217</v>
      </c>
      <c r="E1009">
        <v>983</v>
      </c>
      <c r="F1009">
        <v>15217</v>
      </c>
      <c r="G1009">
        <v>193371</v>
      </c>
      <c r="H1009" s="1">
        <v>46255</v>
      </c>
      <c r="I1009" t="str">
        <v>TRAVELERRECEIVED</v>
      </c>
      <c r="J1009" t="str">
        <v>DONE</v>
      </c>
      <c r="K1009" t="str">
        <f>IF(ISERROR(MATCH(WORKORDER[[#This Row],[TRAVELER]],Table1[TRAVELER],0)),K1009,"Shipped")</f>
        <v>Shipped</v>
      </c>
      <c r="L1009">
        <f>+IF(ISERROR(MATCH([1]!WORKORDER[[#This Row],[TRAVELER]],[1]!Table1[TRAVELER],0)),L1009,#REF!)</f>
        <v>0</v>
      </c>
    </row>
    <row r="1010">
      <c r="A1010">
        <v>717058</v>
      </c>
      <c r="B1010">
        <v>11546463</v>
      </c>
      <c r="C1010">
        <v>1336</v>
      </c>
      <c r="E1010">
        <v>984</v>
      </c>
      <c r="F1010">
        <v>15232</v>
      </c>
      <c r="G1010">
        <v>193371</v>
      </c>
      <c r="H1010" s="1">
        <v>46255</v>
      </c>
      <c r="I1010" t="str">
        <v>TRAVELERRECEIVED</v>
      </c>
      <c r="J1010" t="str">
        <v>DONE</v>
      </c>
      <c r="K1010" t="str">
        <f>IF(ISERROR(MATCH(WORKORDER[[#This Row],[TRAVELER]],Table1[TRAVELER],0)),K1010,"Shipped")</f>
        <v>Shipped</v>
      </c>
      <c r="L1010">
        <f>+IF(ISERROR(MATCH([1]!WORKORDER[[#This Row],[TRAVELER]],[1]!Table1[TRAVELER],0)),L1010,#REF!)</f>
        <v>0</v>
      </c>
    </row>
    <row r="1011">
      <c r="A1011">
        <v>717059</v>
      </c>
      <c r="B1011">
        <v>11546463</v>
      </c>
      <c r="C1011">
        <v>39</v>
      </c>
      <c r="E1011">
        <v>981</v>
      </c>
      <c r="F1011">
        <v>15186</v>
      </c>
      <c r="G1011">
        <v>193371</v>
      </c>
      <c r="H1011" s="1">
        <v>46255</v>
      </c>
      <c r="I1011" t="str">
        <v>TRAVELERRECEIVED</v>
      </c>
      <c r="J1011" t="str">
        <v>DONE</v>
      </c>
      <c r="K1011" t="str">
        <v>Shipped</v>
      </c>
      <c r="L1011">
        <v>30037</v>
      </c>
    </row>
    <row r="1012">
      <c r="A1012">
        <v>717060</v>
      </c>
      <c r="B1012">
        <v>11546463</v>
      </c>
      <c r="C1012">
        <v>562</v>
      </c>
      <c r="E1012">
        <v>978</v>
      </c>
      <c r="F1012">
        <v>15139</v>
      </c>
      <c r="G1012">
        <v>193371</v>
      </c>
      <c r="H1012" s="1">
        <v>46255</v>
      </c>
      <c r="I1012" t="str">
        <v>TRAVELERRECEIVED</v>
      </c>
      <c r="J1012" t="str">
        <v>DONE</v>
      </c>
      <c r="K1012" t="str">
        <v>Shipped</v>
      </c>
      <c r="L1012">
        <v>30037</v>
      </c>
    </row>
    <row r="1013">
      <c r="A1013">
        <v>717079</v>
      </c>
      <c r="B1013">
        <v>11546462</v>
      </c>
      <c r="C1013">
        <v>1382</v>
      </c>
      <c r="D1013" t="str">
        <v>MC/BF</v>
      </c>
      <c r="E1013">
        <v>935</v>
      </c>
      <c r="F1013">
        <v>23375</v>
      </c>
      <c r="G1013">
        <v>193371</v>
      </c>
      <c r="H1013" s="1">
        <v>46255</v>
      </c>
      <c r="I1013" t="str">
        <v>TRAVELERRECEIVED</v>
      </c>
      <c r="K1013" t="str">
        <v>Shipped</v>
      </c>
      <c r="L1013">
        <v>30031</v>
      </c>
    </row>
    <row r="1014">
      <c r="A1014">
        <v>717080</v>
      </c>
      <c r="B1014">
        <v>11546462</v>
      </c>
      <c r="C1014">
        <v>1385</v>
      </c>
      <c r="E1014">
        <v>868</v>
      </c>
      <c r="F1014">
        <v>21700</v>
      </c>
      <c r="G1014">
        <v>193371</v>
      </c>
      <c r="H1014" s="1">
        <v>46255</v>
      </c>
      <c r="I1014" t="str">
        <v>TRAVELERRECEIVED</v>
      </c>
      <c r="J1014" t="str">
        <v>DONE</v>
      </c>
      <c r="K1014" t="str">
        <f>IF(ISERROR(MATCH(WORKORDER[[#This Row],[TRAVELER]],Table1[TRAVELER],0)),K1014,"Shipped")</f>
        <v>Shipped</v>
      </c>
      <c r="L1014">
        <f>+IF(ISERROR(MATCH([1]!WORKORDER[[#This Row],[TRAVELER]],[1]!Table1[TRAVELER],0)),L1014,#REF!)</f>
        <v>0</v>
      </c>
    </row>
    <row r="1015">
      <c r="A1015">
        <v>717081</v>
      </c>
      <c r="B1015">
        <v>11546462</v>
      </c>
      <c r="C1015">
        <v>171</v>
      </c>
      <c r="D1015" t="str">
        <v>MC/BF</v>
      </c>
      <c r="E1015">
        <v>822</v>
      </c>
      <c r="F1015">
        <v>20550</v>
      </c>
      <c r="G1015">
        <v>193371</v>
      </c>
      <c r="H1015" s="1">
        <v>46255</v>
      </c>
      <c r="I1015" t="str">
        <v>TRAVELERRECEIVED</v>
      </c>
      <c r="K1015" t="str">
        <v>Shipped</v>
      </c>
      <c r="L1015">
        <v>30037</v>
      </c>
    </row>
    <row r="1016">
      <c r="A1016">
        <v>717082</v>
      </c>
      <c r="B1016">
        <v>11546462</v>
      </c>
      <c r="C1016">
        <v>1421</v>
      </c>
      <c r="E1016">
        <v>975</v>
      </c>
      <c r="F1016">
        <v>24375</v>
      </c>
      <c r="G1016">
        <v>193371</v>
      </c>
      <c r="H1016" s="1">
        <v>46255</v>
      </c>
      <c r="I1016" t="str">
        <v>TRAVELERRECEIVED</v>
      </c>
      <c r="J1016" t="str">
        <v>DONE</v>
      </c>
      <c r="K1016" t="str">
        <f>IF(ISERROR(MATCH(WORKORDER[[#This Row],[TRAVELER]],Table1[TRAVELER],0)),K1016,"Shipped")</f>
        <v>Shipped</v>
      </c>
      <c r="L1016">
        <f>+IF(ISERROR(MATCH([1]!WORKORDER[[#This Row],[TRAVELER]],[1]!Table1[TRAVELER],0)),L1016,#REF!)</f>
        <v>0</v>
      </c>
    </row>
    <row r="1017">
      <c r="A1017">
        <v>713586</v>
      </c>
      <c r="B1017">
        <v>11546774</v>
      </c>
      <c r="C1017">
        <v>18</v>
      </c>
      <c r="E1017">
        <v>916</v>
      </c>
      <c r="F1017">
        <v>11759</v>
      </c>
      <c r="G1017">
        <v>193378</v>
      </c>
      <c r="H1017" s="1">
        <v>46255</v>
      </c>
      <c r="I1017" t="str">
        <v>6-230-33-C</v>
      </c>
      <c r="K1017" t="str">
        <v>Shipped</v>
      </c>
      <c r="L1017">
        <v>30024</v>
      </c>
    </row>
    <row r="1018">
      <c r="A1018">
        <v>714596</v>
      </c>
      <c r="B1018" t="str">
        <v>4200818SHJ5A00Z</v>
      </c>
      <c r="C1018">
        <v>817</v>
      </c>
      <c r="D1018" t="str">
        <v>TB</v>
      </c>
      <c r="E1018">
        <v>1064</v>
      </c>
      <c r="F1018">
        <v>30663</v>
      </c>
      <c r="G1018">
        <v>193378</v>
      </c>
      <c r="H1018" s="1">
        <v>46255</v>
      </c>
      <c r="I1018" t="str">
        <v>6-233-27-A</v>
      </c>
      <c r="J1018" t="str">
        <v>look for yellow and orange lock tite inside thread x2</v>
      </c>
      <c r="K1018" t="str">
        <f>IF(ISERROR(MATCH(WORKORDER[[#This Row],[TRAVELER]],Table1[TRAVELER],0)),K1018,"Shipped")</f>
        <v>Shipped</v>
      </c>
      <c r="L1018">
        <f>+IF(ISERROR(MATCH(WORKORDER[[#This Row],[TRAVELER]],Table1[TRAVELER],0)),L1018,'PACKING SLIP'!$F$5)</f>
        <v>30059</v>
      </c>
    </row>
    <row r="1019">
      <c r="A1019">
        <v>714597</v>
      </c>
      <c r="B1019" t="str">
        <v>4200818SHJ5A00Z</v>
      </c>
      <c r="C1019">
        <v>1362</v>
      </c>
      <c r="D1019" t="str">
        <v>TB</v>
      </c>
      <c r="E1019">
        <v>1131</v>
      </c>
      <c r="F1019">
        <v>32594</v>
      </c>
      <c r="G1019">
        <v>193378</v>
      </c>
      <c r="H1019" s="1">
        <v>46255</v>
      </c>
      <c r="I1019" t="str">
        <v>6-233-28-A</v>
      </c>
      <c r="J1019" t="str">
        <v>look for yellow and orange lock tite inside thread x2</v>
      </c>
      <c r="K1019" t="str">
        <v>Shipped</v>
      </c>
      <c r="L1019">
        <v>30046</v>
      </c>
    </row>
    <row r="1020">
      <c r="A1020">
        <v>714598</v>
      </c>
      <c r="B1020" t="str">
        <v>4200818SHJ5A00Z</v>
      </c>
      <c r="C1020">
        <v>470</v>
      </c>
      <c r="D1020" t="str">
        <v>TB</v>
      </c>
      <c r="E1020">
        <v>1034</v>
      </c>
      <c r="F1020">
        <v>29798</v>
      </c>
      <c r="G1020">
        <v>193378</v>
      </c>
      <c r="H1020" s="1">
        <v>46255</v>
      </c>
      <c r="I1020" t="str">
        <v>6-233-28-B</v>
      </c>
      <c r="J1020" t="str">
        <v>look for yellow and orange lock tite inside thread x2</v>
      </c>
      <c r="K1020" t="str">
        <f>IF(ISERROR(MATCH(WORKORDER[[#This Row],[TRAVELER]],Table1[TRAVELER],0)),K1020,"Shipped")</f>
        <v>Shipped</v>
      </c>
      <c r="L1020">
        <f>+IF(ISERROR(MATCH(WORKORDER[[#This Row],[TRAVELER]],Table1[TRAVELER],0)),L1020,'PACKING SLIP'!$F$5)</f>
        <v>30049</v>
      </c>
    </row>
    <row r="1021">
      <c r="A1021">
        <v>714599</v>
      </c>
      <c r="B1021" t="str">
        <v>4200818SHJ5A00Z</v>
      </c>
      <c r="C1021">
        <v>639</v>
      </c>
      <c r="D1021" t="str">
        <v>TB</v>
      </c>
      <c r="E1021">
        <v>1145</v>
      </c>
      <c r="F1021">
        <v>32997</v>
      </c>
      <c r="G1021">
        <v>193378</v>
      </c>
      <c r="H1021" s="1">
        <v>46255</v>
      </c>
      <c r="I1021" t="str">
        <v>6-233-28-D</v>
      </c>
      <c r="J1021" t="str">
        <v>look for yellow and orange lock tite inside thread x2</v>
      </c>
      <c r="K1021" t="str">
        <v>Shipped</v>
      </c>
      <c r="L1021">
        <v>30040</v>
      </c>
    </row>
    <row r="1022">
      <c r="A1022">
        <v>714600</v>
      </c>
      <c r="B1022" t="str">
        <v>4200818SHJ5A00Z</v>
      </c>
      <c r="C1022">
        <v>1688</v>
      </c>
      <c r="D1022" t="str">
        <v>TB</v>
      </c>
      <c r="E1022">
        <v>1087</v>
      </c>
      <c r="F1022">
        <v>31326</v>
      </c>
      <c r="G1022">
        <v>193378</v>
      </c>
      <c r="H1022" s="1">
        <v>46255</v>
      </c>
      <c r="I1022" t="str">
        <v>6-233-28-C</v>
      </c>
      <c r="J1022" t="str">
        <v>look for yellow and orange lock tite inside thread x2</v>
      </c>
      <c r="K1022" t="str">
        <v>Shipped</v>
      </c>
      <c r="L1022">
        <v>30040</v>
      </c>
    </row>
    <row r="1023">
      <c r="A1023">
        <v>716529</v>
      </c>
      <c r="B1023" t="str">
        <v>06506707AA</v>
      </c>
      <c r="C1023">
        <v>1791</v>
      </c>
      <c r="E1023">
        <v>769</v>
      </c>
      <c r="F1023">
        <v>21068</v>
      </c>
      <c r="G1023">
        <v>193378</v>
      </c>
      <c r="H1023" s="1">
        <v>46255</v>
      </c>
      <c r="I1023" t="str">
        <v>6-233-33-A</v>
      </c>
      <c r="K1023">
        <f>IF(ISERROR(MATCH(WORKORDER[[#This Row],[TRAVELER]],Table1[TRAVELER],0)),K1023,"Shipped")</f>
        <v>0</v>
      </c>
      <c r="L1023">
        <f>+IF(ISERROR(MATCH(WORKORDER[[#This Row],[TRAVELER]],Table1[TRAVELER],0)),L1023,'PACKING SLIP'!$F$5)</f>
        <v>0</v>
      </c>
    </row>
    <row r="1024">
      <c r="A1024">
        <v>716530</v>
      </c>
      <c r="B1024" t="str">
        <v>06506707AA</v>
      </c>
      <c r="C1024">
        <v>1594</v>
      </c>
      <c r="E1024">
        <v>943</v>
      </c>
      <c r="F1024">
        <v>25836</v>
      </c>
      <c r="G1024">
        <v>193378</v>
      </c>
      <c r="H1024" s="1">
        <v>46255</v>
      </c>
      <c r="I1024" t="str">
        <v>6-233-33-B</v>
      </c>
      <c r="K1024" t="str">
        <v>Shipped</v>
      </c>
      <c r="L1024">
        <v>30024</v>
      </c>
    </row>
    <row r="1025">
      <c r="A1025">
        <v>716533</v>
      </c>
      <c r="B1025" t="str">
        <v>06105051AA</v>
      </c>
      <c r="C1025">
        <v>1076</v>
      </c>
      <c r="E1025">
        <v>892</v>
      </c>
      <c r="F1025">
        <v>19060</v>
      </c>
      <c r="G1025">
        <v>193378</v>
      </c>
      <c r="H1025" s="1">
        <v>46255</v>
      </c>
      <c r="I1025" t="str">
        <v>6-232-34-A</v>
      </c>
      <c r="K1025" t="str">
        <v>Shipped</v>
      </c>
      <c r="L1025">
        <v>30026</v>
      </c>
    </row>
    <row r="1026">
      <c r="A1026">
        <v>716534</v>
      </c>
      <c r="B1026" t="str">
        <v>06105051AA</v>
      </c>
      <c r="C1026">
        <v>418</v>
      </c>
      <c r="E1026">
        <v>625</v>
      </c>
      <c r="F1026">
        <v>13355</v>
      </c>
      <c r="G1026">
        <v>193378</v>
      </c>
      <c r="H1026" s="1">
        <v>46255</v>
      </c>
      <c r="I1026" t="str">
        <v>6-232-34-B</v>
      </c>
      <c r="K1026" t="str">
        <v>Shipped</v>
      </c>
      <c r="L1026">
        <v>30026</v>
      </c>
    </row>
    <row r="1027">
      <c r="A1027">
        <v>716535</v>
      </c>
      <c r="B1027" t="str">
        <v>06102398AA</v>
      </c>
      <c r="C1027">
        <v>222</v>
      </c>
      <c r="D1027" t="str">
        <v>MC/BF</v>
      </c>
      <c r="E1027">
        <v>709</v>
      </c>
      <c r="F1027">
        <v>114355</v>
      </c>
      <c r="G1027">
        <v>193378</v>
      </c>
      <c r="H1027" s="1">
        <v>46255</v>
      </c>
      <c r="I1027" t="str">
        <v>6-233-34-A</v>
      </c>
      <c r="K1027" t="str">
        <v>Shipped</v>
      </c>
      <c r="L1027">
        <v>30039</v>
      </c>
    </row>
    <row r="1028">
      <c r="A1028">
        <v>716536</v>
      </c>
      <c r="B1028" t="str">
        <v>06102398AA</v>
      </c>
      <c r="C1028">
        <v>610</v>
      </c>
      <c r="D1028" t="str">
        <v>MC/BF</v>
      </c>
      <c r="E1028">
        <v>688</v>
      </c>
      <c r="F1028">
        <v>110968</v>
      </c>
      <c r="G1028">
        <v>193378</v>
      </c>
      <c r="H1028" s="1">
        <v>46255</v>
      </c>
      <c r="I1028" t="str">
        <v>6-233-34-B</v>
      </c>
      <c r="K1028" t="str">
        <v>Shipped</v>
      </c>
      <c r="L1028">
        <v>30031</v>
      </c>
    </row>
    <row r="1029">
      <c r="A1029">
        <v>716537</v>
      </c>
      <c r="B1029" t="str">
        <v>06502979-A</v>
      </c>
      <c r="C1029">
        <v>1445</v>
      </c>
      <c r="E1029">
        <v>906</v>
      </c>
      <c r="F1029">
        <v>22879</v>
      </c>
      <c r="G1029">
        <v>193378</v>
      </c>
      <c r="H1029" s="1">
        <v>46255</v>
      </c>
      <c r="I1029" t="str">
        <v>6-233-35-A</v>
      </c>
      <c r="J1029" t="str">
        <v>DONE</v>
      </c>
      <c r="K1029" t="str">
        <f>IF(ISERROR(MATCH(WORKORDER[[#This Row],[TRAVELER]],Table1[TRAVELER],0)),K1029,"Shipped")</f>
        <v>Shipped</v>
      </c>
      <c r="L1029">
        <f>+IF(ISERROR(MATCH(WORKORDER[[#This Row],[TRAVELER]],Table1[TRAVELER],0)),L1029,'PACKING SLIP'!$F$5)</f>
        <v>30101</v>
      </c>
    </row>
    <row r="1030">
      <c r="A1030">
        <v>716538</v>
      </c>
      <c r="B1030" t="str">
        <v>06502979-A</v>
      </c>
      <c r="C1030">
        <v>1376</v>
      </c>
      <c r="D1030" t="str">
        <v>MC/BF</v>
      </c>
      <c r="E1030">
        <v>738</v>
      </c>
      <c r="F1030">
        <v>18636</v>
      </c>
      <c r="G1030">
        <v>193378</v>
      </c>
      <c r="H1030" s="1">
        <v>46255</v>
      </c>
      <c r="I1030" t="str">
        <v>6-233-35-B</v>
      </c>
      <c r="K1030" t="str">
        <v>Shipped</v>
      </c>
      <c r="L1030">
        <v>30031</v>
      </c>
      <c r="O1030">
        <f>28+17+1+3+5</f>
        <v>54</v>
      </c>
    </row>
    <row r="1031">
      <c r="A1031">
        <v>716540</v>
      </c>
      <c r="B1031">
        <v>90280051</v>
      </c>
      <c r="C1031">
        <v>456</v>
      </c>
      <c r="E1031">
        <v>722</v>
      </c>
      <c r="F1031">
        <v>96267</v>
      </c>
      <c r="G1031">
        <v>193378</v>
      </c>
      <c r="H1031" s="1">
        <v>46255</v>
      </c>
      <c r="I1031" t="str">
        <v>6-232-31-A</v>
      </c>
      <c r="K1031" t="str">
        <v>Shipped</v>
      </c>
      <c r="L1031">
        <v>30024</v>
      </c>
    </row>
    <row r="1032">
      <c r="A1032">
        <v>716541</v>
      </c>
      <c r="B1032" t="str">
        <v>06503825-A</v>
      </c>
      <c r="C1032">
        <v>565</v>
      </c>
      <c r="E1032">
        <v>901</v>
      </c>
      <c r="F1032">
        <v>69308</v>
      </c>
      <c r="G1032">
        <v>193378</v>
      </c>
      <c r="H1032" s="1">
        <v>46255</v>
      </c>
      <c r="I1032" t="str">
        <v>6-233-29-A</v>
      </c>
      <c r="K1032" t="str">
        <v>Shipped</v>
      </c>
      <c r="L1032">
        <v>30026</v>
      </c>
    </row>
    <row r="1033">
      <c r="A1033">
        <v>716542</v>
      </c>
      <c r="B1033" t="str">
        <v>06503825-A</v>
      </c>
      <c r="C1033">
        <v>680</v>
      </c>
      <c r="E1033">
        <v>852</v>
      </c>
      <c r="F1033">
        <v>65538</v>
      </c>
      <c r="G1033">
        <v>193378</v>
      </c>
      <c r="H1033" s="1">
        <v>46255</v>
      </c>
      <c r="I1033" t="str">
        <v>6-233-29-B</v>
      </c>
      <c r="K1033" t="str">
        <v>Shipped</v>
      </c>
      <c r="L1033">
        <v>30024</v>
      </c>
    </row>
    <row r="1034">
      <c r="A1034">
        <v>716543</v>
      </c>
      <c r="B1034" t="str">
        <v>06503825-A</v>
      </c>
      <c r="C1034">
        <v>12</v>
      </c>
      <c r="E1034">
        <v>779</v>
      </c>
      <c r="F1034">
        <v>59923</v>
      </c>
      <c r="G1034">
        <v>193378</v>
      </c>
      <c r="H1034" s="1">
        <v>46255</v>
      </c>
      <c r="I1034" t="str">
        <v>6-233-30-A</v>
      </c>
      <c r="K1034" t="str">
        <v>Shipped</v>
      </c>
      <c r="L1034">
        <v>30026</v>
      </c>
    </row>
    <row r="1035">
      <c r="A1035">
        <v>716544</v>
      </c>
      <c r="B1035" t="str">
        <v>06503825-A</v>
      </c>
      <c r="C1035">
        <v>404</v>
      </c>
      <c r="E1035">
        <v>711</v>
      </c>
      <c r="F1035">
        <v>54692</v>
      </c>
      <c r="G1035">
        <v>193378</v>
      </c>
      <c r="H1035" s="1">
        <v>46255</v>
      </c>
      <c r="I1035" t="str">
        <v>6-233-30-B</v>
      </c>
      <c r="K1035" t="str">
        <v>Shipped</v>
      </c>
      <c r="L1035">
        <v>30026</v>
      </c>
    </row>
    <row r="1036">
      <c r="A1036">
        <v>716545</v>
      </c>
      <c r="B1036" t="str">
        <v>06502979-A</v>
      </c>
      <c r="C1036">
        <v>335</v>
      </c>
      <c r="D1036" t="str">
        <v>MC/BF</v>
      </c>
      <c r="E1036">
        <v>700</v>
      </c>
      <c r="F1036">
        <v>17677</v>
      </c>
      <c r="G1036">
        <v>193378</v>
      </c>
      <c r="H1036" s="1">
        <v>46255</v>
      </c>
      <c r="I1036" t="str">
        <v>6-233-36-A</v>
      </c>
      <c r="K1036" t="str">
        <v>Shipped</v>
      </c>
      <c r="L1036">
        <v>30031</v>
      </c>
    </row>
    <row r="1037">
      <c r="A1037">
        <v>716546</v>
      </c>
      <c r="B1037" t="str">
        <v>06502979-A</v>
      </c>
      <c r="C1037">
        <v>1557</v>
      </c>
      <c r="E1037">
        <v>523</v>
      </c>
      <c r="F1037">
        <v>13207</v>
      </c>
      <c r="G1037">
        <v>193378</v>
      </c>
      <c r="H1037" s="1">
        <v>46255</v>
      </c>
      <c r="I1037" t="str">
        <v>6-233-36-B</v>
      </c>
      <c r="J1037" t="str">
        <v>DONE</v>
      </c>
      <c r="K1037" t="str">
        <v>Shipped</v>
      </c>
      <c r="L1037">
        <v>30037</v>
      </c>
    </row>
    <row r="1038">
      <c r="A1038">
        <v>716547</v>
      </c>
      <c r="B1038" t="str">
        <v>06512834AA</v>
      </c>
      <c r="C1038">
        <v>795</v>
      </c>
      <c r="E1038">
        <v>801</v>
      </c>
      <c r="F1038">
        <v>7915</v>
      </c>
      <c r="G1038">
        <v>193378</v>
      </c>
      <c r="H1038" s="1">
        <v>46255</v>
      </c>
      <c r="I1038" t="str">
        <v>6-233-31-A</v>
      </c>
      <c r="K1038" t="str">
        <v>Shipped</v>
      </c>
      <c r="L1038">
        <v>30024</v>
      </c>
    </row>
    <row r="1039">
      <c r="A1039">
        <v>716548</v>
      </c>
      <c r="B1039" t="str">
        <v>06512834AA</v>
      </c>
      <c r="C1039">
        <v>814</v>
      </c>
      <c r="E1039">
        <v>566</v>
      </c>
      <c r="F1039">
        <v>5593</v>
      </c>
      <c r="G1039">
        <v>193378</v>
      </c>
      <c r="H1039" s="1">
        <v>46255</v>
      </c>
      <c r="I1039" t="str">
        <v>6-233-31-B</v>
      </c>
      <c r="K1039" t="str">
        <v>Shipped</v>
      </c>
      <c r="L1039">
        <v>30024</v>
      </c>
    </row>
    <row r="1040">
      <c r="A1040">
        <v>716577</v>
      </c>
      <c r="B1040" t="str">
        <v>55364498AA</v>
      </c>
      <c r="C1040">
        <v>561</v>
      </c>
      <c r="E1040">
        <v>694</v>
      </c>
      <c r="F1040">
        <v>12175</v>
      </c>
      <c r="G1040">
        <v>193378</v>
      </c>
      <c r="H1040" s="1">
        <v>46255</v>
      </c>
      <c r="I1040" t="str">
        <v>6-232-32-A</v>
      </c>
      <c r="K1040" t="str">
        <v>Shipped</v>
      </c>
      <c r="L1040">
        <v>30026</v>
      </c>
    </row>
    <row r="1041">
      <c r="A1041">
        <v>716578</v>
      </c>
      <c r="B1041" t="str">
        <v>55364498AA</v>
      </c>
      <c r="C1041">
        <v>290</v>
      </c>
      <c r="E1041">
        <v>674</v>
      </c>
      <c r="F1041">
        <v>11825</v>
      </c>
      <c r="G1041">
        <v>193378</v>
      </c>
      <c r="H1041" s="1">
        <v>46255</v>
      </c>
      <c r="I1041" t="str">
        <v>6-232-32-B</v>
      </c>
      <c r="K1041" t="str">
        <v>Shipped</v>
      </c>
      <c r="L1041">
        <v>30026</v>
      </c>
    </row>
    <row r="1042">
      <c r="A1042">
        <v>716579</v>
      </c>
      <c r="B1042" t="str">
        <v>85158B</v>
      </c>
      <c r="C1042">
        <v>813</v>
      </c>
      <c r="E1042">
        <v>957</v>
      </c>
      <c r="F1042">
        <v>20105</v>
      </c>
      <c r="G1042">
        <v>193378</v>
      </c>
      <c r="H1042" s="1">
        <v>46255</v>
      </c>
      <c r="I1042" t="str">
        <v>6-232-33-A</v>
      </c>
      <c r="K1042" t="str">
        <v>Shipped</v>
      </c>
      <c r="L1042">
        <v>30024</v>
      </c>
    </row>
    <row r="1043">
      <c r="A1043">
        <v>716580</v>
      </c>
      <c r="B1043" t="str">
        <v>85158B</v>
      </c>
      <c r="C1043">
        <v>89</v>
      </c>
      <c r="E1043">
        <v>1127</v>
      </c>
      <c r="F1043">
        <v>23676</v>
      </c>
      <c r="G1043">
        <v>193378</v>
      </c>
      <c r="H1043" s="1">
        <v>46255</v>
      </c>
      <c r="I1043" t="str">
        <v>6-232-33-B</v>
      </c>
      <c r="J1043" t="str">
        <v>DONE</v>
      </c>
      <c r="K1043">
        <f>IF(ISERROR(MATCH(WORKORDER[[#This Row],[TRAVELER]],Table1[TRAVELER],0)),K1043,"Shipped")</f>
        <v>0</v>
      </c>
      <c r="L1043">
        <f>+IF(ISERROR(MATCH(WORKORDER[[#This Row],[TRAVELER]],Table1[TRAVELER],0)),L1043,'PACKING SLIP'!$F$5)</f>
        <v>0</v>
      </c>
    </row>
    <row r="1044">
      <c r="A1044">
        <v>716657</v>
      </c>
      <c r="B1044" t="str">
        <v>06514720AA</v>
      </c>
      <c r="C1044">
        <v>105</v>
      </c>
      <c r="E1044">
        <v>975</v>
      </c>
      <c r="F1044">
        <v>44118</v>
      </c>
      <c r="G1044">
        <v>193378</v>
      </c>
      <c r="H1044" s="1">
        <v>46255</v>
      </c>
      <c r="I1044" t="str">
        <v>6-232-28-A</v>
      </c>
      <c r="K1044" t="str">
        <v>Shipped</v>
      </c>
      <c r="L1044">
        <v>30026</v>
      </c>
    </row>
    <row r="1045">
      <c r="A1045">
        <v>716659</v>
      </c>
      <c r="B1045" t="str">
        <v>06514720AA</v>
      </c>
      <c r="C1045">
        <v>267</v>
      </c>
      <c r="E1045">
        <v>840</v>
      </c>
      <c r="F1045">
        <v>38009</v>
      </c>
      <c r="G1045">
        <v>193378</v>
      </c>
      <c r="H1045" s="1">
        <v>46255</v>
      </c>
      <c r="I1045" t="str">
        <v>6-232-27-A</v>
      </c>
      <c r="K1045" t="str">
        <v>Shipped</v>
      </c>
      <c r="L1045">
        <v>30024</v>
      </c>
    </row>
    <row r="1046">
      <c r="A1046">
        <v>716660</v>
      </c>
      <c r="B1046" t="str">
        <v>06514720AA</v>
      </c>
      <c r="C1046">
        <v>1095</v>
      </c>
      <c r="E1046">
        <v>931</v>
      </c>
      <c r="F1046">
        <v>42127</v>
      </c>
      <c r="G1046">
        <v>193378</v>
      </c>
      <c r="H1046" s="1">
        <v>46255</v>
      </c>
      <c r="I1046" t="str">
        <v>6-232-27-B</v>
      </c>
      <c r="K1046" t="str">
        <v>Shipped</v>
      </c>
      <c r="L1046">
        <v>30024</v>
      </c>
    </row>
    <row r="1047">
      <c r="A1047">
        <v>717541</v>
      </c>
      <c r="B1047" t="str">
        <v>11502717-TH-TC</v>
      </c>
      <c r="C1047">
        <v>655</v>
      </c>
      <c r="D1047" t="str">
        <v>TB</v>
      </c>
      <c r="E1047">
        <v>601</v>
      </c>
      <c r="F1047">
        <v>23027</v>
      </c>
      <c r="G1047">
        <v>193378</v>
      </c>
      <c r="H1047" s="1">
        <v>46255</v>
      </c>
      <c r="I1047" t="str">
        <v>6-233-32-A</v>
      </c>
      <c r="J1047" t="str">
        <v>DONE</v>
      </c>
      <c r="K1047" t="str">
        <v>Shipped</v>
      </c>
      <c r="L1047">
        <v>30030</v>
      </c>
    </row>
    <row r="1048">
      <c r="A1048">
        <v>717542</v>
      </c>
      <c r="B1048" t="str">
        <v>11502717-TH-TC</v>
      </c>
      <c r="C1048">
        <v>604</v>
      </c>
      <c r="D1048" t="str">
        <v>TB</v>
      </c>
      <c r="E1048">
        <v>857</v>
      </c>
      <c r="F1048">
        <v>32835</v>
      </c>
      <c r="G1048">
        <v>193378</v>
      </c>
      <c r="H1048" s="1">
        <v>46255</v>
      </c>
      <c r="I1048" t="str">
        <v>6-233-32-B</v>
      </c>
      <c r="J1048" t="str">
        <v>DONE</v>
      </c>
      <c r="K1048" t="str">
        <v>Shipped</v>
      </c>
      <c r="L1048">
        <v>30030</v>
      </c>
    </row>
    <row r="1049">
      <c r="A1049">
        <v>717752</v>
      </c>
      <c r="B1049" t="str">
        <v>W705606-S440</v>
      </c>
      <c r="C1049" t="str">
        <v>KIB</v>
      </c>
      <c r="E1049">
        <v>1936</v>
      </c>
      <c r="F1049">
        <v>40000</v>
      </c>
      <c r="G1049">
        <v>193378</v>
      </c>
      <c r="H1049" s="1">
        <v>46255</v>
      </c>
      <c r="I1049" t="str">
        <v>6-233-38-A</v>
      </c>
      <c r="J1049" t="str">
        <v>DONE</v>
      </c>
      <c r="K1049" t="str">
        <v>Shipped</v>
      </c>
      <c r="L1049">
        <f>+IF(ISERROR(MATCH(WORKORDER[[#This Row],[TRAVELER]],Table1[TRAVELER],0)),L1049,'PACKING SLIP'!$F$5)</f>
        <v>30049</v>
      </c>
    </row>
    <row r="1050">
      <c r="A1050">
        <v>717753</v>
      </c>
      <c r="B1050" t="str">
        <v>W705606-S440</v>
      </c>
      <c r="C1050" t="str">
        <v>KIB</v>
      </c>
      <c r="E1050">
        <v>1936</v>
      </c>
      <c r="F1050">
        <v>40000</v>
      </c>
      <c r="G1050">
        <v>193378</v>
      </c>
      <c r="H1050" s="1">
        <v>46255</v>
      </c>
      <c r="I1050" t="str">
        <v>SPLIT FROM 717752</v>
      </c>
      <c r="J1050" t="str">
        <v>DONE</v>
      </c>
      <c r="K1050" t="str">
        <v>Shipped</v>
      </c>
      <c r="L1050">
        <v>30030</v>
      </c>
    </row>
    <row r="1051">
      <c r="A1051">
        <v>717754</v>
      </c>
      <c r="B1051" t="str">
        <v>W705606-S440</v>
      </c>
      <c r="C1051" t="str">
        <v>KIB</v>
      </c>
      <c r="E1051">
        <v>1936</v>
      </c>
      <c r="F1051">
        <v>40000</v>
      </c>
      <c r="G1051">
        <v>193378</v>
      </c>
      <c r="H1051" s="1">
        <v>46255</v>
      </c>
      <c r="I1051" t="str">
        <v>6-233-38-C</v>
      </c>
      <c r="K1051" t="str">
        <v>Shipped</v>
      </c>
      <c r="L1051">
        <v>30031</v>
      </c>
    </row>
    <row r="1052">
      <c r="A1052">
        <v>717755</v>
      </c>
      <c r="B1052" t="str">
        <v>W705606-S440</v>
      </c>
      <c r="C1052" t="str">
        <v>KIB</v>
      </c>
      <c r="E1052">
        <v>1936</v>
      </c>
      <c r="F1052">
        <v>40000</v>
      </c>
      <c r="G1052">
        <v>193378</v>
      </c>
      <c r="H1052" s="1">
        <v>46255</v>
      </c>
      <c r="I1052" t="str">
        <v>SPLIT FROM 717754</v>
      </c>
      <c r="K1052" t="str">
        <v>Shipped</v>
      </c>
      <c r="L1052">
        <v>30030</v>
      </c>
    </row>
    <row r="1053">
      <c r="A1053">
        <v>715952</v>
      </c>
      <c r="B1053" t="str">
        <v>11546369-MY-AK</v>
      </c>
      <c r="C1053">
        <v>1377</v>
      </c>
      <c r="D1053" t="str">
        <v>MC/BF</v>
      </c>
      <c r="E1053">
        <v>1158</v>
      </c>
      <c r="F1053">
        <v>10321</v>
      </c>
      <c r="G1053">
        <v>193398</v>
      </c>
      <c r="H1053" s="1">
        <v>46258</v>
      </c>
      <c r="I1053" t="str">
        <v>TRAVELERRECEIVED</v>
      </c>
      <c r="J1053" t="str">
        <v>DONE</v>
      </c>
      <c r="K1053" t="str">
        <v>Shipped</v>
      </c>
      <c r="L1053">
        <v>30044</v>
      </c>
    </row>
    <row r="1054">
      <c r="A1054">
        <v>715953</v>
      </c>
      <c r="B1054" t="str">
        <v>11546369-MY-AK</v>
      </c>
      <c r="C1054">
        <v>389</v>
      </c>
      <c r="D1054" t="str">
        <v>MC/BF</v>
      </c>
      <c r="E1054">
        <v>1051</v>
      </c>
      <c r="F1054">
        <v>9367</v>
      </c>
      <c r="G1054">
        <v>193398</v>
      </c>
      <c r="H1054" s="1">
        <v>46258</v>
      </c>
      <c r="I1054" t="str">
        <v>TRAVELERRECEIVED</v>
      </c>
      <c r="J1054" t="str">
        <v>DONE</v>
      </c>
      <c r="K1054">
        <f>IF(ISERROR(MATCH(WORKORDER[[#This Row],[TRAVELER]],Table1[TRAVELER],0)),K1054,"Shipped")</f>
        <v>0</v>
      </c>
      <c r="L1054">
        <f>+IF(ISERROR(MATCH(WORKORDER[[#This Row],[TRAVELER]],Table1[TRAVELER],0)),L1054,'PACKING SLIP'!$F$5)</f>
        <v>0</v>
      </c>
    </row>
    <row r="1055">
      <c r="A1055">
        <v>715986</v>
      </c>
      <c r="B1055" t="str">
        <v>W520217-S440</v>
      </c>
      <c r="C1055">
        <v>826</v>
      </c>
      <c r="D1055" t="str">
        <v>TB</v>
      </c>
      <c r="E1055">
        <v>1128</v>
      </c>
      <c r="F1055">
        <v>5165</v>
      </c>
      <c r="G1055">
        <v>193398</v>
      </c>
      <c r="H1055" s="1">
        <v>46258</v>
      </c>
      <c r="I1055" t="str">
        <v>TRAVELERRECEIVED</v>
      </c>
      <c r="J1055" t="str">
        <v>DONE</v>
      </c>
      <c r="K1055">
        <f>IF(ISERROR(MATCH(WORKORDER[[#This Row],[TRAVELER]],Table1[TRAVELER],0)),K1055,"Shipped")</f>
        <v>0</v>
      </c>
      <c r="L1055">
        <f>+IF(ISERROR(MATCH(WORKORDER[[#This Row],[TRAVELER]],Table1[TRAVELER],0)),L1055,'PACKING SLIP'!$F$5)</f>
        <v>0</v>
      </c>
    </row>
    <row r="1056">
      <c r="A1056">
        <v>715987</v>
      </c>
      <c r="B1056" t="str">
        <v>W520217-S440</v>
      </c>
      <c r="C1056">
        <v>557</v>
      </c>
      <c r="D1056" t="str">
        <v>TB</v>
      </c>
      <c r="E1056">
        <v>1056</v>
      </c>
      <c r="F1056">
        <v>4835</v>
      </c>
      <c r="G1056">
        <v>193398</v>
      </c>
      <c r="H1056" s="1">
        <v>46258</v>
      </c>
      <c r="I1056" t="str">
        <v>TRAVELERRECEIVED</v>
      </c>
      <c r="J1056" t="str">
        <v>DONE</v>
      </c>
      <c r="K1056">
        <f>IF(ISERROR(MATCH(WORKORDER[[#This Row],[TRAVELER]],Table1[TRAVELER],0)),K1056,"Shipped")</f>
        <v>0</v>
      </c>
      <c r="L1056">
        <f>+IF(ISERROR(MATCH(WORKORDER[[#This Row],[TRAVELER]],Table1[TRAVELER],0)),L1056,'PACKING SLIP'!$F$5)</f>
        <v>0</v>
      </c>
    </row>
    <row r="1057">
      <c r="A1057">
        <v>715992</v>
      </c>
      <c r="B1057">
        <v>11609280</v>
      </c>
      <c r="C1057">
        <v>115</v>
      </c>
      <c r="E1057">
        <v>772</v>
      </c>
      <c r="F1057">
        <v>41283</v>
      </c>
      <c r="G1057">
        <v>193398</v>
      </c>
      <c r="H1057" s="1">
        <v>46258</v>
      </c>
      <c r="I1057" t="str">
        <v>TRAVELERRECEIVED</v>
      </c>
      <c r="J1057" t="str">
        <v>DONE</v>
      </c>
      <c r="K1057" t="str">
        <f>IF(ISERROR(MATCH(WORKORDER[[#This Row],[TRAVELER]],Table1[TRAVELER],0)),K1057,"Shipped")</f>
        <v>Shipped</v>
      </c>
      <c r="L1057">
        <f>+IF(ISERROR(MATCH([1]!WORKORDER[[#This Row],[TRAVELER]],[1]!Table1[TRAVELER],0)),L1057,#REF!)</f>
        <v>0</v>
      </c>
    </row>
    <row r="1058">
      <c r="A1058">
        <v>715993</v>
      </c>
      <c r="B1058">
        <v>11609280</v>
      </c>
      <c r="C1058">
        <v>1112</v>
      </c>
      <c r="E1058">
        <v>929</v>
      </c>
      <c r="F1058">
        <v>49679</v>
      </c>
      <c r="G1058">
        <v>193398</v>
      </c>
      <c r="H1058" s="1">
        <v>46258</v>
      </c>
      <c r="I1058" t="str">
        <v>TRAVELERRECEIVED</v>
      </c>
      <c r="J1058" t="str">
        <v>DONE</v>
      </c>
      <c r="K1058" t="str">
        <f>IF(ISERROR(MATCH(WORKORDER[[#This Row],[TRAVELER]],Table1[TRAVELER],0)),K1058,"Shipped")</f>
        <v>Shipped</v>
      </c>
      <c r="L1058">
        <f>+IF(ISERROR(MATCH([1]!WORKORDER[[#This Row],[TRAVELER]],[1]!Table1[TRAVELER],0)),L1058,#REF!)</f>
        <v>0</v>
      </c>
    </row>
    <row r="1059">
      <c r="A1059">
        <v>716030</v>
      </c>
      <c r="B1059" t="str">
        <v>11547369-BR-HA</v>
      </c>
      <c r="C1059">
        <v>107</v>
      </c>
      <c r="D1059" t="str">
        <v>TB</v>
      </c>
      <c r="E1059">
        <v>1235</v>
      </c>
      <c r="F1059">
        <v>10207</v>
      </c>
      <c r="G1059">
        <v>193398</v>
      </c>
      <c r="H1059" s="1">
        <v>46258</v>
      </c>
      <c r="I1059" t="str">
        <v>TRAVELERRECEIVED</v>
      </c>
      <c r="J1059" t="str">
        <v>DONE</v>
      </c>
      <c r="K1059" t="str">
        <v>Shipped</v>
      </c>
      <c r="L1059">
        <v>30044</v>
      </c>
    </row>
    <row r="1060">
      <c r="A1060">
        <v>716038</v>
      </c>
      <c r="B1060" t="str">
        <v>11547369-BR-HA</v>
      </c>
      <c r="C1060">
        <v>291</v>
      </c>
      <c r="D1060" t="str">
        <v>TB</v>
      </c>
      <c r="E1060">
        <v>1380</v>
      </c>
      <c r="F1060">
        <v>11405</v>
      </c>
      <c r="G1060">
        <v>193398</v>
      </c>
      <c r="H1060" s="1">
        <v>46258</v>
      </c>
      <c r="I1060" t="str">
        <v>TRAVELERRECEIVED</v>
      </c>
      <c r="J1060" t="str">
        <v>DONE</v>
      </c>
      <c r="K1060" t="str">
        <v>Shipped</v>
      </c>
      <c r="L1060">
        <v>30037</v>
      </c>
    </row>
    <row r="1061">
      <c r="A1061">
        <v>716040</v>
      </c>
      <c r="B1061" t="str">
        <v>11547369-BR-HA</v>
      </c>
      <c r="C1061">
        <v>1821</v>
      </c>
      <c r="D1061" t="str">
        <v>TB</v>
      </c>
      <c r="E1061">
        <v>1350</v>
      </c>
      <c r="F1061">
        <v>11157</v>
      </c>
      <c r="G1061">
        <v>193398</v>
      </c>
      <c r="H1061" s="1">
        <v>46258</v>
      </c>
      <c r="I1061" t="str">
        <v>TRAVELERRECEIVED</v>
      </c>
      <c r="J1061" t="str">
        <v>DONE</v>
      </c>
      <c r="K1061" t="str">
        <v>Shipped</v>
      </c>
      <c r="L1061">
        <v>30030</v>
      </c>
    </row>
    <row r="1062">
      <c r="A1062">
        <v>716369</v>
      </c>
      <c r="B1062" t="str">
        <v>11546367-MY-AK</v>
      </c>
      <c r="C1062">
        <v>821</v>
      </c>
      <c r="D1062" t="str">
        <v>MC/BF</v>
      </c>
      <c r="E1062">
        <v>1117</v>
      </c>
      <c r="F1062">
        <v>24022</v>
      </c>
      <c r="G1062">
        <v>193398</v>
      </c>
      <c r="H1062" s="1">
        <v>46258</v>
      </c>
      <c r="I1062" t="str">
        <v>TRAVELERRECEIVED</v>
      </c>
      <c r="K1062" t="str">
        <v>Shipped</v>
      </c>
      <c r="L1062">
        <v>30046</v>
      </c>
    </row>
    <row r="1063">
      <c r="A1063">
        <v>716370</v>
      </c>
      <c r="B1063" t="str">
        <v>11546367-MY-AK</v>
      </c>
      <c r="C1063">
        <v>21</v>
      </c>
      <c r="D1063" t="str">
        <v>MC/BF</v>
      </c>
      <c r="E1063">
        <v>1128</v>
      </c>
      <c r="F1063">
        <v>24258</v>
      </c>
      <c r="G1063">
        <v>193398</v>
      </c>
      <c r="H1063" s="1">
        <v>46258</v>
      </c>
      <c r="I1063" t="str">
        <v>TRAVELERRECEIVED</v>
      </c>
      <c r="K1063" t="str">
        <v>Shipped</v>
      </c>
      <c r="L1063">
        <v>30037</v>
      </c>
    </row>
    <row r="1064">
      <c r="A1064">
        <v>716371</v>
      </c>
      <c r="B1064" t="str">
        <v>11546367-MY-AK</v>
      </c>
      <c r="C1064">
        <v>526</v>
      </c>
      <c r="D1064" t="str">
        <v>MC/BF</v>
      </c>
      <c r="E1064">
        <v>1232</v>
      </c>
      <c r="F1064">
        <v>26495</v>
      </c>
      <c r="G1064">
        <v>193398</v>
      </c>
      <c r="H1064" s="1">
        <v>46258</v>
      </c>
      <c r="I1064" t="str">
        <v>TRAVELERRECEIVED</v>
      </c>
      <c r="K1064" t="str">
        <f>IF(ISERROR(MATCH(WORKORDER[[#This Row],[TRAVELER]],Table1[TRAVELER],0)),K1064,"Shipped")</f>
        <v>Shipped</v>
      </c>
      <c r="L1064">
        <f>+IF(ISERROR(MATCH(WORKORDER[[#This Row],[TRAVELER]],Table1[TRAVELER],0)),L1064,'PACKING SLIP'!$F$5)</f>
        <v>30069</v>
      </c>
    </row>
    <row r="1065">
      <c r="A1065">
        <v>716372</v>
      </c>
      <c r="B1065" t="str">
        <v>11546367-MY-AK</v>
      </c>
      <c r="C1065">
        <v>231</v>
      </c>
      <c r="D1065" t="str">
        <v>MC/BF</v>
      </c>
      <c r="E1065">
        <v>1058</v>
      </c>
      <c r="F1065">
        <v>22753</v>
      </c>
      <c r="G1065">
        <v>193398</v>
      </c>
      <c r="H1065" s="1">
        <v>46258</v>
      </c>
      <c r="I1065" t="str">
        <v>TRAVELERRECEIVED</v>
      </c>
      <c r="K1065" t="str">
        <v>Shipped</v>
      </c>
      <c r="L1065">
        <v>30040</v>
      </c>
    </row>
    <row r="1066">
      <c r="A1066">
        <v>716379</v>
      </c>
      <c r="B1066" t="str">
        <v>11546367-MY-AK</v>
      </c>
      <c r="C1066">
        <v>640</v>
      </c>
      <c r="D1066" t="str">
        <v>MC/BF</v>
      </c>
      <c r="E1066">
        <v>1170</v>
      </c>
      <c r="F1066">
        <v>25161</v>
      </c>
      <c r="G1066">
        <v>193398</v>
      </c>
      <c r="H1066" s="1">
        <v>46258</v>
      </c>
      <c r="I1066" t="str">
        <v>TRAVELERRECEIVED</v>
      </c>
      <c r="K1066" t="str">
        <v>Shipped</v>
      </c>
      <c r="L1066">
        <v>30040</v>
      </c>
    </row>
    <row r="1067">
      <c r="A1067">
        <v>716380</v>
      </c>
      <c r="B1067" t="str">
        <v>11546367-MY-AK</v>
      </c>
      <c r="C1067">
        <v>677</v>
      </c>
      <c r="D1067" t="str">
        <v>MC/BF</v>
      </c>
      <c r="E1067">
        <v>1118</v>
      </c>
      <c r="F1067">
        <v>24043</v>
      </c>
      <c r="G1067">
        <v>193398</v>
      </c>
      <c r="H1067" s="1">
        <v>46258</v>
      </c>
      <c r="I1067" t="str">
        <v>TRAVELERRECEIVED</v>
      </c>
      <c r="K1067" t="str">
        <v>Shipped</v>
      </c>
      <c r="L1067">
        <v>30039</v>
      </c>
    </row>
    <row r="1068">
      <c r="A1068">
        <v>716383</v>
      </c>
      <c r="B1068" t="str">
        <v>11546367-MY-AK</v>
      </c>
      <c r="C1068">
        <v>1343</v>
      </c>
      <c r="D1068" t="str">
        <v>MC/BF</v>
      </c>
      <c r="E1068">
        <v>1338</v>
      </c>
      <c r="F1068">
        <v>28774</v>
      </c>
      <c r="G1068">
        <v>193398</v>
      </c>
      <c r="H1068" s="1">
        <v>46258</v>
      </c>
      <c r="I1068" t="str">
        <v>TRAVELERRECEIVED</v>
      </c>
      <c r="K1068" t="str">
        <v>Shipped</v>
      </c>
      <c r="L1068">
        <v>30024</v>
      </c>
    </row>
    <row r="1069">
      <c r="A1069">
        <v>716384</v>
      </c>
      <c r="B1069" t="str">
        <v>11546367-MY-AK</v>
      </c>
      <c r="C1069">
        <v>1379</v>
      </c>
      <c r="D1069" t="str">
        <v>MC/BF</v>
      </c>
      <c r="E1069">
        <v>1441</v>
      </c>
      <c r="F1069">
        <v>30989</v>
      </c>
      <c r="G1069">
        <v>193398</v>
      </c>
      <c r="H1069" s="1">
        <v>46258</v>
      </c>
      <c r="I1069" t="str">
        <v>TRAVELERRECEIVED</v>
      </c>
      <c r="K1069" t="str">
        <v>Shipped</v>
      </c>
      <c r="L1069">
        <v>30046</v>
      </c>
    </row>
    <row r="1070">
      <c r="A1070">
        <v>716739</v>
      </c>
      <c r="B1070">
        <v>11609280</v>
      </c>
      <c r="C1070">
        <v>1773</v>
      </c>
      <c r="E1070">
        <v>810</v>
      </c>
      <c r="F1070">
        <v>43316</v>
      </c>
      <c r="G1070">
        <v>193398</v>
      </c>
      <c r="H1070" s="1">
        <v>46258</v>
      </c>
      <c r="I1070" t="str">
        <v>TRAVELERRECEIVED</v>
      </c>
      <c r="J1070" t="str">
        <v>DONE</v>
      </c>
      <c r="K1070" t="str">
        <f>IF(ISERROR(MATCH(WORKORDER[[#This Row],[TRAVELER]],Table1[TRAVELER],0)),K1070,"Shipped")</f>
        <v>Shipped</v>
      </c>
      <c r="L1070">
        <f>+IF(ISERROR(MATCH([1]!WORKORDER[[#This Row],[TRAVELER]],[1]!Table1[TRAVELER],0)),L1070,#REF!)</f>
        <v>0</v>
      </c>
    </row>
    <row r="1071">
      <c r="A1071">
        <v>716740</v>
      </c>
      <c r="B1071">
        <v>11609280</v>
      </c>
      <c r="C1071">
        <v>210</v>
      </c>
      <c r="E1071">
        <v>914</v>
      </c>
      <c r="F1071">
        <v>48877</v>
      </c>
      <c r="G1071">
        <v>193398</v>
      </c>
      <c r="H1071" s="1">
        <v>46258</v>
      </c>
      <c r="I1071" t="str">
        <v>TRAVELERRECEIVED</v>
      </c>
      <c r="J1071" t="str">
        <v>DONE</v>
      </c>
      <c r="K1071" t="str">
        <f>IF(ISERROR(MATCH(WORKORDER[[#This Row],[TRAVELER]],Table1[TRAVELER],0)),K1071,"Shipped")</f>
        <v>Shipped</v>
      </c>
      <c r="L1071">
        <f>+IF(ISERROR(MATCH([1]!WORKORDER[[#This Row],[TRAVELER]],[1]!Table1[TRAVELER],0)),L1071,#REF!)</f>
        <v>0</v>
      </c>
    </row>
    <row r="1072">
      <c r="A1072">
        <v>716773</v>
      </c>
      <c r="B1072" t="str">
        <v>H62534A</v>
      </c>
      <c r="C1072">
        <v>880</v>
      </c>
      <c r="D1072" t="str">
        <v>MC/BF</v>
      </c>
      <c r="E1072">
        <v>819</v>
      </c>
      <c r="F1072">
        <v>20682</v>
      </c>
      <c r="G1072">
        <v>193398</v>
      </c>
      <c r="H1072" s="1">
        <v>46258</v>
      </c>
      <c r="I1072" t="str">
        <v>TRAVELERRECEIVED</v>
      </c>
      <c r="K1072">
        <f>IF(ISERROR(MATCH(WORKORDER[[#This Row],[TRAVELER]],Table1[TRAVELER],0)),K1072,"Shipped")</f>
        <v>0</v>
      </c>
      <c r="L1072">
        <f>+IF(ISERROR(MATCH(WORKORDER[[#This Row],[TRAVELER]],Table1[TRAVELER],0)),L1072,'PACKING SLIP'!$F$5)</f>
        <v>0</v>
      </c>
    </row>
    <row r="1073">
      <c r="A1073">
        <v>716774</v>
      </c>
      <c r="B1073" t="str">
        <v>H62534A</v>
      </c>
      <c r="C1073">
        <v>687</v>
      </c>
      <c r="D1073" t="str">
        <v>MC/BF</v>
      </c>
      <c r="E1073">
        <v>817</v>
      </c>
      <c r="F1073">
        <v>20631</v>
      </c>
      <c r="G1073">
        <v>193398</v>
      </c>
      <c r="H1073" s="1">
        <v>46258</v>
      </c>
      <c r="I1073" t="str">
        <v>TRAVELERRECEIVED</v>
      </c>
      <c r="K1073" t="str">
        <v>Shipped</v>
      </c>
      <c r="L1073">
        <v>30030</v>
      </c>
    </row>
    <row r="1074">
      <c r="A1074">
        <v>716854</v>
      </c>
      <c r="B1074">
        <v>11546448</v>
      </c>
      <c r="C1074">
        <v>227</v>
      </c>
      <c r="D1074" t="str">
        <v>MC/BF</v>
      </c>
      <c r="E1074">
        <v>811</v>
      </c>
      <c r="F1074">
        <v>90111</v>
      </c>
      <c r="G1074">
        <v>193398</v>
      </c>
      <c r="H1074" s="1">
        <v>46258</v>
      </c>
      <c r="I1074" t="str">
        <v>TRAVELERRECEIVED</v>
      </c>
      <c r="K1074" t="str">
        <v>Shipped</v>
      </c>
      <c r="L1074">
        <v>30040</v>
      </c>
    </row>
    <row r="1075">
      <c r="A1075">
        <v>716855</v>
      </c>
      <c r="B1075">
        <v>11546448</v>
      </c>
      <c r="C1075">
        <v>264</v>
      </c>
      <c r="D1075" t="str">
        <v>MC/BF</v>
      </c>
      <c r="E1075">
        <v>662</v>
      </c>
      <c r="F1075">
        <v>73556</v>
      </c>
      <c r="G1075">
        <v>193398</v>
      </c>
      <c r="H1075" s="1">
        <v>46258</v>
      </c>
      <c r="I1075" t="str">
        <v>TRAVELERRECEIVED</v>
      </c>
      <c r="K1075" t="str">
        <v>Shipped</v>
      </c>
      <c r="L1075">
        <v>30044</v>
      </c>
    </row>
    <row r="1076">
      <c r="A1076">
        <v>716856</v>
      </c>
      <c r="B1076">
        <v>11546448</v>
      </c>
      <c r="C1076">
        <v>148</v>
      </c>
      <c r="D1076" t="str">
        <v>MC/BF</v>
      </c>
      <c r="E1076">
        <v>977</v>
      </c>
      <c r="F1076">
        <v>108556</v>
      </c>
      <c r="G1076">
        <v>193398</v>
      </c>
      <c r="H1076" s="1">
        <v>46258</v>
      </c>
      <c r="I1076" t="str">
        <v>TRAVELERRECEIVED</v>
      </c>
      <c r="K1076" t="str">
        <v>Shipped</v>
      </c>
      <c r="L1076">
        <v>30040</v>
      </c>
    </row>
    <row r="1077">
      <c r="A1077">
        <v>716857</v>
      </c>
      <c r="B1077">
        <v>11546448</v>
      </c>
      <c r="C1077">
        <v>519</v>
      </c>
      <c r="D1077" t="str">
        <v>MC/BF</v>
      </c>
      <c r="E1077">
        <v>1106</v>
      </c>
      <c r="F1077">
        <v>122889</v>
      </c>
      <c r="G1077">
        <v>193398</v>
      </c>
      <c r="H1077" s="1">
        <v>46258</v>
      </c>
      <c r="I1077" t="str">
        <v>TRAVELERRECEIVED</v>
      </c>
      <c r="K1077" t="str">
        <v>Shipped</v>
      </c>
      <c r="L1077">
        <v>30039</v>
      </c>
    </row>
    <row r="1078">
      <c r="A1078">
        <v>716892</v>
      </c>
      <c r="B1078" t="str">
        <v>06101831-A</v>
      </c>
      <c r="C1078">
        <v>750</v>
      </c>
      <c r="D1078" t="str">
        <v>MC/BF</v>
      </c>
      <c r="E1078">
        <v>904</v>
      </c>
      <c r="F1078">
        <v>32754</v>
      </c>
      <c r="G1078">
        <v>193398</v>
      </c>
      <c r="H1078" s="1">
        <v>46258</v>
      </c>
      <c r="I1078" t="str">
        <v>TRAVELERRECEIVED</v>
      </c>
      <c r="K1078" t="str">
        <v>Shipped</v>
      </c>
      <c r="L1078">
        <v>30039</v>
      </c>
    </row>
    <row r="1079">
      <c r="A1079">
        <v>716893</v>
      </c>
      <c r="B1079" t="str">
        <v>06101831-A</v>
      </c>
      <c r="C1079">
        <v>431</v>
      </c>
      <c r="D1079" t="str">
        <v>MC/BF</v>
      </c>
      <c r="E1079">
        <v>726</v>
      </c>
      <c r="F1079">
        <v>26304</v>
      </c>
      <c r="G1079">
        <v>193398</v>
      </c>
      <c r="H1079" s="1">
        <v>46258</v>
      </c>
      <c r="I1079" t="str">
        <v>TRAVELERRECEIVED</v>
      </c>
      <c r="K1079" t="str">
        <v>Shipped</v>
      </c>
      <c r="L1079">
        <v>30044</v>
      </c>
    </row>
    <row r="1080">
      <c r="A1080">
        <v>716895</v>
      </c>
      <c r="B1080" t="str">
        <v>06101831-A</v>
      </c>
      <c r="C1080">
        <v>1823</v>
      </c>
      <c r="D1080" t="str">
        <v>MC/BF</v>
      </c>
      <c r="E1080">
        <v>1172</v>
      </c>
      <c r="F1080">
        <v>42464</v>
      </c>
      <c r="G1080">
        <v>193398</v>
      </c>
      <c r="H1080" s="1">
        <v>46258</v>
      </c>
      <c r="I1080" t="str">
        <v>TRAVELERRECEIVED</v>
      </c>
      <c r="K1080" t="str">
        <v>Shipped</v>
      </c>
      <c r="L1080">
        <v>30040</v>
      </c>
    </row>
    <row r="1081">
      <c r="A1081">
        <v>716896</v>
      </c>
      <c r="B1081" t="str">
        <v>06101831-A</v>
      </c>
      <c r="C1081">
        <v>106</v>
      </c>
      <c r="D1081" t="str">
        <v>MC/BF</v>
      </c>
      <c r="E1081">
        <v>1064</v>
      </c>
      <c r="F1081">
        <v>38551</v>
      </c>
      <c r="G1081">
        <v>193398</v>
      </c>
      <c r="H1081" s="1">
        <v>46258</v>
      </c>
      <c r="I1081" t="str">
        <v>TRAVELERRECEIVED</v>
      </c>
      <c r="K1081" t="str">
        <v>Shipped</v>
      </c>
      <c r="L1081">
        <v>30040</v>
      </c>
    </row>
    <row r="1082">
      <c r="A1082">
        <v>716897</v>
      </c>
      <c r="B1082" t="str">
        <v>06101831-A</v>
      </c>
      <c r="C1082">
        <v>1544</v>
      </c>
      <c r="D1082" t="str">
        <v>MC/BF</v>
      </c>
      <c r="E1082">
        <v>1073</v>
      </c>
      <c r="F1082">
        <v>38877</v>
      </c>
      <c r="G1082">
        <v>193398</v>
      </c>
      <c r="H1082" s="1">
        <v>46258</v>
      </c>
      <c r="I1082" t="str">
        <v>TRAVELERRECEIVED</v>
      </c>
      <c r="K1082" t="str">
        <v>Shipped</v>
      </c>
      <c r="L1082">
        <v>30031</v>
      </c>
    </row>
    <row r="1083">
      <c r="A1083">
        <v>716991</v>
      </c>
      <c r="B1083" t="str">
        <v>06509967AA</v>
      </c>
      <c r="C1083" t="str">
        <v>KIB</v>
      </c>
      <c r="D1083" t="str">
        <v>TB</v>
      </c>
      <c r="E1083">
        <v>1320</v>
      </c>
      <c r="F1083">
        <v>40000</v>
      </c>
      <c r="G1083">
        <v>193398</v>
      </c>
      <c r="H1083" s="1">
        <v>46258</v>
      </c>
      <c r="I1083" t="str">
        <v>TRAVELERRECEIVED</v>
      </c>
      <c r="K1083" t="str">
        <v>Shipped</v>
      </c>
      <c r="L1083">
        <v>30037</v>
      </c>
    </row>
    <row r="1084">
      <c r="A1084">
        <v>716992</v>
      </c>
      <c r="B1084" t="str">
        <v>06509967AA</v>
      </c>
      <c r="C1084" t="str">
        <v>KIB</v>
      </c>
      <c r="D1084" t="str">
        <v>TB</v>
      </c>
      <c r="E1084">
        <v>1320</v>
      </c>
      <c r="F1084">
        <v>40000</v>
      </c>
      <c r="G1084">
        <v>193398</v>
      </c>
      <c r="H1084" s="1">
        <v>46258</v>
      </c>
      <c r="I1084" t="str">
        <v>SPLIT FROM TR716991</v>
      </c>
      <c r="K1084" t="str">
        <v>Shipped</v>
      </c>
      <c r="L1084">
        <v>30031</v>
      </c>
    </row>
    <row r="1085">
      <c r="A1085">
        <v>717111</v>
      </c>
      <c r="B1085" t="str">
        <v>06101736-A</v>
      </c>
      <c r="C1085">
        <v>1545</v>
      </c>
      <c r="E1085">
        <v>866</v>
      </c>
      <c r="F1085">
        <v>97303</v>
      </c>
      <c r="G1085">
        <v>193398</v>
      </c>
      <c r="H1085" s="1">
        <v>46258</v>
      </c>
      <c r="I1085" t="str">
        <v>TRAVELERRECEIVED</v>
      </c>
      <c r="K1085" t="str">
        <v>Shipped</v>
      </c>
      <c r="L1085">
        <v>30044</v>
      </c>
    </row>
    <row r="1086">
      <c r="A1086">
        <v>717112</v>
      </c>
      <c r="B1086" t="str">
        <v>06101736-A</v>
      </c>
      <c r="C1086">
        <v>734</v>
      </c>
      <c r="E1086">
        <v>780</v>
      </c>
      <c r="F1086">
        <v>87640</v>
      </c>
      <c r="G1086">
        <v>193398</v>
      </c>
      <c r="H1086" s="1">
        <v>46258</v>
      </c>
      <c r="I1086" t="str">
        <v>TRAVELERRECEIVED</v>
      </c>
      <c r="J1086" t="str">
        <v>DONE</v>
      </c>
      <c r="K1086">
        <f>IF(ISERROR(MATCH(WORKORDER[[#This Row],[TRAVELER]],Table1[TRAVELER],0)),K1086,"Shipped")</f>
        <v>0</v>
      </c>
      <c r="L1086">
        <f>+IF(ISERROR(MATCH(WORKORDER[[#This Row],[TRAVELER]],Table1[TRAVELER],0)),L1086,'PACKING SLIP'!$F$5)</f>
        <v>0</v>
      </c>
    </row>
    <row r="1087">
      <c r="A1087">
        <v>714080</v>
      </c>
      <c r="B1087" t="str">
        <v>L0668498AA02</v>
      </c>
      <c r="C1087">
        <v>85</v>
      </c>
      <c r="E1087">
        <v>1089</v>
      </c>
      <c r="F1087">
        <v>119670</v>
      </c>
      <c r="G1087">
        <v>193407</v>
      </c>
      <c r="H1087" s="1">
        <v>46258</v>
      </c>
      <c r="I1087" t="str">
        <v>TRAVELERRECEIVED</v>
      </c>
      <c r="K1087" t="str">
        <v>Shipped</v>
      </c>
      <c r="L1087">
        <v>30044</v>
      </c>
    </row>
    <row r="1088">
      <c r="A1088">
        <v>714081</v>
      </c>
      <c r="B1088" t="str">
        <v>L0668498AA02</v>
      </c>
      <c r="C1088">
        <v>1363</v>
      </c>
      <c r="E1088">
        <v>1064</v>
      </c>
      <c r="F1088">
        <v>116923</v>
      </c>
      <c r="G1088">
        <v>193407</v>
      </c>
      <c r="H1088" s="1">
        <v>46258</v>
      </c>
      <c r="K1088" t="str">
        <f>IF(ISERROR(MATCH(WORKORDER[[#This Row],[TRAVELER]],Table1[TRAVELER],0)),K1088,"Shipped")</f>
        <v>Shipped</v>
      </c>
      <c r="L1088">
        <f>+IF(ISERROR(MATCH([1]!WORKORDER[[#This Row],[TRAVELER]],[1]!Table1[TRAVELER],0)),L1088,#REF!)</f>
        <v>0</v>
      </c>
    </row>
    <row r="1089">
      <c r="A1089">
        <v>714262</v>
      </c>
      <c r="B1089" t="str">
        <v>L0668498AA02</v>
      </c>
      <c r="C1089">
        <v>609</v>
      </c>
      <c r="E1089">
        <v>1130</v>
      </c>
      <c r="F1089">
        <v>124176</v>
      </c>
      <c r="G1089">
        <v>193407</v>
      </c>
      <c r="H1089" s="1">
        <v>46258</v>
      </c>
      <c r="I1089" t="str">
        <v>TRAVELERRECEIVED</v>
      </c>
      <c r="J1089" t="str">
        <v>DONE</v>
      </c>
      <c r="K1089" t="str">
        <v>Shipped</v>
      </c>
      <c r="L1089">
        <v>30044</v>
      </c>
    </row>
    <row r="1090">
      <c r="A1090">
        <v>714263</v>
      </c>
      <c r="B1090" t="str">
        <v>L0668498AA02</v>
      </c>
      <c r="C1090">
        <v>929</v>
      </c>
      <c r="E1090">
        <v>1008</v>
      </c>
      <c r="F1090">
        <v>110769</v>
      </c>
      <c r="G1090">
        <v>193407</v>
      </c>
      <c r="I1090" t="str">
        <v>TRAVELERRECEIVED</v>
      </c>
      <c r="K1090" t="str">
        <v>Shipped</v>
      </c>
      <c r="L1090">
        <v>30037</v>
      </c>
    </row>
    <row r="1091">
      <c r="A1091">
        <v>715982</v>
      </c>
      <c r="B1091" t="str">
        <v>W520217-S440</v>
      </c>
      <c r="C1091">
        <v>300</v>
      </c>
      <c r="D1091" t="str">
        <v>TB</v>
      </c>
      <c r="E1091">
        <v>1113</v>
      </c>
      <c r="F1091">
        <v>5096</v>
      </c>
      <c r="G1091">
        <v>193407</v>
      </c>
      <c r="H1091" s="1">
        <v>46258</v>
      </c>
      <c r="I1091" t="str">
        <v>TRAVELERRECEIVED</v>
      </c>
      <c r="K1091" t="str">
        <v>Shipped</v>
      </c>
      <c r="L1091">
        <v>30031</v>
      </c>
    </row>
    <row r="1092">
      <c r="A1092">
        <v>715983</v>
      </c>
      <c r="B1092" t="str">
        <v>W520217-S440</v>
      </c>
      <c r="C1092">
        <v>1706</v>
      </c>
      <c r="D1092" t="str">
        <v>TB</v>
      </c>
      <c r="E1092">
        <v>1077</v>
      </c>
      <c r="F1092">
        <v>4931</v>
      </c>
      <c r="G1092">
        <v>193407</v>
      </c>
      <c r="H1092" s="1">
        <v>46258</v>
      </c>
      <c r="I1092" t="str">
        <v>TRAVELERRECEIVED</v>
      </c>
      <c r="K1092" t="str">
        <v>Shipped</v>
      </c>
      <c r="L1092">
        <v>30031</v>
      </c>
    </row>
    <row r="1093">
      <c r="A1093">
        <v>715984</v>
      </c>
      <c r="B1093" t="str">
        <v>W520217-S440</v>
      </c>
      <c r="C1093">
        <v>16</v>
      </c>
      <c r="D1093" t="str">
        <v>TB</v>
      </c>
      <c r="E1093">
        <v>1103</v>
      </c>
      <c r="F1093">
        <v>5050</v>
      </c>
      <c r="G1093">
        <v>193407</v>
      </c>
      <c r="H1093" s="1">
        <v>46258</v>
      </c>
      <c r="I1093" t="str">
        <v>TRAVELERRECEIVED</v>
      </c>
      <c r="K1093" t="str">
        <v>Shipped</v>
      </c>
      <c r="L1093">
        <v>30031</v>
      </c>
    </row>
    <row r="1094">
      <c r="A1094">
        <v>715985</v>
      </c>
      <c r="B1094" t="str">
        <v>W520217-S440</v>
      </c>
      <c r="C1094">
        <v>782</v>
      </c>
      <c r="D1094" t="str">
        <v>TB</v>
      </c>
      <c r="E1094">
        <v>1068</v>
      </c>
      <c r="F1094">
        <v>4890</v>
      </c>
      <c r="G1094">
        <v>193407</v>
      </c>
      <c r="H1094" s="1">
        <v>46258</v>
      </c>
      <c r="I1094" t="str">
        <v>TRAVELERRECEIVED</v>
      </c>
      <c r="J1094" t="str">
        <v>DONE</v>
      </c>
      <c r="K1094" t="str">
        <v>Shipped</v>
      </c>
      <c r="L1094">
        <v>30037</v>
      </c>
    </row>
    <row r="1095">
      <c r="A1095">
        <v>715988</v>
      </c>
      <c r="B1095" t="str">
        <v>W520217-S440</v>
      </c>
      <c r="C1095">
        <v>710</v>
      </c>
      <c r="D1095" t="str">
        <v>TB</v>
      </c>
      <c r="E1095">
        <v>1184</v>
      </c>
      <c r="F1095">
        <v>5421</v>
      </c>
      <c r="G1095">
        <v>193407</v>
      </c>
      <c r="H1095" s="1">
        <v>46258</v>
      </c>
      <c r="I1095" t="str">
        <v>TRAVELERRECEIVED</v>
      </c>
      <c r="K1095" t="str">
        <v>Shipped</v>
      </c>
      <c r="L1095">
        <v>30031</v>
      </c>
    </row>
    <row r="1096">
      <c r="A1096">
        <v>715989</v>
      </c>
      <c r="B1096" t="str">
        <v>W520217-S440</v>
      </c>
      <c r="C1096">
        <v>1550</v>
      </c>
      <c r="D1096" t="str">
        <v>TB</v>
      </c>
      <c r="E1096">
        <v>1005</v>
      </c>
      <c r="F1096">
        <v>4602</v>
      </c>
      <c r="G1096">
        <v>193407</v>
      </c>
      <c r="H1096" s="1">
        <v>46258</v>
      </c>
      <c r="I1096" t="str">
        <v>TRAVELERRECEIVED</v>
      </c>
      <c r="K1096" t="str">
        <v>Shipped</v>
      </c>
      <c r="L1096">
        <v>30030</v>
      </c>
    </row>
    <row r="1097">
      <c r="A1097">
        <v>716775</v>
      </c>
      <c r="B1097" t="str">
        <v>06101736-A</v>
      </c>
      <c r="C1097">
        <v>1827</v>
      </c>
      <c r="E1097">
        <v>688</v>
      </c>
      <c r="F1097">
        <v>77303</v>
      </c>
      <c r="G1097">
        <v>193407</v>
      </c>
      <c r="H1097" s="1">
        <v>46258</v>
      </c>
      <c r="I1097" t="str">
        <v>TRAVELERRECEIVED</v>
      </c>
      <c r="K1097" t="str">
        <f>IF(ISERROR(MATCH(WORKORDER[[#This Row],[TRAVELER]],Table1[TRAVELER],0)),K1097,"Shipped")</f>
        <v>Shipped</v>
      </c>
      <c r="L1097">
        <f>+IF(ISERROR(MATCH(WORKORDER[[#This Row],[TRAVELER]],Table1[TRAVELER],0)),L1097,'PACKING SLIP'!$F$5)</f>
        <v>30049</v>
      </c>
    </row>
    <row r="1098">
      <c r="A1098">
        <v>716776</v>
      </c>
      <c r="B1098" t="str">
        <v>06101736-A</v>
      </c>
      <c r="C1098">
        <v>1676</v>
      </c>
      <c r="E1098">
        <v>1090</v>
      </c>
      <c r="F1098">
        <v>122472</v>
      </c>
      <c r="G1098">
        <v>193407</v>
      </c>
      <c r="H1098" s="1">
        <v>46258</v>
      </c>
      <c r="I1098" t="str">
        <v>TRAVELERRECEIVED</v>
      </c>
      <c r="K1098" t="str">
        <f>IF(ISERROR(MATCH(WORKORDER[[#This Row],[TRAVELER]],Table1[TRAVELER],0)),K1098,"Shipped")</f>
        <v>Shipped</v>
      </c>
      <c r="L1098">
        <f>+IF(ISERROR(MATCH(WORKORDER[[#This Row],[TRAVELER]],Table1[TRAVELER],0)),L1098,'PACKING SLIP'!$F$5)</f>
        <v>30061</v>
      </c>
    </row>
    <row r="1099">
      <c r="A1099">
        <v>716860</v>
      </c>
      <c r="B1099" t="str">
        <v>06101968-A</v>
      </c>
      <c r="C1099">
        <v>949</v>
      </c>
      <c r="D1099" t="str">
        <v>MC/BF</v>
      </c>
      <c r="E1099">
        <v>1016</v>
      </c>
      <c r="F1099">
        <v>76970</v>
      </c>
      <c r="G1099">
        <v>193407</v>
      </c>
      <c r="H1099" s="1">
        <v>46258</v>
      </c>
      <c r="I1099" t="str">
        <v>TRAVELERRECEIVED</v>
      </c>
      <c r="K1099" t="str">
        <v>Shipped</v>
      </c>
      <c r="L1099">
        <v>30037</v>
      </c>
    </row>
    <row r="1100">
      <c r="A1100">
        <v>716861</v>
      </c>
      <c r="B1100" t="str">
        <v>06101968-A</v>
      </c>
      <c r="C1100">
        <v>1517</v>
      </c>
      <c r="D1100" t="str">
        <v>MC/BF</v>
      </c>
      <c r="E1100">
        <v>967</v>
      </c>
      <c r="F1100">
        <v>73258</v>
      </c>
      <c r="G1100">
        <v>193407</v>
      </c>
      <c r="H1100" s="1">
        <v>46258</v>
      </c>
      <c r="I1100" t="str">
        <v>TRAVELERRECEIVED</v>
      </c>
      <c r="K1100" t="str">
        <v>Shipped</v>
      </c>
      <c r="L1100">
        <v>30040</v>
      </c>
    </row>
    <row r="1101">
      <c r="A1101">
        <v>716862</v>
      </c>
      <c r="B1101" t="str">
        <v>06101968-A</v>
      </c>
      <c r="C1101">
        <v>208</v>
      </c>
      <c r="D1101" t="str">
        <v>MC/BF</v>
      </c>
      <c r="E1101">
        <v>996</v>
      </c>
      <c r="F1101">
        <v>75455</v>
      </c>
      <c r="G1101">
        <v>193407</v>
      </c>
      <c r="H1101" s="1">
        <v>46258</v>
      </c>
      <c r="I1101" t="str">
        <v>TRAVELERRECEIVED</v>
      </c>
      <c r="K1101" t="str">
        <v>Shipped</v>
      </c>
      <c r="L1101">
        <v>30030</v>
      </c>
    </row>
    <row r="1102">
      <c r="A1102">
        <v>716863</v>
      </c>
      <c r="B1102" t="str">
        <v>06101968-A</v>
      </c>
      <c r="C1102">
        <v>648</v>
      </c>
      <c r="D1102" t="str">
        <v>MC/BF</v>
      </c>
      <c r="E1102">
        <v>979</v>
      </c>
      <c r="F1102">
        <v>74167</v>
      </c>
      <c r="G1102">
        <v>193407</v>
      </c>
      <c r="H1102" s="1">
        <v>46258</v>
      </c>
      <c r="K1102" t="str">
        <v>Shipped</v>
      </c>
      <c r="L1102">
        <v>30037</v>
      </c>
    </row>
    <row r="1103">
      <c r="A1103">
        <v>717061</v>
      </c>
      <c r="B1103">
        <v>11546463</v>
      </c>
      <c r="C1103">
        <v>854</v>
      </c>
      <c r="D1103" t="str">
        <v>MC/BF</v>
      </c>
      <c r="E1103">
        <v>1059</v>
      </c>
      <c r="F1103">
        <v>16393</v>
      </c>
      <c r="G1103">
        <v>193407</v>
      </c>
      <c r="H1103" s="1">
        <v>46258</v>
      </c>
      <c r="I1103" t="str">
        <v>TRAVELERRECEIVED</v>
      </c>
      <c r="K1103" t="str">
        <v>Shipped</v>
      </c>
      <c r="L1103">
        <v>30044</v>
      </c>
    </row>
    <row r="1104">
      <c r="A1104">
        <v>717062</v>
      </c>
      <c r="B1104">
        <v>11546463</v>
      </c>
      <c r="C1104">
        <v>223</v>
      </c>
      <c r="D1104" t="str">
        <v>MC/BF</v>
      </c>
      <c r="E1104">
        <v>873</v>
      </c>
      <c r="F1104">
        <v>13514</v>
      </c>
      <c r="G1104">
        <v>193407</v>
      </c>
      <c r="H1104" s="1">
        <v>46258</v>
      </c>
      <c r="I1104" t="str">
        <v>TRAVELERRECEIVED</v>
      </c>
      <c r="K1104" t="str">
        <f>IF(ISERROR(MATCH(WORKORDER[[#This Row],[TRAVELER]],Table1[TRAVELER],0)),K1104,"Shipped")</f>
        <v>Shipped</v>
      </c>
      <c r="L1104">
        <f>+IF(ISERROR(MATCH(WORKORDER[[#This Row],[TRAVELER]],Table1[TRAVELER],0)),L1104,'PACKING SLIP'!$F$5)</f>
        <v>30069</v>
      </c>
    </row>
    <row r="1105">
      <c r="A1105">
        <v>717063</v>
      </c>
      <c r="B1105">
        <v>11546463</v>
      </c>
      <c r="C1105">
        <v>1106</v>
      </c>
      <c r="D1105" t="str">
        <v>MC/BF</v>
      </c>
      <c r="E1105">
        <v>991</v>
      </c>
      <c r="F1105">
        <v>15341</v>
      </c>
      <c r="G1105">
        <v>193407</v>
      </c>
      <c r="H1105" s="1">
        <v>46258</v>
      </c>
      <c r="I1105" t="str">
        <v>TRAVELERRECEIVED</v>
      </c>
      <c r="K1105" t="str">
        <f>IF(ISERROR(MATCH(WORKORDER[[#This Row],[TRAVELER]],Table1[TRAVELER],0)),K1105,"Shipped")</f>
        <v>Shipped</v>
      </c>
      <c r="L1105">
        <f>+IF(ISERROR(MATCH(WORKORDER[[#This Row],[TRAVELER]],Table1[TRAVELER],0)),L1105,'PACKING SLIP'!$F$5)</f>
        <v>30069</v>
      </c>
    </row>
    <row r="1106">
      <c r="A1106">
        <v>717064</v>
      </c>
      <c r="B1106">
        <v>11546463</v>
      </c>
      <c r="C1106">
        <v>364</v>
      </c>
      <c r="D1106" t="str">
        <v>MC/BF</v>
      </c>
      <c r="E1106">
        <v>975</v>
      </c>
      <c r="F1106">
        <v>15093</v>
      </c>
      <c r="G1106">
        <v>193407</v>
      </c>
      <c r="H1106" s="1">
        <v>46258</v>
      </c>
      <c r="I1106" t="str">
        <v>TRAVELERRECEIVED</v>
      </c>
      <c r="K1106" t="str">
        <v>Shipped</v>
      </c>
      <c r="L1106">
        <v>30044</v>
      </c>
    </row>
    <row r="1107">
      <c r="A1107">
        <v>717071</v>
      </c>
      <c r="B1107">
        <v>11546456</v>
      </c>
      <c r="C1107">
        <v>1528</v>
      </c>
      <c r="D1107" t="str">
        <v>MC/BF</v>
      </c>
      <c r="E1107">
        <v>948</v>
      </c>
      <c r="F1107">
        <v>77705</v>
      </c>
      <c r="G1107">
        <v>193407</v>
      </c>
      <c r="H1107" s="1">
        <v>46258</v>
      </c>
      <c r="I1107" t="str">
        <v>TRAVELERRECEIVED</v>
      </c>
      <c r="K1107" t="str">
        <v>Shipped</v>
      </c>
      <c r="L1107">
        <v>30046</v>
      </c>
    </row>
    <row r="1108">
      <c r="A1108">
        <v>717072</v>
      </c>
      <c r="B1108">
        <v>11546456</v>
      </c>
      <c r="C1108">
        <v>1780</v>
      </c>
      <c r="D1108" t="str">
        <v>MC/BF</v>
      </c>
      <c r="E1108">
        <v>890</v>
      </c>
      <c r="F1108">
        <v>72951</v>
      </c>
      <c r="G1108">
        <v>193407</v>
      </c>
      <c r="H1108" s="1">
        <v>46258</v>
      </c>
      <c r="I1108" t="str">
        <v>TRAVELERRECEIVED</v>
      </c>
      <c r="K1108" t="str">
        <v>Shipped</v>
      </c>
      <c r="L1108">
        <v>30040</v>
      </c>
    </row>
    <row r="1109">
      <c r="A1109">
        <v>717073</v>
      </c>
      <c r="B1109">
        <v>11546456</v>
      </c>
      <c r="C1109">
        <v>724</v>
      </c>
      <c r="D1109" t="str">
        <v>MC/BF</v>
      </c>
      <c r="E1109">
        <v>932</v>
      </c>
      <c r="F1109">
        <v>76393</v>
      </c>
      <c r="G1109">
        <v>193407</v>
      </c>
      <c r="H1109" s="1">
        <v>46258</v>
      </c>
      <c r="I1109" t="str">
        <v>TRAVELERRECEIVED</v>
      </c>
      <c r="K1109" t="str">
        <v>Shipped</v>
      </c>
      <c r="L1109">
        <v>30040</v>
      </c>
    </row>
    <row r="1110">
      <c r="A1110">
        <v>717074</v>
      </c>
      <c r="B1110">
        <v>11546456</v>
      </c>
      <c r="C1110">
        <v>1059</v>
      </c>
      <c r="D1110" t="str">
        <v>MC/BF</v>
      </c>
      <c r="E1110">
        <v>843</v>
      </c>
      <c r="F1110">
        <v>69098</v>
      </c>
      <c r="G1110">
        <v>193407</v>
      </c>
      <c r="H1110" s="1">
        <v>46258</v>
      </c>
      <c r="I1110" t="str">
        <v>TRAVELERRECEIVED</v>
      </c>
      <c r="K1110" t="str">
        <v>Shipped</v>
      </c>
      <c r="L1110">
        <v>30040</v>
      </c>
    </row>
    <row r="1111">
      <c r="A1111">
        <v>717075</v>
      </c>
      <c r="B1111">
        <v>11546456</v>
      </c>
      <c r="C1111">
        <v>605</v>
      </c>
      <c r="D1111" t="str">
        <v>MC/BF</v>
      </c>
      <c r="E1111">
        <v>995</v>
      </c>
      <c r="F1111">
        <v>81557</v>
      </c>
      <c r="G1111">
        <v>193407</v>
      </c>
      <c r="H1111" s="1">
        <v>46258</v>
      </c>
      <c r="I1111" t="str">
        <v>TRAVELERRECEIVED</v>
      </c>
      <c r="K1111" t="str">
        <f>IF(ISERROR(MATCH(WORKORDER[[#This Row],[TRAVELER]],Table1[TRAVELER],0)),K1111,"Shipped")</f>
        <v>Shipped</v>
      </c>
      <c r="L1111">
        <f>+IF(ISERROR(MATCH(WORKORDER[[#This Row],[TRAVELER]],Table1[TRAVELER],0)),L1111,'PACKING SLIP'!$F$5)</f>
        <v>30069</v>
      </c>
    </row>
    <row r="1112">
      <c r="A1112">
        <v>717076</v>
      </c>
      <c r="B1112">
        <v>11546456</v>
      </c>
      <c r="C1112">
        <v>1711</v>
      </c>
      <c r="D1112" t="str">
        <v>MC/BF</v>
      </c>
      <c r="E1112">
        <v>803</v>
      </c>
      <c r="F1112">
        <v>65820</v>
      </c>
      <c r="G1112">
        <v>193407</v>
      </c>
      <c r="H1112" s="1">
        <v>46258</v>
      </c>
      <c r="I1112" t="str">
        <v>TRAVELERRECEIVED</v>
      </c>
      <c r="K1112" t="str">
        <v>Shipped</v>
      </c>
      <c r="L1112">
        <v>30046</v>
      </c>
    </row>
    <row r="1113">
      <c r="A1113">
        <v>717077</v>
      </c>
      <c r="B1113">
        <v>11546456</v>
      </c>
      <c r="C1113">
        <v>921</v>
      </c>
      <c r="D1113" t="str">
        <v>MC/BF</v>
      </c>
      <c r="E1113">
        <v>938</v>
      </c>
      <c r="F1113">
        <v>76885</v>
      </c>
      <c r="G1113">
        <v>193407</v>
      </c>
      <c r="H1113" s="1">
        <v>46258</v>
      </c>
      <c r="I1113" t="str">
        <v>TRAVELERRECEIVED</v>
      </c>
      <c r="K1113" t="str">
        <f>IF(ISERROR(MATCH(WORKORDER[[#This Row],[TRAVELER]],Table1[TRAVELER],0)),K1113,"Shipped")</f>
        <v>Shipped</v>
      </c>
      <c r="L1113">
        <f>+IF(ISERROR(MATCH(WORKORDER[[#This Row],[TRAVELER]],Table1[TRAVELER],0)),L1113,'PACKING SLIP'!$F$5)</f>
        <v>30054</v>
      </c>
    </row>
    <row r="1114">
      <c r="A1114">
        <v>717078</v>
      </c>
      <c r="B1114">
        <v>11546456</v>
      </c>
      <c r="C1114">
        <v>716</v>
      </c>
      <c r="D1114" t="str">
        <v>MC/BF</v>
      </c>
      <c r="E1114">
        <v>858</v>
      </c>
      <c r="F1114">
        <v>70328</v>
      </c>
      <c r="G1114">
        <v>193407</v>
      </c>
      <c r="H1114" s="1">
        <v>46258</v>
      </c>
      <c r="I1114" t="str">
        <v>TRAVELERRECEIVED</v>
      </c>
      <c r="K1114" t="str">
        <v>Shipped</v>
      </c>
      <c r="L1114">
        <v>30040</v>
      </c>
    </row>
    <row r="1115">
      <c r="A1115">
        <v>717129</v>
      </c>
      <c r="B1115" t="str">
        <v>11602031-IN-PN</v>
      </c>
      <c r="C1115">
        <v>1661</v>
      </c>
      <c r="D1115" t="str">
        <v>TB</v>
      </c>
      <c r="E1115">
        <v>651</v>
      </c>
      <c r="F1115">
        <v>3190</v>
      </c>
      <c r="G1115">
        <v>193407</v>
      </c>
      <c r="H1115" s="1">
        <v>46258</v>
      </c>
      <c r="I1115" t="str">
        <v>TRAVELERRECEIVED</v>
      </c>
      <c r="K1115" t="str">
        <v>Shipped</v>
      </c>
      <c r="L1115">
        <v>30031</v>
      </c>
    </row>
    <row r="1116">
      <c r="A1116">
        <v>717130</v>
      </c>
      <c r="B1116" t="str">
        <v>11602031-IN-PN</v>
      </c>
      <c r="C1116">
        <v>54</v>
      </c>
      <c r="D1116" t="str">
        <v>TB</v>
      </c>
      <c r="E1116">
        <v>654</v>
      </c>
      <c r="F1116">
        <v>3204</v>
      </c>
      <c r="G1116">
        <v>193407</v>
      </c>
      <c r="H1116" s="1">
        <v>46258</v>
      </c>
      <c r="I1116" t="str">
        <v>TRAVELERRECEIVED</v>
      </c>
      <c r="K1116" t="str">
        <v>Shipped</v>
      </c>
      <c r="L1116">
        <v>30044</v>
      </c>
    </row>
    <row r="1117">
      <c r="A1117">
        <v>717145</v>
      </c>
      <c r="B1117" t="str">
        <v>11546463-TH-TC</v>
      </c>
      <c r="C1117">
        <v>1760</v>
      </c>
      <c r="D1117" t="str">
        <v>TB</v>
      </c>
      <c r="E1117">
        <v>914</v>
      </c>
      <c r="F1117">
        <v>13113</v>
      </c>
      <c r="G1117">
        <v>193407</v>
      </c>
      <c r="H1117" s="1">
        <v>46258</v>
      </c>
      <c r="I1117" t="str">
        <v>TRAVELERRECEIVED</v>
      </c>
      <c r="J1117" t="str">
        <v>DONE</v>
      </c>
      <c r="K1117" t="str">
        <f>IF(ISERROR(MATCH(WORKORDER[[#This Row],[TRAVELER]],Table1[TRAVELER],0)),K1117,"Shipped")</f>
        <v>Shipped</v>
      </c>
      <c r="L1117">
        <f>+IF(ISERROR(MATCH(WORKORDER[[#This Row],[TRAVELER]],Table1[TRAVELER],0)),L1117,'PACKING SLIP'!$F$5)</f>
        <v>30049</v>
      </c>
    </row>
    <row r="1118">
      <c r="A1118">
        <v>717146</v>
      </c>
      <c r="B1118" t="str">
        <v>11546463-TH-TC</v>
      </c>
      <c r="C1118">
        <v>200</v>
      </c>
      <c r="D1118" t="str">
        <v>MC/BF</v>
      </c>
      <c r="E1118">
        <v>1097</v>
      </c>
      <c r="F1118">
        <v>15739</v>
      </c>
      <c r="G1118">
        <v>193407</v>
      </c>
      <c r="H1118" s="1">
        <v>46258</v>
      </c>
      <c r="I1118" t="str">
        <v>TRAVELERRECEIVED</v>
      </c>
      <c r="K1118" t="str">
        <v>Shipped</v>
      </c>
      <c r="L1118">
        <v>30046</v>
      </c>
    </row>
    <row r="1119">
      <c r="A1119">
        <v>717147</v>
      </c>
      <c r="B1119" t="str">
        <v>11546463-TH-TC</v>
      </c>
      <c r="C1119">
        <v>901</v>
      </c>
      <c r="D1119" t="str">
        <v>TB</v>
      </c>
      <c r="E1119">
        <v>1114</v>
      </c>
      <c r="F1119">
        <v>15983</v>
      </c>
      <c r="G1119">
        <v>193407</v>
      </c>
      <c r="H1119" s="1">
        <v>46258</v>
      </c>
      <c r="I1119" t="str">
        <v>TRAVELERRECEIVED</v>
      </c>
      <c r="J1119" t="str">
        <v>DONE</v>
      </c>
      <c r="K1119" t="str">
        <v>Shipped</v>
      </c>
      <c r="L1119">
        <v>30044</v>
      </c>
    </row>
    <row r="1120">
      <c r="A1120">
        <v>717149</v>
      </c>
      <c r="B1120" t="str">
        <v>11546463-TH-TC</v>
      </c>
      <c r="C1120">
        <v>417</v>
      </c>
      <c r="D1120" t="str">
        <v>MC/BF</v>
      </c>
      <c r="E1120">
        <v>809</v>
      </c>
      <c r="F1120">
        <v>11607</v>
      </c>
      <c r="G1120">
        <v>193407</v>
      </c>
      <c r="H1120" s="1">
        <v>46258</v>
      </c>
      <c r="I1120" t="str">
        <v>TRAVELERRECEIVED</v>
      </c>
      <c r="K1120" t="str">
        <v>Shipped</v>
      </c>
      <c r="L1120">
        <v>30044</v>
      </c>
    </row>
    <row r="1121">
      <c r="A1121">
        <v>717183</v>
      </c>
      <c r="B1121" t="str">
        <v>11602031-IN-PN</v>
      </c>
      <c r="C1121">
        <v>829</v>
      </c>
      <c r="D1121" t="str">
        <v>TB</v>
      </c>
      <c r="E1121">
        <v>654</v>
      </c>
      <c r="F1121">
        <v>3204</v>
      </c>
      <c r="G1121">
        <v>193407</v>
      </c>
      <c r="H1121" s="1">
        <v>46258</v>
      </c>
      <c r="I1121" t="str">
        <v>TRAVELERRECEIVED</v>
      </c>
      <c r="K1121" t="str">
        <v>Shipped</v>
      </c>
      <c r="L1121">
        <v>30031</v>
      </c>
    </row>
    <row r="1122">
      <c r="A1122">
        <v>717184</v>
      </c>
      <c r="B1122" t="str">
        <v>11602031-IN-PN</v>
      </c>
      <c r="C1122">
        <v>1799</v>
      </c>
      <c r="D1122" t="str">
        <v>TB</v>
      </c>
      <c r="E1122">
        <v>693</v>
      </c>
      <c r="F1122">
        <v>3395</v>
      </c>
      <c r="G1122">
        <v>193407</v>
      </c>
      <c r="H1122" s="1">
        <v>46258</v>
      </c>
      <c r="I1122" t="str">
        <v>TRAVELERRECEIVED</v>
      </c>
      <c r="K1122" t="str">
        <v>Shipped</v>
      </c>
      <c r="L1122">
        <v>30031</v>
      </c>
    </row>
    <row r="1123">
      <c r="A1123">
        <v>703121</v>
      </c>
      <c r="B1123" t="str">
        <v>11612078-B</v>
      </c>
      <c r="C1123">
        <v>1665</v>
      </c>
      <c r="D1123" t="str">
        <v>MC74</v>
      </c>
      <c r="E1123">
        <v>1056</v>
      </c>
      <c r="F1123">
        <v>60000</v>
      </c>
      <c r="G1123">
        <v>193443</v>
      </c>
      <c r="H1123" s="1">
        <v>46258</v>
      </c>
      <c r="I1123" t="str">
        <v>6-236-29-A</v>
      </c>
      <c r="K1123" t="str">
        <v>Shipped</v>
      </c>
      <c r="L1123">
        <v>29801</v>
      </c>
    </row>
    <row r="1124">
      <c r="A1124">
        <v>707325</v>
      </c>
      <c r="B1124" t="str">
        <v>11612078-B</v>
      </c>
      <c r="C1124">
        <v>1391</v>
      </c>
      <c r="D1124" t="str">
        <v>MC74</v>
      </c>
      <c r="E1124">
        <v>1302</v>
      </c>
      <c r="F1124">
        <v>74000</v>
      </c>
      <c r="G1124">
        <v>193443</v>
      </c>
      <c r="H1124" s="1">
        <v>46258</v>
      </c>
      <c r="I1124" t="str">
        <v>6-236-28-A</v>
      </c>
      <c r="K1124" t="str">
        <v>Shipped</v>
      </c>
      <c r="L1124">
        <v>29801</v>
      </c>
    </row>
    <row r="1125">
      <c r="A1125">
        <v>708436</v>
      </c>
      <c r="B1125" t="str">
        <v>11612078-B</v>
      </c>
      <c r="C1125">
        <v>242</v>
      </c>
      <c r="D1125" t="str">
        <v>MC74</v>
      </c>
      <c r="E1125">
        <v>1144</v>
      </c>
      <c r="F1125">
        <v>65000</v>
      </c>
      <c r="G1125">
        <v>193443</v>
      </c>
      <c r="H1125" s="1">
        <v>46258</v>
      </c>
      <c r="I1125" t="str">
        <v>6-236-28-B</v>
      </c>
      <c r="K1125" t="str">
        <v>Shipped</v>
      </c>
      <c r="L1125">
        <v>29801</v>
      </c>
    </row>
    <row r="1126">
      <c r="A1126">
        <v>710175</v>
      </c>
      <c r="B1126" t="str">
        <v>11612078-B</v>
      </c>
      <c r="C1126">
        <v>957</v>
      </c>
      <c r="D1126" t="str">
        <v>MC74</v>
      </c>
      <c r="E1126">
        <v>1320</v>
      </c>
      <c r="F1126">
        <v>75000</v>
      </c>
      <c r="G1126">
        <v>193443</v>
      </c>
      <c r="H1126" s="1">
        <v>46258</v>
      </c>
      <c r="I1126" t="str">
        <v>6-236-28-C</v>
      </c>
      <c r="K1126" t="str">
        <v>Shipped</v>
      </c>
      <c r="L1126">
        <v>29801</v>
      </c>
    </row>
    <row r="1127">
      <c r="A1127">
        <v>714005</v>
      </c>
      <c r="B1127" t="str">
        <v>F1302AB</v>
      </c>
      <c r="C1127">
        <v>1055</v>
      </c>
      <c r="D1127" t="str">
        <v>TB</v>
      </c>
      <c r="E1127">
        <v>824</v>
      </c>
      <c r="F1127">
        <v>26667</v>
      </c>
      <c r="G1127">
        <v>193443</v>
      </c>
      <c r="H1127" s="1">
        <v>46258</v>
      </c>
      <c r="I1127" t="str">
        <v>6-232-29-A</v>
      </c>
      <c r="K1127" t="str">
        <v>Shipped</v>
      </c>
      <c r="L1127">
        <v>30030</v>
      </c>
    </row>
    <row r="1128">
      <c r="A1128">
        <v>714006</v>
      </c>
      <c r="B1128" t="str">
        <v>F1302AB</v>
      </c>
      <c r="C1128">
        <v>934</v>
      </c>
      <c r="D1128" t="str">
        <v>TB</v>
      </c>
      <c r="E1128">
        <v>834</v>
      </c>
      <c r="F1128">
        <v>26990</v>
      </c>
      <c r="G1128">
        <v>193443</v>
      </c>
      <c r="H1128" s="1">
        <v>46258</v>
      </c>
      <c r="I1128" t="str">
        <v>6-232-29-E</v>
      </c>
      <c r="K1128" t="str">
        <v>Shipped</v>
      </c>
      <c r="L1128">
        <v>30030</v>
      </c>
    </row>
    <row r="1129">
      <c r="A1129">
        <v>714007</v>
      </c>
      <c r="B1129" t="str">
        <v>F1302AB</v>
      </c>
      <c r="C1129">
        <v>312</v>
      </c>
      <c r="D1129" t="str">
        <v>TB</v>
      </c>
      <c r="E1129">
        <v>825</v>
      </c>
      <c r="F1129">
        <v>26699</v>
      </c>
      <c r="G1129">
        <v>193443</v>
      </c>
      <c r="H1129" s="1">
        <v>46258</v>
      </c>
      <c r="I1129" t="str">
        <v>6-232-29-B</v>
      </c>
      <c r="K1129">
        <f>IF(ISERROR(MATCH(WORKORDER[[#This Row],[TRAVELER]],Table1[TRAVELER],0)),K1129,"Shipped")</f>
        <v>0</v>
      </c>
      <c r="L1129">
        <f>+IF(ISERROR(MATCH(WORKORDER[[#This Row],[TRAVELER]],Table1[TRAVELER],0)),L1129,'PACKING SLIP'!$F$5)</f>
        <v>0</v>
      </c>
    </row>
    <row r="1130">
      <c r="A1130">
        <v>714574</v>
      </c>
      <c r="B1130" t="str">
        <v>F1302AB</v>
      </c>
      <c r="C1130">
        <v>269</v>
      </c>
      <c r="D1130" t="str">
        <v>TB</v>
      </c>
      <c r="E1130">
        <v>645</v>
      </c>
      <c r="F1130">
        <v>20874</v>
      </c>
      <c r="G1130">
        <v>193443</v>
      </c>
      <c r="H1130" s="1">
        <v>46258</v>
      </c>
      <c r="I1130" t="str">
        <v>6-236-35-A</v>
      </c>
      <c r="K1130" t="str">
        <v>Shipped</v>
      </c>
      <c r="L1130">
        <v>30037</v>
      </c>
    </row>
    <row r="1131">
      <c r="A1131">
        <v>714575</v>
      </c>
      <c r="B1131" t="str">
        <v>F1302AB</v>
      </c>
      <c r="C1131">
        <v>540</v>
      </c>
      <c r="D1131" t="str">
        <v>TB</v>
      </c>
      <c r="E1131">
        <v>593</v>
      </c>
      <c r="F1131">
        <v>19191</v>
      </c>
      <c r="G1131">
        <v>193443</v>
      </c>
      <c r="H1131" s="1">
        <v>46258</v>
      </c>
      <c r="I1131" t="str">
        <v>6-236-35-B</v>
      </c>
      <c r="K1131" t="str">
        <v>Shipped</v>
      </c>
      <c r="L1131">
        <v>30028</v>
      </c>
    </row>
    <row r="1132">
      <c r="A1132">
        <v>714576</v>
      </c>
      <c r="B1132" t="str">
        <v>F1302AB</v>
      </c>
      <c r="C1132">
        <v>847</v>
      </c>
      <c r="D1132" t="str">
        <v>TB</v>
      </c>
      <c r="E1132">
        <v>617</v>
      </c>
      <c r="F1132">
        <v>19968</v>
      </c>
      <c r="G1132">
        <v>193443</v>
      </c>
      <c r="H1132" s="1">
        <v>46258</v>
      </c>
      <c r="I1132" t="str">
        <v>6-232-29-C</v>
      </c>
      <c r="K1132" t="str">
        <v>Shipped</v>
      </c>
      <c r="L1132">
        <v>30030</v>
      </c>
    </row>
    <row r="1133">
      <c r="A1133">
        <v>714577</v>
      </c>
      <c r="B1133" t="str">
        <v>F1302AB</v>
      </c>
      <c r="C1133">
        <v>1554</v>
      </c>
      <c r="D1133" t="str">
        <v>TB</v>
      </c>
      <c r="E1133">
        <v>620</v>
      </c>
      <c r="F1133">
        <v>20065</v>
      </c>
      <c r="G1133">
        <v>193443</v>
      </c>
      <c r="H1133" s="1">
        <v>46258</v>
      </c>
      <c r="I1133" t="str">
        <v>6-232-29-D</v>
      </c>
      <c r="K1133" t="str">
        <v>Shipped</v>
      </c>
      <c r="L1133">
        <v>30031</v>
      </c>
    </row>
    <row r="1134">
      <c r="A1134">
        <v>714578</v>
      </c>
      <c r="B1134" t="str">
        <v>F1302AB</v>
      </c>
      <c r="C1134">
        <v>1572</v>
      </c>
      <c r="D1134" t="str">
        <v>TB</v>
      </c>
      <c r="E1134">
        <v>618</v>
      </c>
      <c r="F1134">
        <v>20000</v>
      </c>
      <c r="G1134">
        <v>193443</v>
      </c>
      <c r="H1134" s="1">
        <v>46258</v>
      </c>
      <c r="I1134" t="str">
        <v>6-236-35-C</v>
      </c>
      <c r="K1134" t="str">
        <v>Shipped</v>
      </c>
      <c r="L1134">
        <v>30037</v>
      </c>
    </row>
    <row r="1135">
      <c r="A1135">
        <v>715810</v>
      </c>
      <c r="B1135">
        <v>11602023</v>
      </c>
      <c r="C1135">
        <v>882</v>
      </c>
      <c r="D1135" t="str">
        <v>TB</v>
      </c>
      <c r="E1135">
        <v>793</v>
      </c>
      <c r="F1135">
        <v>34629</v>
      </c>
      <c r="G1135">
        <v>193443</v>
      </c>
      <c r="H1135" s="1">
        <v>46258</v>
      </c>
      <c r="I1135" t="str">
        <v>6-232-25-A</v>
      </c>
      <c r="K1135" t="str">
        <v>Shipped</v>
      </c>
      <c r="L1135">
        <v>30030</v>
      </c>
    </row>
    <row r="1136">
      <c r="A1136">
        <v>716004</v>
      </c>
      <c r="B1136" t="str">
        <v>06503825-A</v>
      </c>
      <c r="C1136">
        <v>575</v>
      </c>
      <c r="D1136" t="str">
        <v>TB</v>
      </c>
      <c r="E1136">
        <v>474</v>
      </c>
      <c r="F1136">
        <v>57462</v>
      </c>
      <c r="G1136">
        <v>193443</v>
      </c>
      <c r="H1136" s="1">
        <v>46258</v>
      </c>
      <c r="I1136" t="str">
        <v>6-229-54-A</v>
      </c>
      <c r="J1136" t="str">
        <v>OILY PART NEED TUMBLE</v>
      </c>
      <c r="K1136" t="str">
        <v>Shipped</v>
      </c>
      <c r="L1136">
        <v>30031</v>
      </c>
    </row>
    <row r="1137">
      <c r="A1137">
        <v>716005</v>
      </c>
      <c r="B1137" t="str">
        <v>06503825-A</v>
      </c>
      <c r="C1137">
        <v>1548</v>
      </c>
      <c r="D1137" t="str">
        <v>TB</v>
      </c>
      <c r="E1137">
        <v>760</v>
      </c>
      <c r="F1137">
        <v>58462</v>
      </c>
      <c r="G1137">
        <v>193443</v>
      </c>
      <c r="H1137" s="1">
        <v>46258</v>
      </c>
      <c r="I1137" t="str">
        <v>6-229-54-B</v>
      </c>
      <c r="J1137" t="str">
        <v>OILY PART NEED TUMBLE</v>
      </c>
      <c r="K1137" t="str">
        <v>Shipped</v>
      </c>
      <c r="L1137">
        <v>30030</v>
      </c>
    </row>
    <row r="1138">
      <c r="A1138">
        <v>716012</v>
      </c>
      <c r="B1138" t="str">
        <v>06502979-A</v>
      </c>
      <c r="C1138">
        <v>473</v>
      </c>
      <c r="D1138" t="str">
        <v>MC/BF</v>
      </c>
      <c r="E1138">
        <v>852</v>
      </c>
      <c r="F1138">
        <v>21515</v>
      </c>
      <c r="G1138">
        <v>193443</v>
      </c>
      <c r="H1138" s="1">
        <v>46258</v>
      </c>
      <c r="I1138" t="str">
        <v>6-229-61-A</v>
      </c>
      <c r="K1138" t="str">
        <v>Shipped</v>
      </c>
      <c r="L1138">
        <v>30037</v>
      </c>
    </row>
    <row r="1139">
      <c r="A1139">
        <v>716013</v>
      </c>
      <c r="B1139" t="str">
        <v>06502979-A</v>
      </c>
      <c r="C1139">
        <v>1114</v>
      </c>
      <c r="D1139" t="str">
        <v>MC/BF</v>
      </c>
      <c r="E1139">
        <v>782</v>
      </c>
      <c r="F1139">
        <v>19747</v>
      </c>
      <c r="G1139">
        <v>193443</v>
      </c>
      <c r="H1139" s="1">
        <v>46258</v>
      </c>
      <c r="I1139" t="str">
        <v>6-229-61-B</v>
      </c>
      <c r="K1139" t="str">
        <v>Shipped</v>
      </c>
      <c r="L1139">
        <v>30039</v>
      </c>
    </row>
    <row r="1140">
      <c r="A1140">
        <v>716028</v>
      </c>
      <c r="B1140" t="str">
        <v>06512732AA</v>
      </c>
      <c r="C1140">
        <v>676</v>
      </c>
      <c r="D1140" t="str">
        <v>TB</v>
      </c>
      <c r="E1140">
        <v>620</v>
      </c>
      <c r="F1140">
        <v>15938</v>
      </c>
      <c r="G1140">
        <v>193443</v>
      </c>
      <c r="H1140" s="1">
        <v>46258</v>
      </c>
      <c r="I1140" t="str">
        <v>6-229-58-A</v>
      </c>
      <c r="K1140" t="str">
        <f>IF(ISERROR(MATCH(WORKORDER[[#This Row],[TRAVELER]],Table1[TRAVELER],0)),K1140,"Shipped")</f>
        <v>Shipped</v>
      </c>
      <c r="L1140">
        <f>+IF(ISERROR(MATCH(WORKORDER[[#This Row],[TRAVELER]],Table1[TRAVELER],0)),L1140,'PACKING SLIP'!$F$5)</f>
        <v>30054</v>
      </c>
    </row>
    <row r="1141">
      <c r="A1141">
        <v>716238</v>
      </c>
      <c r="B1141" t="str">
        <v>N620483-S2</v>
      </c>
      <c r="C1141">
        <v>1682</v>
      </c>
      <c r="D1141" t="str">
        <v>TB</v>
      </c>
      <c r="E1141">
        <v>1140</v>
      </c>
      <c r="F1141">
        <v>21550</v>
      </c>
      <c r="G1141">
        <v>193443</v>
      </c>
      <c r="H1141" s="1">
        <v>46258</v>
      </c>
      <c r="I1141" t="str">
        <v>6-233-37-A</v>
      </c>
      <c r="J1141" t="str">
        <v>DONE</v>
      </c>
      <c r="K1141" t="str">
        <v>Shipped</v>
      </c>
      <c r="L1141">
        <v>30037</v>
      </c>
    </row>
    <row r="1142">
      <c r="A1142">
        <v>716239</v>
      </c>
      <c r="B1142" t="str">
        <v>N620483-S2</v>
      </c>
      <c r="C1142">
        <v>329</v>
      </c>
      <c r="D1142" t="str">
        <v>TB</v>
      </c>
      <c r="E1142">
        <v>1200</v>
      </c>
      <c r="F1142">
        <v>22684</v>
      </c>
      <c r="G1142">
        <v>193443</v>
      </c>
      <c r="H1142" s="1">
        <v>46258</v>
      </c>
      <c r="I1142" t="str">
        <v>6-233-37-B</v>
      </c>
      <c r="J1142" t="str">
        <v>DONE</v>
      </c>
      <c r="K1142" t="str">
        <v>Shipped</v>
      </c>
      <c r="L1142">
        <v>30028</v>
      </c>
    </row>
    <row r="1143">
      <c r="A1143">
        <v>716240</v>
      </c>
      <c r="B1143">
        <v>61273</v>
      </c>
      <c r="C1143">
        <v>281</v>
      </c>
      <c r="D1143" t="str">
        <v>TB</v>
      </c>
      <c r="E1143">
        <v>724</v>
      </c>
      <c r="F1143">
        <v>6837</v>
      </c>
      <c r="G1143">
        <v>193443</v>
      </c>
      <c r="H1143" s="1">
        <v>46258</v>
      </c>
      <c r="I1143" t="str">
        <v>6-232-30-A</v>
      </c>
      <c r="K1143" t="str">
        <v>Shipped</v>
      </c>
      <c r="L1143">
        <v>30030</v>
      </c>
    </row>
    <row r="1144">
      <c r="A1144">
        <v>716241</v>
      </c>
      <c r="B1144">
        <v>61273</v>
      </c>
      <c r="C1144">
        <v>574</v>
      </c>
      <c r="D1144" t="str">
        <v>TB</v>
      </c>
      <c r="E1144">
        <v>816</v>
      </c>
      <c r="F1144">
        <v>7705</v>
      </c>
      <c r="G1144">
        <v>193443</v>
      </c>
      <c r="H1144" s="1">
        <v>46258</v>
      </c>
      <c r="I1144" t="str">
        <v>6-232-30-B</v>
      </c>
      <c r="K1144" t="str">
        <v>Shipped</v>
      </c>
      <c r="L1144">
        <v>30031</v>
      </c>
    </row>
    <row r="1145">
      <c r="A1145">
        <v>716242</v>
      </c>
      <c r="B1145">
        <v>61273</v>
      </c>
      <c r="C1145">
        <v>833</v>
      </c>
      <c r="D1145" t="str">
        <v>TB</v>
      </c>
      <c r="E1145">
        <v>740</v>
      </c>
      <c r="F1145">
        <v>6988</v>
      </c>
      <c r="G1145">
        <v>193443</v>
      </c>
      <c r="H1145" s="1">
        <v>46258</v>
      </c>
      <c r="I1145" t="str">
        <v>6-232-30-C</v>
      </c>
      <c r="K1145" t="str">
        <v>Shipped</v>
      </c>
      <c r="L1145">
        <v>30037</v>
      </c>
    </row>
    <row r="1146">
      <c r="A1146">
        <v>716243</v>
      </c>
      <c r="B1146">
        <v>61273</v>
      </c>
      <c r="C1146">
        <v>1801</v>
      </c>
      <c r="D1146" t="str">
        <v>TB</v>
      </c>
      <c r="E1146">
        <v>816</v>
      </c>
      <c r="F1146">
        <v>7705</v>
      </c>
      <c r="G1146">
        <v>193443</v>
      </c>
      <c r="H1146" s="1">
        <v>46258</v>
      </c>
      <c r="I1146" t="str">
        <v>6-232-30-D</v>
      </c>
      <c r="K1146" t="str">
        <v>Shipped</v>
      </c>
      <c r="L1146">
        <v>30030</v>
      </c>
    </row>
    <row r="1147">
      <c r="A1147">
        <v>716431</v>
      </c>
      <c r="B1147" t="str">
        <v>06511637AA</v>
      </c>
      <c r="C1147">
        <v>1307</v>
      </c>
      <c r="E1147">
        <v>1038</v>
      </c>
      <c r="F1147">
        <v>41855</v>
      </c>
      <c r="G1147">
        <v>193443</v>
      </c>
      <c r="H1147" s="1">
        <v>46258</v>
      </c>
      <c r="I1147" t="str">
        <v>6-229-62-A</v>
      </c>
      <c r="K1147" t="str">
        <f>IF(ISERROR(MATCH(WORKORDER[[#This Row],[TRAVELER]],Table1[TRAVELER],0)),K1147,"Shipped")</f>
        <v>Shipped</v>
      </c>
      <c r="L1147">
        <f>+IF(ISERROR(MATCH(WORKORDER[[#This Row],[TRAVELER]],Table1[TRAVELER],0)),L1147,'PACKING SLIP'!$F$5)</f>
        <v>30082</v>
      </c>
    </row>
    <row r="1148">
      <c r="A1148">
        <v>716432</v>
      </c>
      <c r="B1148" t="str">
        <v>06511637AA</v>
      </c>
      <c r="C1148">
        <v>1619</v>
      </c>
      <c r="E1148">
        <v>995</v>
      </c>
      <c r="F1148">
        <v>40121</v>
      </c>
      <c r="G1148">
        <v>193443</v>
      </c>
      <c r="H1148" s="1">
        <v>46258</v>
      </c>
      <c r="I1148" t="str">
        <v>6-229-62-B</v>
      </c>
      <c r="K1148" t="str">
        <v>Shipped</v>
      </c>
      <c r="L1148">
        <v>30044</v>
      </c>
    </row>
    <row r="1149">
      <c r="A1149">
        <v>716435</v>
      </c>
      <c r="B1149">
        <v>11602292</v>
      </c>
      <c r="C1149">
        <v>693</v>
      </c>
      <c r="D1149" t="str">
        <v>TB</v>
      </c>
      <c r="E1149">
        <v>309</v>
      </c>
      <c r="F1149">
        <v>10000</v>
      </c>
      <c r="G1149">
        <v>193443</v>
      </c>
      <c r="H1149" s="1">
        <v>46258</v>
      </c>
      <c r="I1149" t="str">
        <v>6-231-15-A</v>
      </c>
      <c r="K1149" t="str">
        <v>Shipped</v>
      </c>
      <c r="L1149">
        <v>30039</v>
      </c>
    </row>
    <row r="1150">
      <c r="A1150">
        <v>716444</v>
      </c>
      <c r="B1150" t="str">
        <v>W719080-S450</v>
      </c>
      <c r="C1150">
        <v>1089</v>
      </c>
      <c r="E1150">
        <v>916</v>
      </c>
      <c r="F1150">
        <v>38167</v>
      </c>
      <c r="G1150">
        <v>193443</v>
      </c>
      <c r="H1150" s="1">
        <v>46258</v>
      </c>
      <c r="I1150" t="str">
        <v>6-229-53-A</v>
      </c>
      <c r="K1150" t="str">
        <v>Shipped</v>
      </c>
      <c r="L1150">
        <v>30040</v>
      </c>
    </row>
    <row r="1151">
      <c r="A1151">
        <v>716445</v>
      </c>
      <c r="B1151">
        <v>92468</v>
      </c>
      <c r="C1151">
        <v>967</v>
      </c>
      <c r="D1151" t="str">
        <v>MC/BF</v>
      </c>
      <c r="E1151">
        <v>945</v>
      </c>
      <c r="F1151">
        <v>28988</v>
      </c>
      <c r="G1151">
        <v>193443</v>
      </c>
      <c r="H1151" s="1">
        <v>46258</v>
      </c>
      <c r="K1151" t="str">
        <v>Shipped</v>
      </c>
      <c r="L1151">
        <v>30030</v>
      </c>
    </row>
    <row r="1152">
      <c r="A1152">
        <v>716446</v>
      </c>
      <c r="B1152">
        <v>92468</v>
      </c>
      <c r="C1152">
        <v>981</v>
      </c>
      <c r="D1152" t="str">
        <v>MC/BF</v>
      </c>
      <c r="E1152">
        <v>951</v>
      </c>
      <c r="F1152">
        <v>29172</v>
      </c>
      <c r="G1152">
        <v>193443</v>
      </c>
      <c r="H1152" s="1">
        <v>46258</v>
      </c>
      <c r="I1152" t="str">
        <v>6-229-47-B</v>
      </c>
      <c r="K1152" t="str">
        <v>Shipped</v>
      </c>
      <c r="L1152">
        <v>30037</v>
      </c>
    </row>
    <row r="1153">
      <c r="A1153">
        <v>716658</v>
      </c>
      <c r="B1153" t="str">
        <v>06514720AA</v>
      </c>
      <c r="C1153">
        <v>182</v>
      </c>
      <c r="E1153">
        <v>784</v>
      </c>
      <c r="F1153">
        <v>35475</v>
      </c>
      <c r="G1153">
        <v>193443</v>
      </c>
      <c r="H1153" s="1">
        <v>46258</v>
      </c>
      <c r="I1153" t="str">
        <v>6-232-28-B</v>
      </c>
      <c r="K1153" t="str">
        <v>Shipped</v>
      </c>
      <c r="L1153">
        <v>30030</v>
      </c>
    </row>
    <row r="1154">
      <c r="A1154">
        <v>717471</v>
      </c>
      <c r="B1154">
        <v>94012078</v>
      </c>
      <c r="C1154">
        <v>1524</v>
      </c>
      <c r="D1154" t="str">
        <v>TB</v>
      </c>
      <c r="E1154">
        <v>828</v>
      </c>
      <c r="F1154">
        <v>2712</v>
      </c>
      <c r="G1154">
        <v>193443</v>
      </c>
      <c r="H1154" s="1">
        <v>46258</v>
      </c>
      <c r="I1154" t="str">
        <v>6-236-31-A</v>
      </c>
      <c r="K1154" t="str">
        <v>Shipped</v>
      </c>
      <c r="L1154">
        <v>30028</v>
      </c>
    </row>
    <row r="1155">
      <c r="A1155">
        <v>717472</v>
      </c>
      <c r="B1155">
        <v>94012078</v>
      </c>
      <c r="C1155">
        <v>211</v>
      </c>
      <c r="D1155" t="str">
        <v>TB</v>
      </c>
      <c r="E1155">
        <v>721</v>
      </c>
      <c r="F1155">
        <v>2362</v>
      </c>
      <c r="G1155">
        <v>193443</v>
      </c>
      <c r="H1155" s="1">
        <v>46258</v>
      </c>
      <c r="I1155" t="str">
        <v>6-236-31-B</v>
      </c>
      <c r="K1155" t="str">
        <v>Shipped</v>
      </c>
      <c r="L1155">
        <v>30037</v>
      </c>
    </row>
    <row r="1156">
      <c r="A1156">
        <v>717473</v>
      </c>
      <c r="B1156">
        <v>94012078</v>
      </c>
      <c r="C1156">
        <v>543</v>
      </c>
      <c r="D1156" t="str">
        <v>TB</v>
      </c>
      <c r="E1156">
        <v>781</v>
      </c>
      <c r="F1156">
        <v>2558</v>
      </c>
      <c r="G1156">
        <v>193443</v>
      </c>
      <c r="H1156" s="1">
        <v>46258</v>
      </c>
      <c r="I1156" t="str">
        <v>6-236-31-C</v>
      </c>
      <c r="K1156" t="str">
        <v>Shipped</v>
      </c>
      <c r="L1156">
        <v>30039</v>
      </c>
    </row>
    <row r="1157">
      <c r="A1157">
        <v>717474</v>
      </c>
      <c r="B1157">
        <v>94012078</v>
      </c>
      <c r="C1157">
        <v>1426</v>
      </c>
      <c r="D1157" t="str">
        <v>TB</v>
      </c>
      <c r="E1157">
        <v>740</v>
      </c>
      <c r="F1157">
        <v>2424</v>
      </c>
      <c r="G1157">
        <v>193443</v>
      </c>
      <c r="H1157" s="1">
        <v>46258</v>
      </c>
      <c r="I1157" t="str">
        <v>6-236-31-D</v>
      </c>
      <c r="K1157" t="str">
        <v>Shipped</v>
      </c>
      <c r="L1157">
        <v>30030</v>
      </c>
    </row>
    <row r="1158">
      <c r="A1158">
        <v>717475</v>
      </c>
      <c r="B1158">
        <v>94012078</v>
      </c>
      <c r="C1158">
        <v>1007</v>
      </c>
      <c r="D1158" t="str">
        <v>TB</v>
      </c>
      <c r="E1158">
        <v>758</v>
      </c>
      <c r="F1158">
        <v>2483</v>
      </c>
      <c r="G1158">
        <v>193443</v>
      </c>
      <c r="H1158" s="1">
        <v>46258</v>
      </c>
      <c r="I1158" t="str">
        <v>6-236-31-E</v>
      </c>
      <c r="K1158" t="str">
        <v>Shipped</v>
      </c>
      <c r="L1158">
        <v>30028</v>
      </c>
    </row>
    <row r="1159">
      <c r="A1159">
        <v>716305</v>
      </c>
      <c r="B1159" t="str">
        <v>11516077BR-MY-AK</v>
      </c>
      <c r="C1159">
        <v>589</v>
      </c>
      <c r="D1159" t="str">
        <v>MC/BF</v>
      </c>
      <c r="E1159">
        <v>1072</v>
      </c>
      <c r="F1159">
        <v>40000</v>
      </c>
      <c r="G1159">
        <v>193470</v>
      </c>
      <c r="H1159" s="1">
        <v>46259</v>
      </c>
      <c r="I1159" t="str">
        <v>TRAVELERRECEIVED</v>
      </c>
      <c r="K1159" t="str">
        <f>IF(ISERROR(MATCH(WORKORDER[[#This Row],[TRAVELER]],Table1[TRAVELER],0)),K1159,"Shipped")</f>
        <v>Shipped</v>
      </c>
      <c r="L1159">
        <f>+IF(ISERROR(MATCH(WORKORDER[[#This Row],[TRAVELER]],Table1[TRAVELER],0)),L1159,'PACKING SLIP'!$F$5)</f>
        <v>30049</v>
      </c>
    </row>
    <row r="1160">
      <c r="A1160">
        <v>716306</v>
      </c>
      <c r="B1160" t="str">
        <v>11516077BR-MY-AK</v>
      </c>
      <c r="C1160">
        <v>257</v>
      </c>
      <c r="D1160" t="str">
        <v>MC/BF</v>
      </c>
      <c r="E1160">
        <v>1099</v>
      </c>
      <c r="F1160">
        <v>41000</v>
      </c>
      <c r="G1160">
        <v>193470</v>
      </c>
      <c r="H1160" s="1">
        <v>46259</v>
      </c>
      <c r="I1160" t="str">
        <v>TRAVELERRECEIVED</v>
      </c>
      <c r="K1160" t="str">
        <f>IF(ISERROR(MATCH(WORKORDER[[#This Row],[TRAVELER]],Table1[TRAVELER],0)),K1160,"Shipped")</f>
        <v>Shipped</v>
      </c>
      <c r="L1160">
        <f>+IF(ISERROR(MATCH(WORKORDER[[#This Row],[TRAVELER]],Table1[TRAVELER],0)),L1160,'PACKING SLIP'!$F$5)</f>
        <v>30067</v>
      </c>
    </row>
    <row r="1161">
      <c r="A1161">
        <v>716488</v>
      </c>
      <c r="B1161" t="str">
        <v>E6267AB</v>
      </c>
      <c r="C1161">
        <v>93</v>
      </c>
      <c r="D1161" t="str">
        <v>TB</v>
      </c>
      <c r="E1161">
        <v>1186</v>
      </c>
      <c r="F1161">
        <v>25180</v>
      </c>
      <c r="G1161">
        <v>193470</v>
      </c>
      <c r="H1161" s="1">
        <v>46259</v>
      </c>
      <c r="I1161" t="str">
        <v>TRAVELERRECEIVED</v>
      </c>
      <c r="K1161" t="str">
        <f>IF(ISERROR(MATCH(WORKORDER[[#This Row],[TRAVELER]],Table1[TRAVELER],0)),K1161,"Shipped")</f>
        <v>Shipped</v>
      </c>
      <c r="L1161">
        <f>+IF(ISERROR(MATCH(WORKORDER[[#This Row],[TRAVELER]],Table1[TRAVELER],0)),L1161,'PACKING SLIP'!$F$5)</f>
        <v>30054</v>
      </c>
    </row>
    <row r="1162">
      <c r="A1162">
        <v>716489</v>
      </c>
      <c r="B1162" t="str">
        <v>E6267AB</v>
      </c>
      <c r="C1162">
        <v>603</v>
      </c>
      <c r="D1162" t="str">
        <v>TB</v>
      </c>
      <c r="E1162">
        <v>1121</v>
      </c>
      <c r="F1162">
        <v>23800</v>
      </c>
      <c r="G1162">
        <v>193470</v>
      </c>
      <c r="H1162" s="1">
        <v>46259</v>
      </c>
      <c r="I1162" t="str">
        <v>TRAVELERRECEIVED</v>
      </c>
      <c r="K1162" t="str">
        <f>IF(ISERROR(MATCH(WORKORDER[[#This Row],[TRAVELER]],Table1[TRAVELER],0)),K1162,"Shipped")</f>
        <v>Shipped</v>
      </c>
      <c r="L1162">
        <f>+IF(ISERROR(MATCH(WORKORDER[[#This Row],[TRAVELER]],Table1[TRAVELER],0)),L1162,'PACKING SLIP'!$F$5)</f>
        <v>30067</v>
      </c>
    </row>
    <row r="1163">
      <c r="A1163">
        <v>716639</v>
      </c>
      <c r="B1163" t="str">
        <v>11549171-MY-AK</v>
      </c>
      <c r="C1163">
        <v>939</v>
      </c>
      <c r="D1163" t="str">
        <v>TB</v>
      </c>
      <c r="E1163">
        <v>1144</v>
      </c>
      <c r="F1163">
        <v>9948</v>
      </c>
      <c r="G1163">
        <v>193470</v>
      </c>
      <c r="H1163" s="1">
        <v>46259</v>
      </c>
      <c r="I1163" t="str">
        <v>TRAVELERRECEIVED</v>
      </c>
      <c r="K1163" t="str">
        <v>Shipped</v>
      </c>
      <c r="L1163">
        <v>30044</v>
      </c>
    </row>
    <row r="1164">
      <c r="A1164">
        <v>716640</v>
      </c>
      <c r="B1164" t="str">
        <v>11549171-MY-AK</v>
      </c>
      <c r="C1164">
        <v>771</v>
      </c>
      <c r="D1164" t="str">
        <v>TB</v>
      </c>
      <c r="E1164">
        <v>1104</v>
      </c>
      <c r="F1164">
        <v>9600</v>
      </c>
      <c r="G1164">
        <v>193470</v>
      </c>
      <c r="H1164" s="1">
        <v>46259</v>
      </c>
      <c r="I1164" t="str">
        <v>TRAVELERRECEIVED</v>
      </c>
      <c r="K1164" t="str">
        <f>IF(ISERROR(MATCH(WORKORDER[[#This Row],[TRAVELER]],Table1[TRAVELER],0)),K1164,"Shipped")</f>
        <v>Shipped</v>
      </c>
      <c r="L1164">
        <f>+IF(ISERROR(MATCH(WORKORDER[[#This Row],[TRAVELER]],Table1[TRAVELER],0)),L1164,'PACKING SLIP'!$F$5)</f>
        <v>0</v>
      </c>
    </row>
    <row r="1165">
      <c r="A1165">
        <v>716641</v>
      </c>
      <c r="B1165" t="str">
        <v>11549171-MY-AK</v>
      </c>
      <c r="C1165">
        <v>1443</v>
      </c>
      <c r="D1165" t="str">
        <v>TB</v>
      </c>
      <c r="E1165">
        <v>1128</v>
      </c>
      <c r="F1165">
        <v>9809</v>
      </c>
      <c r="G1165">
        <v>193470</v>
      </c>
      <c r="H1165" s="1">
        <v>46259</v>
      </c>
      <c r="I1165" t="str">
        <v>TRAVELERRECEIVED</v>
      </c>
      <c r="K1165" t="str">
        <v>Shipped</v>
      </c>
      <c r="L1165">
        <v>30037</v>
      </c>
    </row>
    <row r="1166">
      <c r="A1166">
        <v>716642</v>
      </c>
      <c r="B1166" t="str">
        <v>11549171-MY-AK</v>
      </c>
      <c r="C1166">
        <v>1587</v>
      </c>
      <c r="D1166" t="str">
        <v>TB</v>
      </c>
      <c r="E1166">
        <v>1124</v>
      </c>
      <c r="F1166">
        <v>9774</v>
      </c>
      <c r="G1166">
        <v>193470</v>
      </c>
      <c r="H1166" s="1">
        <v>46259</v>
      </c>
      <c r="I1166" t="str">
        <v>TRAVELERRECEIVED</v>
      </c>
      <c r="K1166" t="str">
        <v>Shipped</v>
      </c>
      <c r="L1166">
        <v>30039</v>
      </c>
    </row>
    <row r="1167">
      <c r="A1167">
        <v>716645</v>
      </c>
      <c r="B1167" t="str">
        <v>11549171-MY-AK</v>
      </c>
      <c r="C1167">
        <v>1551</v>
      </c>
      <c r="D1167" t="str">
        <v>TB</v>
      </c>
      <c r="E1167">
        <v>1212</v>
      </c>
      <c r="F1167">
        <v>10539</v>
      </c>
      <c r="G1167">
        <v>193470</v>
      </c>
      <c r="H1167" s="1">
        <v>46259</v>
      </c>
      <c r="I1167" t="str">
        <v>TRAVELERRECEIVED</v>
      </c>
      <c r="K1167" t="str">
        <v>Shipped</v>
      </c>
      <c r="L1167">
        <v>30046</v>
      </c>
    </row>
    <row r="1168">
      <c r="A1168">
        <v>716646</v>
      </c>
      <c r="B1168" t="str">
        <v>11549171-MY-AK</v>
      </c>
      <c r="C1168">
        <v>1556</v>
      </c>
      <c r="D1168" t="str">
        <v>TB</v>
      </c>
      <c r="E1168">
        <v>1056</v>
      </c>
      <c r="F1168">
        <v>9183</v>
      </c>
      <c r="G1168">
        <v>193470</v>
      </c>
      <c r="H1168" s="1">
        <v>46259</v>
      </c>
      <c r="I1168" t="str">
        <v>TRAVELERRECEIVED</v>
      </c>
      <c r="K1168" t="str">
        <f>IF(ISERROR(MATCH(WORKORDER[[#This Row],[TRAVELER]],Table1[TRAVELER],0)),K1168,"Shipped")</f>
        <v>Shipped</v>
      </c>
      <c r="L1168">
        <f>+IF(ISERROR(MATCH(WORKORDER[[#This Row],[TRAVELER]],Table1[TRAVELER],0)),L1168,'PACKING SLIP'!$F$5)</f>
        <v>30049</v>
      </c>
    </row>
    <row r="1169">
      <c r="A1169">
        <v>716647</v>
      </c>
      <c r="B1169" t="str">
        <v>11549171-MY-AK</v>
      </c>
      <c r="C1169">
        <v>1695</v>
      </c>
      <c r="D1169" t="str">
        <v>TB</v>
      </c>
      <c r="E1169">
        <v>1128</v>
      </c>
      <c r="F1169">
        <v>9809</v>
      </c>
      <c r="G1169">
        <v>193470</v>
      </c>
      <c r="H1169" s="1">
        <v>46259</v>
      </c>
      <c r="I1169" t="str">
        <v>TRAVELERRECEIVED</v>
      </c>
      <c r="K1169" t="str">
        <v>Shipped</v>
      </c>
      <c r="L1169">
        <v>30040</v>
      </c>
    </row>
    <row r="1170">
      <c r="A1170">
        <v>716648</v>
      </c>
      <c r="B1170" t="str">
        <v>11549171-MY-AK</v>
      </c>
      <c r="C1170">
        <v>387</v>
      </c>
      <c r="D1170" t="str">
        <v>TB</v>
      </c>
      <c r="E1170">
        <v>1124</v>
      </c>
      <c r="F1170">
        <v>9774</v>
      </c>
      <c r="G1170">
        <v>193470</v>
      </c>
      <c r="H1170" s="1">
        <v>46259</v>
      </c>
      <c r="I1170" t="str">
        <v>TRAVELERRECEIVED</v>
      </c>
      <c r="K1170">
        <f>IF(ISERROR(MATCH(WORKORDER[[#This Row],[TRAVELER]],Table1[TRAVELER],0)),K1170,"Shipped")</f>
        <v>0</v>
      </c>
      <c r="L1170">
        <f>+IF(ISERROR(MATCH(WORKORDER[[#This Row],[TRAVELER]],Table1[TRAVELER],0)),L1170,'PACKING SLIP'!$F$5)</f>
        <v>0</v>
      </c>
    </row>
    <row r="1171">
      <c r="A1171">
        <v>717031</v>
      </c>
      <c r="B1171" t="str">
        <v>11546367-MY-AK</v>
      </c>
      <c r="C1171">
        <v>837</v>
      </c>
      <c r="D1171" t="str">
        <v>MC/BF</v>
      </c>
      <c r="E1171">
        <v>1148</v>
      </c>
      <c r="F1171">
        <v>24688</v>
      </c>
      <c r="G1171">
        <v>193470</v>
      </c>
      <c r="H1171" s="1">
        <v>46259</v>
      </c>
      <c r="I1171" t="str">
        <v>TRAVELERRECEIVED</v>
      </c>
      <c r="K1171" t="str">
        <f>IF(ISERROR(MATCH(WORKORDER[[#This Row],[TRAVELER]],Table1[TRAVELER],0)),K1171,"Shipped")</f>
        <v>Shipped</v>
      </c>
      <c r="L1171">
        <f>+IF(ISERROR(MATCH(WORKORDER[[#This Row],[TRAVELER]],Table1[TRAVELER],0)),L1171,'PACKING SLIP'!$F$5)</f>
        <v>30049</v>
      </c>
    </row>
    <row r="1172">
      <c r="A1172">
        <v>717032</v>
      </c>
      <c r="B1172" t="str">
        <v>11546367-MY-AK</v>
      </c>
      <c r="C1172">
        <v>1035</v>
      </c>
      <c r="D1172" t="str">
        <v>MC/BF</v>
      </c>
      <c r="E1172">
        <v>1138</v>
      </c>
      <c r="F1172">
        <v>24473</v>
      </c>
      <c r="G1172">
        <v>193470</v>
      </c>
      <c r="H1172" s="1">
        <v>46259</v>
      </c>
      <c r="I1172" t="str">
        <v>TRAVELERRECEIVED</v>
      </c>
      <c r="K1172" t="str">
        <v>Shipped</v>
      </c>
      <c r="L1172">
        <v>30040</v>
      </c>
    </row>
    <row r="1173">
      <c r="A1173">
        <v>717033</v>
      </c>
      <c r="B1173" t="str">
        <v>11546367-MY-AK</v>
      </c>
      <c r="C1173">
        <v>1774</v>
      </c>
      <c r="D1173" t="str">
        <v>MC/BF</v>
      </c>
      <c r="E1173">
        <v>1158</v>
      </c>
      <c r="F1173">
        <v>24903</v>
      </c>
      <c r="G1173">
        <v>193470</v>
      </c>
      <c r="H1173" s="1">
        <v>46259</v>
      </c>
      <c r="I1173" t="str">
        <v>TRAVELERRECEIVED</v>
      </c>
      <c r="K1173" t="str">
        <v>Shipped</v>
      </c>
      <c r="L1173">
        <v>30044</v>
      </c>
    </row>
    <row r="1174">
      <c r="A1174">
        <v>717034</v>
      </c>
      <c r="B1174" t="str">
        <v>11546367-MY-AK</v>
      </c>
      <c r="C1174">
        <v>897</v>
      </c>
      <c r="D1174" t="str">
        <v>MC/BF</v>
      </c>
      <c r="E1174">
        <v>1175</v>
      </c>
      <c r="F1174">
        <v>25269</v>
      </c>
      <c r="G1174">
        <v>193470</v>
      </c>
      <c r="H1174" s="1">
        <v>46259</v>
      </c>
      <c r="I1174" t="str">
        <v>TRAVELERRECEIVED</v>
      </c>
      <c r="K1174" t="str">
        <v>Shipped</v>
      </c>
      <c r="L1174">
        <v>30044</v>
      </c>
    </row>
    <row r="1175">
      <c r="A1175">
        <v>717035</v>
      </c>
      <c r="B1175" t="str">
        <v>11546367-MY-AK</v>
      </c>
      <c r="C1175">
        <v>458</v>
      </c>
      <c r="D1175" t="str">
        <v>MC/BF</v>
      </c>
      <c r="E1175">
        <v>1144</v>
      </c>
      <c r="F1175">
        <v>24602</v>
      </c>
      <c r="G1175">
        <v>193470</v>
      </c>
      <c r="H1175" s="1">
        <v>46259</v>
      </c>
      <c r="I1175" t="str">
        <v>TRAVELERRECEIVED</v>
      </c>
      <c r="K1175" t="str">
        <v>Shipped</v>
      </c>
      <c r="L1175">
        <v>30040</v>
      </c>
    </row>
    <row r="1176">
      <c r="A1176">
        <v>717036</v>
      </c>
      <c r="B1176" t="str">
        <v>11546367-MY-AK</v>
      </c>
      <c r="C1176">
        <v>224</v>
      </c>
      <c r="D1176" t="str">
        <v>MC/BF</v>
      </c>
      <c r="E1176">
        <v>1142</v>
      </c>
      <c r="F1176">
        <v>24559</v>
      </c>
      <c r="G1176">
        <v>193470</v>
      </c>
      <c r="H1176" s="1">
        <v>46259</v>
      </c>
      <c r="I1176" t="str">
        <v>TRAVELERRECEIVED</v>
      </c>
      <c r="K1176" t="str">
        <v>Shipped</v>
      </c>
      <c r="L1176">
        <v>30044</v>
      </c>
    </row>
    <row r="1177">
      <c r="A1177">
        <v>717037</v>
      </c>
      <c r="B1177" t="str">
        <v>11546367-MY-AK</v>
      </c>
      <c r="C1177">
        <v>1693</v>
      </c>
      <c r="D1177" t="str">
        <v>MC/BF</v>
      </c>
      <c r="E1177">
        <v>1158</v>
      </c>
      <c r="F1177">
        <v>24903</v>
      </c>
      <c r="G1177">
        <v>193470</v>
      </c>
      <c r="H1177" s="1">
        <v>46259</v>
      </c>
      <c r="I1177" t="str">
        <v>TRAVELERRECEIVED</v>
      </c>
      <c r="K1177" t="str">
        <f>IF(ISERROR(MATCH(WORKORDER[[#This Row],[TRAVELER]],Table1[TRAVELER],0)),K1177,"Shipped")</f>
        <v>Shipped</v>
      </c>
      <c r="L1177">
        <f>+IF(ISERROR(MATCH(WORKORDER[[#This Row],[TRAVELER]],Table1[TRAVELER],0)),L1177,'PACKING SLIP'!$F$5)</f>
        <v>30049</v>
      </c>
    </row>
    <row r="1178">
      <c r="A1178">
        <v>717038</v>
      </c>
      <c r="B1178" t="str">
        <v>11546367-MY-AK</v>
      </c>
      <c r="C1178">
        <v>15</v>
      </c>
      <c r="D1178" t="str">
        <v>MC/BF</v>
      </c>
      <c r="E1178">
        <v>1097</v>
      </c>
      <c r="F1178">
        <v>23591</v>
      </c>
      <c r="G1178">
        <v>193470</v>
      </c>
      <c r="H1178" s="1">
        <v>46259</v>
      </c>
      <c r="I1178" t="str">
        <v>TRAVELERRECEIVED</v>
      </c>
      <c r="K1178" t="str">
        <v>Shipped</v>
      </c>
      <c r="L1178">
        <v>30040</v>
      </c>
    </row>
    <row r="1179">
      <c r="A1179">
        <v>717039</v>
      </c>
      <c r="B1179" t="str">
        <v>11546367-MY-AK</v>
      </c>
      <c r="C1179">
        <v>1765</v>
      </c>
      <c r="D1179" t="str">
        <v>MC/BF</v>
      </c>
      <c r="E1179">
        <v>1107</v>
      </c>
      <c r="F1179">
        <v>23806</v>
      </c>
      <c r="G1179">
        <v>193470</v>
      </c>
      <c r="H1179" s="1">
        <v>46259</v>
      </c>
      <c r="I1179" t="str">
        <v>TRAVELERRECEIVED</v>
      </c>
      <c r="K1179" t="str">
        <v>Shipped</v>
      </c>
      <c r="L1179">
        <v>30040</v>
      </c>
    </row>
    <row r="1180">
      <c r="A1180">
        <v>717040</v>
      </c>
      <c r="B1180" t="str">
        <v>11546367-MY-AK</v>
      </c>
      <c r="C1180">
        <v>533</v>
      </c>
      <c r="D1180" t="str">
        <v>MC/BF</v>
      </c>
      <c r="E1180">
        <v>1211</v>
      </c>
      <c r="F1180">
        <v>26043</v>
      </c>
      <c r="G1180">
        <v>193470</v>
      </c>
      <c r="H1180" s="1">
        <v>46259</v>
      </c>
      <c r="I1180" t="str">
        <v>TRAVELERRECEIVED</v>
      </c>
      <c r="K1180" t="str">
        <v>Shipped</v>
      </c>
      <c r="L1180">
        <v>30046</v>
      </c>
    </row>
    <row r="1181">
      <c r="A1181">
        <v>717041</v>
      </c>
      <c r="B1181" t="str">
        <v>11546367-MY-AK</v>
      </c>
      <c r="C1181">
        <v>619</v>
      </c>
      <c r="D1181" t="str">
        <v>MC/BF</v>
      </c>
      <c r="E1181">
        <v>1125</v>
      </c>
      <c r="F1181">
        <v>24194</v>
      </c>
      <c r="G1181">
        <v>193470</v>
      </c>
      <c r="H1181" s="1">
        <v>46259</v>
      </c>
      <c r="I1181" t="str">
        <v>TRAVELERRECEIVED</v>
      </c>
      <c r="K1181" t="str">
        <v>Shipped</v>
      </c>
      <c r="L1181">
        <v>30037</v>
      </c>
    </row>
    <row r="1182">
      <c r="A1182">
        <v>717042</v>
      </c>
      <c r="B1182" t="str">
        <v>11546367-MY-AK</v>
      </c>
      <c r="C1182">
        <v>1680</v>
      </c>
      <c r="D1182" t="str">
        <v>MC/BF</v>
      </c>
      <c r="E1182">
        <v>1146</v>
      </c>
      <c r="F1182">
        <v>24645</v>
      </c>
      <c r="G1182">
        <v>193470</v>
      </c>
      <c r="H1182" s="1">
        <v>46259</v>
      </c>
      <c r="I1182" t="str">
        <v>TRAVELERRECEIVED</v>
      </c>
      <c r="K1182" t="str">
        <v>Shipped</v>
      </c>
      <c r="L1182">
        <v>30040</v>
      </c>
    </row>
    <row r="1183">
      <c r="A1183">
        <v>717043</v>
      </c>
      <c r="B1183" t="str">
        <v>11546367-MY-AK</v>
      </c>
      <c r="C1183">
        <v>1574</v>
      </c>
      <c r="D1183" t="str">
        <v>MC/BF</v>
      </c>
      <c r="E1183">
        <v>1195</v>
      </c>
      <c r="F1183">
        <v>25699</v>
      </c>
      <c r="G1183">
        <v>193470</v>
      </c>
      <c r="H1183" s="1">
        <v>46259</v>
      </c>
      <c r="I1183" t="str">
        <v>TRAVELERRECEIVED</v>
      </c>
      <c r="K1183" t="str">
        <v>Shipped</v>
      </c>
      <c r="L1183">
        <v>30044</v>
      </c>
    </row>
    <row r="1184">
      <c r="A1184">
        <v>717044</v>
      </c>
      <c r="B1184" t="str">
        <v>11546367-MY-AK</v>
      </c>
      <c r="C1184">
        <v>388</v>
      </c>
      <c r="D1184" t="str">
        <v>MC/BF</v>
      </c>
      <c r="E1184">
        <v>1107</v>
      </c>
      <c r="F1184">
        <v>23806</v>
      </c>
      <c r="G1184">
        <v>193470</v>
      </c>
      <c r="H1184" s="1">
        <v>46259</v>
      </c>
      <c r="I1184" t="str">
        <v>TRAVELERRECEIVED</v>
      </c>
      <c r="K1184" t="str">
        <v>Shipped</v>
      </c>
      <c r="L1184">
        <v>30040</v>
      </c>
    </row>
    <row r="1185">
      <c r="A1185">
        <v>714524</v>
      </c>
      <c r="B1185">
        <v>11561645</v>
      </c>
      <c r="C1185">
        <v>1073</v>
      </c>
      <c r="D1185" t="str">
        <v>MC/BF</v>
      </c>
      <c r="E1185">
        <v>959</v>
      </c>
      <c r="F1185">
        <v>124545</v>
      </c>
      <c r="G1185">
        <v>193480</v>
      </c>
      <c r="H1185" s="1">
        <v>46259</v>
      </c>
      <c r="I1185" t="str">
        <v>6-236-34-A</v>
      </c>
      <c r="K1185" t="str">
        <f>IF(ISERROR(MATCH(WORKORDER[[#This Row],[TRAVELER]],Table1[TRAVELER],0)),K1185,"Shipped")</f>
        <v>Shipped</v>
      </c>
      <c r="L1185">
        <f>+IF(ISERROR(MATCH(WORKORDER[[#This Row],[TRAVELER]],Table1[TRAVELER],0)),L1185,'PACKING SLIP'!$F$5)</f>
        <v>30057</v>
      </c>
    </row>
    <row r="1186">
      <c r="A1186">
        <v>714525</v>
      </c>
      <c r="B1186">
        <v>11561645</v>
      </c>
      <c r="C1186">
        <v>1630</v>
      </c>
      <c r="D1186" t="str">
        <v>MC/BF</v>
      </c>
      <c r="E1186">
        <v>935</v>
      </c>
      <c r="F1186">
        <v>121429</v>
      </c>
      <c r="G1186">
        <v>193480</v>
      </c>
      <c r="H1186" s="1">
        <v>46259</v>
      </c>
      <c r="I1186" t="str">
        <v>6-236-34-B</v>
      </c>
      <c r="K1186" t="str">
        <f>IF(ISERROR(MATCH(WORKORDER[[#This Row],[TRAVELER]],Table1[TRAVELER],0)),K1186,"Shipped")</f>
        <v>Shipped</v>
      </c>
      <c r="L1186">
        <f>+IF(ISERROR(MATCH(WORKORDER[[#This Row],[TRAVELER]],Table1[TRAVELER],0)),L1186,'PACKING SLIP'!$F$5)</f>
        <v>30065</v>
      </c>
    </row>
    <row r="1187">
      <c r="A1187">
        <v>715998</v>
      </c>
      <c r="B1187" t="str">
        <v>W520412-S442</v>
      </c>
      <c r="C1187">
        <v>1067</v>
      </c>
      <c r="D1187" t="str">
        <v>MC/BF</v>
      </c>
      <c r="E1187">
        <v>1025</v>
      </c>
      <c r="F1187">
        <v>131410</v>
      </c>
      <c r="G1187">
        <v>193480</v>
      </c>
      <c r="H1187" s="1">
        <v>46259</v>
      </c>
      <c r="I1187" t="str">
        <v>6-231-16-A</v>
      </c>
      <c r="K1187" t="str">
        <f>IF(ISERROR(MATCH(WORKORDER[[#This Row],[TRAVELER]],Table1[TRAVELER],0)),K1187,"Shipped")</f>
        <v>Shipped</v>
      </c>
      <c r="L1187">
        <f>+IF(ISERROR(MATCH(WORKORDER[[#This Row],[TRAVELER]],Table1[TRAVELER],0)),L1187,'PACKING SLIP'!$F$5)</f>
        <v>30054</v>
      </c>
    </row>
    <row r="1188">
      <c r="A1188">
        <v>715999</v>
      </c>
      <c r="B1188" t="str">
        <v>W520412-S442</v>
      </c>
      <c r="C1188">
        <v>480</v>
      </c>
      <c r="D1188" t="str">
        <v>MC/BF</v>
      </c>
      <c r="E1188">
        <v>855</v>
      </c>
      <c r="F1188">
        <v>109615</v>
      </c>
      <c r="G1188">
        <v>193480</v>
      </c>
      <c r="H1188" s="1">
        <v>46259</v>
      </c>
      <c r="I1188" t="str">
        <v>6-231-16-B</v>
      </c>
      <c r="K1188" t="str">
        <v>Shipped</v>
      </c>
      <c r="L1188">
        <v>30044</v>
      </c>
    </row>
    <row r="1189">
      <c r="A1189">
        <v>716024</v>
      </c>
      <c r="B1189">
        <v>40179994</v>
      </c>
      <c r="C1189">
        <v>1383</v>
      </c>
      <c r="D1189" t="str">
        <v>TB</v>
      </c>
      <c r="E1189">
        <v>1013</v>
      </c>
      <c r="F1189">
        <v>5662</v>
      </c>
      <c r="G1189">
        <v>193480</v>
      </c>
      <c r="H1189" s="1">
        <v>46259</v>
      </c>
      <c r="I1189" t="str">
        <v>6-231-17-A</v>
      </c>
      <c r="K1189" t="str">
        <v>Shipped</v>
      </c>
      <c r="L1189">
        <v>30039</v>
      </c>
    </row>
    <row r="1190">
      <c r="A1190">
        <v>716025</v>
      </c>
      <c r="B1190">
        <v>40179994</v>
      </c>
      <c r="C1190">
        <v>625</v>
      </c>
      <c r="D1190" t="str">
        <v>TB</v>
      </c>
      <c r="E1190">
        <v>701</v>
      </c>
      <c r="F1190">
        <v>3918</v>
      </c>
      <c r="G1190">
        <v>193480</v>
      </c>
      <c r="H1190" s="1">
        <v>46259</v>
      </c>
      <c r="I1190" t="str">
        <v>6-231-17-B</v>
      </c>
      <c r="K1190" t="str">
        <v>Shipped</v>
      </c>
      <c r="L1190">
        <v>30039</v>
      </c>
    </row>
    <row r="1191">
      <c r="A1191">
        <v>716234</v>
      </c>
      <c r="B1191" t="str">
        <v>W520101-S437</v>
      </c>
      <c r="C1191">
        <v>202</v>
      </c>
      <c r="D1191" t="str">
        <v>MC/BF</v>
      </c>
      <c r="E1191">
        <v>1010</v>
      </c>
      <c r="F1191">
        <v>114773</v>
      </c>
      <c r="G1191">
        <v>193480</v>
      </c>
      <c r="H1191" s="1">
        <v>46259</v>
      </c>
      <c r="I1191" t="str">
        <v>6-237-21-A</v>
      </c>
      <c r="K1191" t="str">
        <v>Shipped</v>
      </c>
      <c r="L1191">
        <v>30040</v>
      </c>
    </row>
    <row r="1192">
      <c r="A1192">
        <v>716235</v>
      </c>
      <c r="B1192" t="str">
        <v>W520101-S437</v>
      </c>
      <c r="C1192">
        <v>793</v>
      </c>
      <c r="D1192" t="str">
        <v>MC/BF</v>
      </c>
      <c r="E1192">
        <v>1126</v>
      </c>
      <c r="F1192">
        <v>127955</v>
      </c>
      <c r="G1192">
        <v>193480</v>
      </c>
      <c r="H1192" s="1">
        <v>46259</v>
      </c>
      <c r="I1192" t="str">
        <v>6-237-21-B</v>
      </c>
      <c r="K1192" t="str">
        <v>Shipped</v>
      </c>
      <c r="L1192">
        <v>30044</v>
      </c>
    </row>
    <row r="1193">
      <c r="A1193">
        <v>716236</v>
      </c>
      <c r="B1193" t="str">
        <v>W520101-S442</v>
      </c>
      <c r="C1193">
        <v>1537</v>
      </c>
      <c r="D1193" t="str">
        <v>MC/BF</v>
      </c>
      <c r="E1193">
        <v>1087</v>
      </c>
      <c r="F1193">
        <v>123523</v>
      </c>
      <c r="G1193">
        <v>193480</v>
      </c>
      <c r="H1193" s="1">
        <v>46259</v>
      </c>
      <c r="I1193" t="str">
        <v>6-237-15-A</v>
      </c>
      <c r="K1193" t="str">
        <v>Shipped</v>
      </c>
      <c r="L1193">
        <v>30044</v>
      </c>
    </row>
    <row r="1194">
      <c r="A1194">
        <v>716244</v>
      </c>
      <c r="B1194">
        <v>82253</v>
      </c>
      <c r="C1194">
        <v>940</v>
      </c>
      <c r="D1194" t="str">
        <v>TB</v>
      </c>
      <c r="E1194">
        <v>1045</v>
      </c>
      <c r="F1194">
        <v>43908</v>
      </c>
      <c r="G1194">
        <v>193480</v>
      </c>
      <c r="H1194" s="1">
        <v>46259</v>
      </c>
      <c r="I1194" t="str">
        <v>6-236-30-A</v>
      </c>
      <c r="K1194" t="str">
        <v>Shipped</v>
      </c>
      <c r="L1194">
        <v>30037</v>
      </c>
    </row>
    <row r="1195">
      <c r="A1195">
        <v>716245</v>
      </c>
      <c r="B1195">
        <v>82253</v>
      </c>
      <c r="C1195">
        <v>1087</v>
      </c>
      <c r="D1195" t="str">
        <v>TB</v>
      </c>
      <c r="E1195">
        <v>1007</v>
      </c>
      <c r="F1195">
        <v>42311</v>
      </c>
      <c r="G1195">
        <v>193480</v>
      </c>
      <c r="H1195" s="1">
        <v>46259</v>
      </c>
      <c r="I1195" t="str">
        <v>6-236-30-B</v>
      </c>
      <c r="K1195" t="str">
        <v>Shipped</v>
      </c>
      <c r="L1195">
        <v>30040</v>
      </c>
    </row>
    <row r="1196">
      <c r="A1196">
        <v>716433</v>
      </c>
      <c r="B1196">
        <v>11561114</v>
      </c>
      <c r="C1196">
        <v>1103</v>
      </c>
      <c r="D1196" t="str">
        <v>TB</v>
      </c>
      <c r="E1196">
        <v>874</v>
      </c>
      <c r="F1196">
        <v>10568</v>
      </c>
      <c r="G1196">
        <v>193480</v>
      </c>
      <c r="H1196" s="1">
        <v>46259</v>
      </c>
      <c r="I1196" t="str">
        <v>6-236-36-A</v>
      </c>
      <c r="K1196" t="str">
        <v>Shipped</v>
      </c>
      <c r="L1196">
        <v>30031</v>
      </c>
    </row>
    <row r="1197">
      <c r="A1197">
        <v>716434</v>
      </c>
      <c r="B1197">
        <v>11561114</v>
      </c>
      <c r="C1197">
        <v>238</v>
      </c>
      <c r="D1197" t="str">
        <v>TB</v>
      </c>
      <c r="E1197">
        <v>790</v>
      </c>
      <c r="F1197">
        <v>9553</v>
      </c>
      <c r="G1197">
        <v>193480</v>
      </c>
      <c r="H1197" s="1">
        <v>46259</v>
      </c>
      <c r="I1197" t="str">
        <v>6-236-36-B</v>
      </c>
      <c r="K1197" t="str">
        <v>Shipped</v>
      </c>
      <c r="L1197">
        <v>30031</v>
      </c>
    </row>
    <row r="1198">
      <c r="A1198">
        <v>716438</v>
      </c>
      <c r="B1198" t="str">
        <v>22800396-IN-PN</v>
      </c>
      <c r="C1198">
        <v>1611</v>
      </c>
      <c r="D1198" t="str">
        <v>TB</v>
      </c>
      <c r="E1198">
        <v>661</v>
      </c>
      <c r="F1198">
        <v>29641</v>
      </c>
      <c r="G1198">
        <v>193480</v>
      </c>
      <c r="H1198" s="1">
        <v>46259</v>
      </c>
      <c r="I1198" t="str">
        <v>6-236-43-A</v>
      </c>
      <c r="K1198" t="str">
        <v>Shipped</v>
      </c>
      <c r="L1198">
        <v>30037</v>
      </c>
    </row>
    <row r="1199">
      <c r="A1199">
        <v>716443</v>
      </c>
      <c r="B1199" t="str">
        <v>W719080-S450</v>
      </c>
      <c r="C1199">
        <v>941</v>
      </c>
      <c r="D1199" t="str">
        <v>MC/BF</v>
      </c>
      <c r="E1199">
        <v>907</v>
      </c>
      <c r="F1199">
        <v>37792</v>
      </c>
      <c r="G1199">
        <v>193480</v>
      </c>
      <c r="H1199" s="1">
        <v>46259</v>
      </c>
      <c r="I1199" t="str">
        <v>6-236-41-A</v>
      </c>
      <c r="K1199" t="str">
        <v>Shipped</v>
      </c>
      <c r="L1199">
        <v>30039</v>
      </c>
    </row>
    <row r="1200">
      <c r="A1200">
        <v>716743</v>
      </c>
      <c r="B1200">
        <v>82253</v>
      </c>
      <c r="C1200">
        <v>1526</v>
      </c>
      <c r="D1200" t="str">
        <v>TB</v>
      </c>
      <c r="E1200">
        <v>1017</v>
      </c>
      <c r="F1200">
        <v>42731</v>
      </c>
      <c r="G1200">
        <v>193480</v>
      </c>
      <c r="H1200" s="1">
        <v>46259</v>
      </c>
      <c r="I1200" t="str">
        <v>6-236-30-C</v>
      </c>
      <c r="K1200" t="str">
        <v>Shipped</v>
      </c>
      <c r="L1200">
        <v>30039</v>
      </c>
    </row>
    <row r="1201">
      <c r="A1201">
        <v>716744</v>
      </c>
      <c r="B1201">
        <v>82253</v>
      </c>
      <c r="C1201">
        <v>186</v>
      </c>
      <c r="D1201" t="str">
        <v>TB</v>
      </c>
      <c r="E1201">
        <v>1014</v>
      </c>
      <c r="F1201">
        <v>42605</v>
      </c>
      <c r="G1201">
        <v>193480</v>
      </c>
      <c r="H1201" s="1">
        <v>46259</v>
      </c>
      <c r="I1201" t="str">
        <v>6-236-30-D</v>
      </c>
      <c r="K1201" t="str">
        <v>Shipped</v>
      </c>
      <c r="L1201">
        <v>30039</v>
      </c>
    </row>
    <row r="1202">
      <c r="A1202">
        <v>716898</v>
      </c>
      <c r="B1202" t="str">
        <v>06511637AA</v>
      </c>
      <c r="C1202">
        <v>1584</v>
      </c>
      <c r="D1202" t="str">
        <v>MC/BF</v>
      </c>
      <c r="E1202">
        <v>1049</v>
      </c>
      <c r="F1202">
        <v>42298</v>
      </c>
      <c r="G1202">
        <v>193480</v>
      </c>
      <c r="H1202" s="1">
        <v>46259</v>
      </c>
      <c r="I1202" t="str">
        <v>6-236-32-A</v>
      </c>
      <c r="K1202" t="str">
        <v>Shipped</v>
      </c>
      <c r="L1202">
        <v>30040</v>
      </c>
    </row>
    <row r="1203">
      <c r="A1203">
        <v>716899</v>
      </c>
      <c r="B1203" t="str">
        <v>06511637AA</v>
      </c>
      <c r="C1203">
        <v>873</v>
      </c>
      <c r="D1203" t="str">
        <v>MC/BF</v>
      </c>
      <c r="E1203">
        <v>1012</v>
      </c>
      <c r="F1203">
        <v>40806</v>
      </c>
      <c r="G1203">
        <v>193480</v>
      </c>
      <c r="H1203" s="1">
        <v>46259</v>
      </c>
      <c r="I1203" t="str">
        <v>6-236-32-B</v>
      </c>
      <c r="K1203" t="str">
        <v>Shipped</v>
      </c>
      <c r="L1203">
        <v>30039</v>
      </c>
    </row>
    <row r="1204">
      <c r="A1204">
        <v>716900</v>
      </c>
      <c r="B1204" t="str">
        <v>W716298-S450-A</v>
      </c>
      <c r="C1204">
        <v>896</v>
      </c>
      <c r="D1204" t="str">
        <v>MC/BF</v>
      </c>
      <c r="E1204">
        <v>1030</v>
      </c>
      <c r="F1204">
        <v>135526</v>
      </c>
      <c r="G1204">
        <v>193480</v>
      </c>
      <c r="H1204" s="1">
        <v>46259</v>
      </c>
      <c r="I1204" t="str">
        <v>6-236-42-A</v>
      </c>
      <c r="K1204" t="str">
        <v>Shipped</v>
      </c>
      <c r="L1204">
        <v>30046</v>
      </c>
    </row>
    <row r="1205">
      <c r="A1205">
        <v>716901</v>
      </c>
      <c r="B1205" t="str">
        <v>W716298-S450-A</v>
      </c>
      <c r="C1205">
        <v>1777</v>
      </c>
      <c r="D1205" t="str">
        <v>MC/BF</v>
      </c>
      <c r="E1205">
        <v>985</v>
      </c>
      <c r="F1205">
        <v>129605</v>
      </c>
      <c r="G1205">
        <v>193480</v>
      </c>
      <c r="H1205" s="1">
        <v>46259</v>
      </c>
      <c r="I1205" t="str">
        <v>6-236-42-B</v>
      </c>
      <c r="K1205" t="str">
        <f>IF(ISERROR(MATCH(WORKORDER[[#This Row],[TRAVELER]],Table1[TRAVELER],0)),K1205,"Shipped")</f>
        <v>Shipped</v>
      </c>
      <c r="L1205">
        <f>+IF(ISERROR(MATCH(WORKORDER[[#This Row],[TRAVELER]],Table1[TRAVELER],0)),L1205,'PACKING SLIP'!$F$5)</f>
        <v>30054</v>
      </c>
    </row>
    <row r="1206">
      <c r="A1206">
        <v>716905</v>
      </c>
      <c r="B1206">
        <v>7151143403</v>
      </c>
      <c r="C1206">
        <v>1305</v>
      </c>
      <c r="D1206" t="str">
        <v>BF113</v>
      </c>
      <c r="E1206">
        <v>990</v>
      </c>
      <c r="F1206">
        <v>58580</v>
      </c>
      <c r="G1206">
        <v>193480</v>
      </c>
      <c r="H1206" s="1">
        <v>46259</v>
      </c>
      <c r="I1206" t="str">
        <v>6-237-22-A</v>
      </c>
      <c r="K1206" t="str">
        <v>Shipped</v>
      </c>
      <c r="L1206">
        <v>30039</v>
      </c>
    </row>
    <row r="1207">
      <c r="A1207">
        <v>716906</v>
      </c>
      <c r="B1207">
        <v>11561645</v>
      </c>
      <c r="C1207">
        <v>1674</v>
      </c>
      <c r="D1207" t="str">
        <v>MC/BF</v>
      </c>
      <c r="E1207">
        <v>997</v>
      </c>
      <c r="F1207">
        <v>129481</v>
      </c>
      <c r="G1207">
        <v>193480</v>
      </c>
      <c r="H1207" s="1">
        <v>46259</v>
      </c>
      <c r="I1207" t="str">
        <v>6-236-33-A</v>
      </c>
      <c r="K1207" t="str">
        <f>IF(ISERROR(MATCH(WORKORDER[[#This Row],[TRAVELER]],Table1[TRAVELER],0)),K1207,"Shipped")</f>
        <v>Shipped</v>
      </c>
      <c r="L1207">
        <f>+IF(ISERROR(MATCH(WORKORDER[[#This Row],[TRAVELER]],Table1[TRAVELER],0)),L1207,'PACKING SLIP'!$F$5)</f>
        <v>30049</v>
      </c>
    </row>
    <row r="1208">
      <c r="A1208">
        <v>716907</v>
      </c>
      <c r="B1208">
        <v>11561645</v>
      </c>
      <c r="C1208">
        <v>455</v>
      </c>
      <c r="D1208" t="str">
        <v>MC/BF</v>
      </c>
      <c r="E1208">
        <v>832</v>
      </c>
      <c r="F1208">
        <v>108052</v>
      </c>
      <c r="G1208">
        <v>193480</v>
      </c>
      <c r="H1208" s="1">
        <v>46259</v>
      </c>
      <c r="I1208" t="str">
        <v>6-236-33-B</v>
      </c>
      <c r="K1208" t="str">
        <v>Shipped</v>
      </c>
      <c r="L1208">
        <v>30044</v>
      </c>
    </row>
    <row r="1209">
      <c r="A1209">
        <v>716954</v>
      </c>
      <c r="B1209" t="str">
        <v>22800396-IN-PN</v>
      </c>
      <c r="C1209">
        <v>274</v>
      </c>
      <c r="D1209" t="str">
        <v>TB</v>
      </c>
      <c r="E1209">
        <v>686</v>
      </c>
      <c r="F1209">
        <v>30762</v>
      </c>
      <c r="G1209">
        <v>193480</v>
      </c>
      <c r="H1209" s="1">
        <v>46259</v>
      </c>
      <c r="I1209" t="str">
        <v>6-236-43-B</v>
      </c>
      <c r="K1209" t="str">
        <v>Shipped</v>
      </c>
      <c r="L1209">
        <v>30037</v>
      </c>
    </row>
    <row r="1210">
      <c r="A1210">
        <v>717045</v>
      </c>
      <c r="B1210">
        <v>11610128</v>
      </c>
      <c r="C1210">
        <v>1358</v>
      </c>
      <c r="D1210" t="str">
        <v>MC/BF</v>
      </c>
      <c r="E1210">
        <v>828</v>
      </c>
      <c r="F1210">
        <v>29571</v>
      </c>
      <c r="G1210">
        <v>193480</v>
      </c>
      <c r="H1210" s="1">
        <v>46259</v>
      </c>
      <c r="I1210" t="str">
        <v>6-236-38-A</v>
      </c>
      <c r="K1210" t="str">
        <v>Shipped</v>
      </c>
      <c r="L1210">
        <v>30040</v>
      </c>
    </row>
    <row r="1211">
      <c r="A1211">
        <v>717046</v>
      </c>
      <c r="B1211">
        <v>11610128</v>
      </c>
      <c r="C1211">
        <v>1802</v>
      </c>
      <c r="D1211" t="str">
        <v>MC/BF</v>
      </c>
      <c r="E1211">
        <v>943</v>
      </c>
      <c r="F1211">
        <v>33679</v>
      </c>
      <c r="G1211">
        <v>193480</v>
      </c>
      <c r="H1211" s="1">
        <v>46259</v>
      </c>
      <c r="I1211" t="str">
        <v>6-236-38-B</v>
      </c>
      <c r="K1211" t="str">
        <v>Shipped</v>
      </c>
      <c r="L1211">
        <v>30040</v>
      </c>
    </row>
    <row r="1212">
      <c r="A1212">
        <v>717262</v>
      </c>
      <c r="B1212" t="str">
        <v>06100050-A</v>
      </c>
      <c r="C1212">
        <v>1793</v>
      </c>
      <c r="D1212" t="str">
        <v>MC/BF</v>
      </c>
      <c r="E1212">
        <v>1059</v>
      </c>
      <c r="F1212">
        <v>56330</v>
      </c>
      <c r="G1212">
        <v>193480</v>
      </c>
      <c r="H1212" s="1">
        <v>46259</v>
      </c>
      <c r="I1212" t="str">
        <v>6-236-40-A</v>
      </c>
      <c r="K1212" t="str">
        <f>IF(ISERROR(MATCH(WORKORDER[[#This Row],[TRAVELER]],Table1[TRAVELER],0)),K1212,"Shipped")</f>
        <v>Shipped</v>
      </c>
      <c r="L1212">
        <f>+IF(ISERROR(MATCH(WORKORDER[[#This Row],[TRAVELER]],Table1[TRAVELER],0)),L1212,'PACKING SLIP'!$F$5)</f>
        <v>30049</v>
      </c>
    </row>
    <row r="1213">
      <c r="A1213">
        <v>717268</v>
      </c>
      <c r="B1213" t="str">
        <v>06100050-A</v>
      </c>
      <c r="C1213">
        <v>1812</v>
      </c>
      <c r="D1213" t="str">
        <v>MC/BF</v>
      </c>
      <c r="E1213">
        <v>1167</v>
      </c>
      <c r="F1213">
        <v>62074</v>
      </c>
      <c r="G1213">
        <v>193480</v>
      </c>
      <c r="H1213" s="1">
        <v>46259</v>
      </c>
      <c r="I1213" t="str">
        <v>6-236-39-A</v>
      </c>
      <c r="K1213" t="str">
        <v>Shipped</v>
      </c>
      <c r="L1213">
        <v>30039</v>
      </c>
    </row>
    <row r="1214">
      <c r="A1214">
        <v>717379</v>
      </c>
      <c r="B1214" t="str">
        <v>11612078-B</v>
      </c>
      <c r="C1214">
        <v>1395</v>
      </c>
      <c r="D1214" t="str">
        <v>MC/BF</v>
      </c>
      <c r="E1214">
        <v>1144</v>
      </c>
      <c r="F1214">
        <v>65000</v>
      </c>
      <c r="G1214">
        <v>193480</v>
      </c>
      <c r="H1214" s="1">
        <v>46259</v>
      </c>
      <c r="K1214" t="str">
        <f>IF(ISERROR(MATCH(WORKORDER[[#This Row],[TRAVELER]],Table1[TRAVELER],0)),K1214,"Shipped")</f>
        <v>Shipped</v>
      </c>
      <c r="L1214">
        <f>+IF(ISERROR(MATCH(WORKORDER[[#This Row],[TRAVELER]],Table1[TRAVELER],0)),L1214,'PACKING SLIP'!$F$5)</f>
        <v>30074</v>
      </c>
    </row>
    <row r="1215">
      <c r="A1215">
        <v>717856</v>
      </c>
      <c r="B1215">
        <v>500009196</v>
      </c>
      <c r="C1215">
        <v>1421</v>
      </c>
      <c r="D1215" t="str">
        <v>MC/BF</v>
      </c>
      <c r="E1215">
        <v>1127</v>
      </c>
      <c r="F1215">
        <v>42052</v>
      </c>
      <c r="G1215">
        <v>193480</v>
      </c>
      <c r="H1215" s="1">
        <v>46259</v>
      </c>
      <c r="I1215" t="str">
        <v>6-237-14-A</v>
      </c>
      <c r="K1215" t="str">
        <v>Shipped</v>
      </c>
      <c r="L1215">
        <v>30032</v>
      </c>
    </row>
    <row r="1216">
      <c r="A1216">
        <v>717857</v>
      </c>
      <c r="B1216">
        <v>500009196</v>
      </c>
      <c r="C1216">
        <v>798</v>
      </c>
      <c r="D1216" t="str">
        <v>MC/BF</v>
      </c>
      <c r="E1216">
        <v>1160</v>
      </c>
      <c r="F1216">
        <v>43284</v>
      </c>
      <c r="G1216">
        <v>193480</v>
      </c>
      <c r="H1216" s="1">
        <v>46259</v>
      </c>
      <c r="I1216" t="str">
        <v>6-237-14-B</v>
      </c>
      <c r="K1216" t="str">
        <v>Shipped</v>
      </c>
      <c r="L1216">
        <v>30032</v>
      </c>
    </row>
    <row r="1217">
      <c r="A1217">
        <v>716621</v>
      </c>
      <c r="B1217" t="str">
        <v>06512106AA</v>
      </c>
      <c r="C1217">
        <v>1592</v>
      </c>
      <c r="D1217" t="str">
        <v>TB</v>
      </c>
      <c r="E1217">
        <v>1118</v>
      </c>
      <c r="F1217">
        <v>8343</v>
      </c>
      <c r="G1217">
        <v>193497</v>
      </c>
      <c r="H1217" s="1">
        <v>46260</v>
      </c>
      <c r="I1217" t="str">
        <v>TRAVELERRECEIVED</v>
      </c>
      <c r="K1217" t="str">
        <f>IF(ISERROR(MATCH(WORKORDER[[#This Row],[TRAVELER]],Table1[TRAVELER],0)),K1217,"Shipped")</f>
        <v>Shipped</v>
      </c>
      <c r="L1217">
        <f>+IF(ISERROR(MATCH(WORKORDER[[#This Row],[TRAVELER]],Table1[TRAVELER],0)),L1217,'PACKING SLIP'!$F$5)</f>
        <v>30080</v>
      </c>
    </row>
    <row r="1218">
      <c r="A1218">
        <v>716622</v>
      </c>
      <c r="B1218" t="str">
        <v>06512106AA</v>
      </c>
      <c r="C1218">
        <v>490</v>
      </c>
      <c r="D1218" t="str">
        <v>TB</v>
      </c>
      <c r="E1218">
        <v>765</v>
      </c>
      <c r="F1218">
        <v>5709</v>
      </c>
      <c r="G1218">
        <v>193497</v>
      </c>
      <c r="H1218" s="1">
        <v>46260</v>
      </c>
      <c r="I1218" t="str">
        <v>TRAVELERRECEIVED</v>
      </c>
      <c r="K1218" t="str">
        <f>IF(ISERROR(MATCH(WORKORDER[[#This Row],[TRAVELER]],Table1[TRAVELER],0)),K1218,"Shipped")</f>
        <v>Shipped</v>
      </c>
      <c r="L1218">
        <f>+IF(ISERROR(MATCH(WORKORDER[[#This Row],[TRAVELER]],Table1[TRAVELER],0)),L1218,'PACKING SLIP'!$F$5)</f>
        <v>30069</v>
      </c>
    </row>
    <row r="1219">
      <c r="A1219">
        <v>716864</v>
      </c>
      <c r="B1219">
        <v>40073474</v>
      </c>
      <c r="C1219">
        <v>1000</v>
      </c>
      <c r="D1219" t="str">
        <v>TB</v>
      </c>
      <c r="E1219">
        <v>767</v>
      </c>
      <c r="F1219">
        <v>5148</v>
      </c>
      <c r="G1219">
        <v>193497</v>
      </c>
      <c r="H1219" s="1">
        <v>46260</v>
      </c>
      <c r="I1219" t="str">
        <v>TRAVELERRECEIVED</v>
      </c>
      <c r="K1219">
        <f>IF(ISERROR(MATCH(WORKORDER[[#This Row],[TRAVELER]],Table1[TRAVELER],0)),K1219,"Shipped")</f>
        <v>0</v>
      </c>
      <c r="L1219">
        <f>+IF(ISERROR(MATCH(WORKORDER[[#This Row],[TRAVELER]],Table1[TRAVELER],0)),L1219,'PACKING SLIP'!$F$5)</f>
        <v>0</v>
      </c>
    </row>
    <row r="1220">
      <c r="A1220">
        <v>716865</v>
      </c>
      <c r="B1220">
        <v>40073474</v>
      </c>
      <c r="C1220">
        <v>626</v>
      </c>
      <c r="D1220" t="str">
        <v>TB</v>
      </c>
      <c r="E1220">
        <v>698</v>
      </c>
      <c r="F1220">
        <v>4685</v>
      </c>
      <c r="G1220">
        <v>193497</v>
      </c>
      <c r="H1220" s="1">
        <v>46260</v>
      </c>
      <c r="I1220" t="str">
        <v>TRAVELERRECEIVED</v>
      </c>
      <c r="K1220">
        <f>IF(ISERROR(MATCH(WORKORDER[[#This Row],[TRAVELER]],Table1[TRAVELER],0)),K1220,"Shipped")</f>
        <v>0</v>
      </c>
      <c r="L1220">
        <f>+IF(ISERROR(MATCH(WORKORDER[[#This Row],[TRAVELER]],Table1[TRAVELER],0)),L1220,'PACKING SLIP'!$F$5)</f>
        <v>0</v>
      </c>
    </row>
    <row r="1221">
      <c r="A1221">
        <v>717411</v>
      </c>
      <c r="B1221" t="str">
        <v>06511834AA</v>
      </c>
      <c r="C1221">
        <v>840</v>
      </c>
      <c r="D1221" t="str">
        <v>TB</v>
      </c>
      <c r="E1221">
        <v>447</v>
      </c>
      <c r="F1221">
        <v>3070</v>
      </c>
      <c r="G1221">
        <v>193497</v>
      </c>
      <c r="H1221" s="1">
        <v>46260</v>
      </c>
      <c r="I1221" t="str">
        <v>TRAVELERRECEIVED</v>
      </c>
      <c r="K1221" t="str">
        <f>IF(ISERROR(MATCH(WORKORDER[[#This Row],[TRAVELER]],Table1[TRAVELER],0)),K1221,"Shipped")</f>
        <v>Shipped</v>
      </c>
      <c r="L1221">
        <f>+IF(ISERROR(MATCH(WORKORDER[[#This Row],[TRAVELER]],Table1[TRAVELER],0)),L1221,'PACKING SLIP'!$F$5)</f>
        <v>30069</v>
      </c>
    </row>
    <row r="1222">
      <c r="A1222">
        <v>717412</v>
      </c>
      <c r="B1222" t="str">
        <v>06511834AA</v>
      </c>
      <c r="C1222">
        <v>617</v>
      </c>
      <c r="D1222" t="str">
        <v>TB</v>
      </c>
      <c r="E1222">
        <v>377</v>
      </c>
      <c r="F1222">
        <v>2589</v>
      </c>
      <c r="G1222">
        <v>193497</v>
      </c>
      <c r="H1222" s="1">
        <v>46260</v>
      </c>
      <c r="I1222" t="str">
        <v>TRAVELERRECEIVED</v>
      </c>
      <c r="K1222" t="str">
        <f>IF(ISERROR(MATCH(WORKORDER[[#This Row],[TRAVELER]],Table1[TRAVELER],0)),K1222,"Shipped")</f>
        <v>Shipped</v>
      </c>
      <c r="L1222">
        <f>+IF(ISERROR(MATCH(WORKORDER[[#This Row],[TRAVELER]],Table1[TRAVELER],0)),L1222,'PACKING SLIP'!$F$5)</f>
        <v>30069</v>
      </c>
    </row>
    <row r="1223">
      <c r="A1223">
        <v>717413</v>
      </c>
      <c r="B1223" t="str">
        <v>06511834AA</v>
      </c>
      <c r="C1223">
        <v>545</v>
      </c>
      <c r="D1223" t="str">
        <v>TB</v>
      </c>
      <c r="E1223">
        <v>390</v>
      </c>
      <c r="F1223">
        <v>2679</v>
      </c>
      <c r="G1223">
        <v>193497</v>
      </c>
      <c r="H1223" s="1">
        <v>46260</v>
      </c>
      <c r="I1223" t="str">
        <v>TRAVELERRECEIVED</v>
      </c>
      <c r="K1223" t="str">
        <f>IF(ISERROR(MATCH(WORKORDER[[#This Row],[TRAVELER]],Table1[TRAVELER],0)),K1223,"Shipped")</f>
        <v>Shipped</v>
      </c>
      <c r="L1223">
        <f>+IF(ISERROR(MATCH(WORKORDER[[#This Row],[TRAVELER]],Table1[TRAVELER],0)),L1223,'PACKING SLIP'!$F$5)</f>
        <v>30092</v>
      </c>
    </row>
    <row r="1224">
      <c r="A1224">
        <v>717414</v>
      </c>
      <c r="B1224" t="str">
        <v>06511834AA</v>
      </c>
      <c r="C1224">
        <v>1585</v>
      </c>
      <c r="D1224" t="str">
        <v>TB</v>
      </c>
      <c r="E1224">
        <v>436</v>
      </c>
      <c r="F1224">
        <v>2995</v>
      </c>
      <c r="G1224">
        <v>193497</v>
      </c>
      <c r="H1224" s="1">
        <v>46260</v>
      </c>
      <c r="I1224" t="str">
        <v>TRAVELERRECEIVED</v>
      </c>
      <c r="K1224" t="str">
        <v>Shipped</v>
      </c>
      <c r="L1224">
        <v>30042</v>
      </c>
    </row>
    <row r="1225">
      <c r="A1225">
        <v>717415</v>
      </c>
      <c r="B1225">
        <v>40109770</v>
      </c>
      <c r="C1225">
        <v>125</v>
      </c>
      <c r="D1225" t="str">
        <v>TB</v>
      </c>
      <c r="E1225">
        <v>1196</v>
      </c>
      <c r="F1225">
        <v>8892</v>
      </c>
      <c r="G1225">
        <v>193497</v>
      </c>
      <c r="H1225" s="1">
        <v>46260</v>
      </c>
      <c r="I1225" t="str">
        <v>TRAVELERRECEIVED</v>
      </c>
      <c r="K1225" t="str">
        <f>IF(ISERROR(MATCH(WORKORDER[[#This Row],[TRAVELER]],Table1[TRAVELER],0)),K1225,"Shipped")</f>
        <v>Shipped</v>
      </c>
      <c r="L1225">
        <f>+IF(ISERROR(MATCH(WORKORDER[[#This Row],[TRAVELER]],Table1[TRAVELER],0)),L1225,'PACKING SLIP'!$F$5)</f>
        <v>30069</v>
      </c>
    </row>
    <row r="1226">
      <c r="A1226">
        <v>717416</v>
      </c>
      <c r="B1226">
        <v>40109770</v>
      </c>
      <c r="C1226">
        <v>350</v>
      </c>
      <c r="D1226" t="str">
        <v>TB</v>
      </c>
      <c r="E1226">
        <v>1050</v>
      </c>
      <c r="F1226">
        <v>7807</v>
      </c>
      <c r="G1226">
        <v>193497</v>
      </c>
      <c r="H1226" s="1">
        <v>46260</v>
      </c>
      <c r="I1226" t="str">
        <v>TRAVELERRECEIVED</v>
      </c>
      <c r="K1226" t="str">
        <f>IF(ISERROR(MATCH(WORKORDER[[#This Row],[TRAVELER]],Table1[TRAVELER],0)),K1226,"Shipped")</f>
        <v>Shipped</v>
      </c>
      <c r="L1226">
        <f>+IF(ISERROR(MATCH(WORKORDER[[#This Row],[TRAVELER]],Table1[TRAVELER],0)),L1226,'PACKING SLIP'!$F$5)</f>
        <v>30069</v>
      </c>
    </row>
    <row r="1227">
      <c r="A1227">
        <v>717417</v>
      </c>
      <c r="B1227">
        <v>40109770</v>
      </c>
      <c r="C1227">
        <v>770</v>
      </c>
      <c r="D1227" t="str">
        <v>TB</v>
      </c>
      <c r="E1227">
        <v>1184</v>
      </c>
      <c r="F1227">
        <v>8803</v>
      </c>
      <c r="G1227">
        <v>193497</v>
      </c>
      <c r="H1227" s="1">
        <v>46260</v>
      </c>
      <c r="I1227" t="str">
        <v>TRAVELERRECEIVED</v>
      </c>
      <c r="K1227" t="str">
        <f>IF(ISERROR(MATCH(WORKORDER[[#This Row],[TRAVELER]],Table1[TRAVELER],0)),K1227,"Shipped")</f>
        <v>Shipped</v>
      </c>
      <c r="L1227">
        <f>+IF(ISERROR(MATCH(WORKORDER[[#This Row],[TRAVELER]],Table1[TRAVELER],0)),L1227,'PACKING SLIP'!$F$5)</f>
        <v>30069</v>
      </c>
    </row>
    <row r="1228">
      <c r="A1228">
        <v>717418</v>
      </c>
      <c r="B1228">
        <v>40109770</v>
      </c>
      <c r="C1228">
        <v>1702</v>
      </c>
      <c r="D1228" t="str">
        <v>TB</v>
      </c>
      <c r="E1228">
        <v>1082</v>
      </c>
      <c r="F1228">
        <v>8045</v>
      </c>
      <c r="G1228">
        <v>193497</v>
      </c>
      <c r="H1228" s="1">
        <v>46260</v>
      </c>
      <c r="I1228" t="str">
        <v>TRAVELERRECEIVED</v>
      </c>
      <c r="K1228" t="str">
        <f>IF(ISERROR(MATCH(WORKORDER[[#This Row],[TRAVELER]],Table1[TRAVELER],0)),K1228,"Shipped")</f>
        <v>Shipped</v>
      </c>
      <c r="L1228">
        <f>+IF(ISERROR(MATCH(WORKORDER[[#This Row],[TRAVELER]],Table1[TRAVELER],0)),L1228,'PACKING SLIP'!$F$5)</f>
        <v>30069</v>
      </c>
    </row>
    <row r="1229">
      <c r="A1229">
        <v>717425</v>
      </c>
      <c r="B1229" t="str">
        <v>06514113AA</v>
      </c>
      <c r="C1229">
        <v>928</v>
      </c>
      <c r="D1229" t="str">
        <v>TB</v>
      </c>
      <c r="E1229">
        <v>726</v>
      </c>
      <c r="F1229">
        <v>51489</v>
      </c>
      <c r="G1229">
        <v>193497</v>
      </c>
      <c r="H1229" s="1">
        <v>46260</v>
      </c>
      <c r="I1229" t="str">
        <v>TRAVELERRECEIVED</v>
      </c>
      <c r="K1229" t="str">
        <v>Shipped</v>
      </c>
      <c r="L1229">
        <v>30044</v>
      </c>
    </row>
    <row r="1230">
      <c r="A1230">
        <v>717629</v>
      </c>
      <c r="B1230" t="str">
        <v>11546377-PH-RO</v>
      </c>
      <c r="C1230">
        <v>73</v>
      </c>
      <c r="D1230" t="str">
        <v>BF/MC</v>
      </c>
      <c r="E1230">
        <v>1070</v>
      </c>
      <c r="F1230">
        <v>69481</v>
      </c>
      <c r="G1230">
        <v>193497</v>
      </c>
      <c r="H1230" s="1">
        <v>46260</v>
      </c>
      <c r="I1230" t="str">
        <v>TRAVELERRECEIVED</v>
      </c>
      <c r="K1230" t="str">
        <v>Shipped</v>
      </c>
      <c r="L1230">
        <v>30037</v>
      </c>
    </row>
    <row r="1231">
      <c r="A1231">
        <v>717630</v>
      </c>
      <c r="B1231" t="str">
        <v>11546377-PH-RO</v>
      </c>
      <c r="C1231">
        <v>520</v>
      </c>
      <c r="D1231" t="str">
        <v>BF/MC</v>
      </c>
      <c r="E1231">
        <v>898</v>
      </c>
      <c r="F1231">
        <v>58312</v>
      </c>
      <c r="G1231">
        <v>193497</v>
      </c>
      <c r="H1231" s="1">
        <v>46260</v>
      </c>
      <c r="I1231" t="str">
        <v>TRAVELERRECEIVED</v>
      </c>
      <c r="K1231" t="str">
        <v>Shipped</v>
      </c>
      <c r="L1231">
        <v>30046</v>
      </c>
    </row>
    <row r="1232">
      <c r="A1232">
        <v>717631</v>
      </c>
      <c r="B1232" t="str">
        <v>11546377-PH-RO</v>
      </c>
      <c r="C1232">
        <v>92</v>
      </c>
      <c r="D1232" t="str">
        <v>BF/MC</v>
      </c>
      <c r="E1232">
        <v>1072</v>
      </c>
      <c r="F1232">
        <v>69610</v>
      </c>
      <c r="G1232">
        <v>193497</v>
      </c>
      <c r="H1232" s="1">
        <v>46260</v>
      </c>
      <c r="I1232" t="str">
        <v>TRAVELERRECEIVED</v>
      </c>
      <c r="K1232" t="str">
        <v>Shipped</v>
      </c>
      <c r="L1232">
        <v>30040</v>
      </c>
    </row>
    <row r="1233">
      <c r="A1233">
        <v>717632</v>
      </c>
      <c r="B1233" t="str">
        <v>11546377-PH-RO</v>
      </c>
      <c r="C1233">
        <v>698</v>
      </c>
      <c r="D1233" t="str">
        <v>BF/MC</v>
      </c>
      <c r="E1233">
        <v>918</v>
      </c>
      <c r="F1233">
        <v>59610</v>
      </c>
      <c r="G1233">
        <v>193497</v>
      </c>
      <c r="H1233" s="1">
        <v>46260</v>
      </c>
      <c r="I1233" t="str">
        <v>TRAVELERRECEIVED</v>
      </c>
      <c r="K1233" t="str">
        <v>Shipped</v>
      </c>
      <c r="L1233">
        <v>30046</v>
      </c>
    </row>
    <row r="1234">
      <c r="A1234">
        <v>717633</v>
      </c>
      <c r="B1234" t="str">
        <v>11546377-PH-RO</v>
      </c>
      <c r="C1234">
        <v>325</v>
      </c>
      <c r="D1234" t="str">
        <v>BF/MC</v>
      </c>
      <c r="E1234">
        <v>1103</v>
      </c>
      <c r="F1234">
        <v>71623</v>
      </c>
      <c r="G1234">
        <v>193497</v>
      </c>
      <c r="H1234" s="1">
        <v>46260</v>
      </c>
      <c r="I1234" t="str">
        <v>TRAVELERRECEIVED</v>
      </c>
      <c r="K1234" t="str">
        <f>IF(ISERROR(MATCH(WORKORDER[[#This Row],[TRAVELER]],Table1[TRAVELER],0)),K1234,"Shipped")</f>
        <v>Shipped</v>
      </c>
      <c r="L1234">
        <f>+IF(ISERROR(MATCH(WORKORDER[[#This Row],[TRAVELER]],Table1[TRAVELER],0)),L1234,'PACKING SLIP'!$F$5)</f>
        <v>30049</v>
      </c>
    </row>
    <row r="1235">
      <c r="A1235">
        <v>717634</v>
      </c>
      <c r="B1235" t="str">
        <v>11546377-PH-RO</v>
      </c>
      <c r="C1235">
        <v>631</v>
      </c>
      <c r="D1235" t="str">
        <v>BF/MC</v>
      </c>
      <c r="E1235">
        <v>866</v>
      </c>
      <c r="F1235">
        <v>56234</v>
      </c>
      <c r="G1235">
        <v>193497</v>
      </c>
      <c r="H1235" s="1">
        <v>46260</v>
      </c>
      <c r="I1235" t="str">
        <v>TRAVELERRECEIVED</v>
      </c>
      <c r="K1235" t="str">
        <f>IF(ISERROR(MATCH(WORKORDER[[#This Row],[TRAVELER]],Table1[TRAVELER],0)),K1235,"Shipped")</f>
        <v>Shipped</v>
      </c>
      <c r="L1235">
        <f>+IF(ISERROR(MATCH(WORKORDER[[#This Row],[TRAVELER]],Table1[TRAVELER],0)),L1235,'PACKING SLIP'!$F$5)</f>
        <v>30049</v>
      </c>
    </row>
    <row r="1236">
      <c r="A1236">
        <v>717635</v>
      </c>
      <c r="B1236" t="str">
        <v>11546377-PH-RO</v>
      </c>
      <c r="C1236">
        <v>917</v>
      </c>
      <c r="D1236" t="str">
        <v>BF/MC</v>
      </c>
      <c r="E1236">
        <v>971</v>
      </c>
      <c r="F1236">
        <v>63052</v>
      </c>
      <c r="G1236">
        <v>193497</v>
      </c>
      <c r="H1236" s="1">
        <v>46260</v>
      </c>
      <c r="I1236" t="str">
        <v>TRAVELERRECEIVED</v>
      </c>
      <c r="K1236" t="str">
        <f>IF(ISERROR(MATCH(WORKORDER[[#This Row],[TRAVELER]],Table1[TRAVELER],0)),K1236,"Shipped")</f>
        <v>Shipped</v>
      </c>
      <c r="L1236">
        <f>+IF(ISERROR(MATCH(WORKORDER[[#This Row],[TRAVELER]],Table1[TRAVELER],0)),L1236,'PACKING SLIP'!$F$5)</f>
        <v>30054</v>
      </c>
    </row>
    <row r="1237">
      <c r="A1237">
        <v>717636</v>
      </c>
      <c r="B1237" t="str">
        <v>11546377-PH-RO</v>
      </c>
      <c r="C1237">
        <v>1714</v>
      </c>
      <c r="D1237" t="str">
        <v>BF/MC</v>
      </c>
      <c r="E1237">
        <v>1024</v>
      </c>
      <c r="F1237">
        <v>66494</v>
      </c>
      <c r="G1237">
        <v>193497</v>
      </c>
      <c r="H1237" s="1">
        <v>46260</v>
      </c>
      <c r="I1237" t="str">
        <v>TRAVELERRECEIVED</v>
      </c>
      <c r="K1237" t="str">
        <v>Shipped</v>
      </c>
      <c r="L1237">
        <v>30039</v>
      </c>
    </row>
    <row r="1238">
      <c r="A1238">
        <v>717637</v>
      </c>
      <c r="B1238" t="str">
        <v>11546377-PH-RO</v>
      </c>
      <c r="C1238">
        <v>1360</v>
      </c>
      <c r="D1238" t="str">
        <v>BF/MC</v>
      </c>
      <c r="E1238">
        <v>958</v>
      </c>
      <c r="F1238">
        <v>62208</v>
      </c>
      <c r="G1238">
        <v>193497</v>
      </c>
      <c r="H1238" s="1">
        <v>46260</v>
      </c>
      <c r="I1238" t="str">
        <v>TRAVELERRECEIVED</v>
      </c>
      <c r="K1238" t="str">
        <f>IF(ISERROR(MATCH(WORKORDER[[#This Row],[TRAVELER]],Table1[TRAVELER],0)),K1238,"Shipped")</f>
        <v>Shipped</v>
      </c>
      <c r="L1238">
        <f>+IF(ISERROR(MATCH(WORKORDER[[#This Row],[TRAVELER]],Table1[TRAVELER],0)),L1238,'PACKING SLIP'!$F$5)</f>
        <v>30059</v>
      </c>
    </row>
    <row r="1239">
      <c r="A1239">
        <v>717638</v>
      </c>
      <c r="B1239" t="str">
        <v>11546377-PH-RO</v>
      </c>
      <c r="C1239">
        <v>176</v>
      </c>
      <c r="D1239" t="str">
        <v>BF/MC</v>
      </c>
      <c r="E1239">
        <v>1036</v>
      </c>
      <c r="F1239">
        <v>67273</v>
      </c>
      <c r="G1239">
        <v>193497</v>
      </c>
      <c r="H1239" s="1">
        <v>46260</v>
      </c>
      <c r="I1239" t="str">
        <v>TRAVELERRECEIVED</v>
      </c>
      <c r="K1239">
        <f>IF(ISERROR(MATCH(WORKORDER[[#This Row],[TRAVELER]],Table1[TRAVELER],0)),K1239,"Shipped")</f>
        <v>0</v>
      </c>
      <c r="L1239">
        <f>+IF(ISERROR(MATCH(WORKORDER[[#This Row],[TRAVELER]],Table1[TRAVELER],0)),L1239,'PACKING SLIP'!$F$5)</f>
        <v>0</v>
      </c>
    </row>
    <row r="1240">
      <c r="A1240">
        <v>717695</v>
      </c>
      <c r="B1240" t="str">
        <v>11546377-PH-RO</v>
      </c>
      <c r="C1240">
        <v>1056</v>
      </c>
      <c r="D1240" t="str">
        <v>BF/MC</v>
      </c>
      <c r="E1240">
        <v>952</v>
      </c>
      <c r="F1240">
        <v>61818</v>
      </c>
      <c r="G1240">
        <v>193497</v>
      </c>
      <c r="H1240" s="1">
        <v>46260</v>
      </c>
      <c r="I1240" t="str">
        <v>TRAVELERRECEIVED</v>
      </c>
      <c r="K1240" t="str">
        <v>Shipped</v>
      </c>
      <c r="L1240">
        <v>30037</v>
      </c>
    </row>
    <row r="1241">
      <c r="A1241">
        <v>717696</v>
      </c>
      <c r="B1241" t="str">
        <v>11546377-PH-RO</v>
      </c>
      <c r="C1241">
        <v>1664</v>
      </c>
      <c r="D1241" t="str">
        <v>BF/MC</v>
      </c>
      <c r="E1241">
        <v>1014</v>
      </c>
      <c r="F1241">
        <v>65844</v>
      </c>
      <c r="G1241">
        <v>193497</v>
      </c>
      <c r="H1241" s="1">
        <v>46260</v>
      </c>
      <c r="I1241" t="str">
        <v>TRAVELERRECEIVED</v>
      </c>
      <c r="K1241" t="str">
        <f>IF(ISERROR(MATCH(WORKORDER[[#This Row],[TRAVELER]],Table1[TRAVELER],0)),K1241,"Shipped")</f>
        <v>Shipped</v>
      </c>
      <c r="L1241">
        <f>+IF(ISERROR(MATCH(WORKORDER[[#This Row],[TRAVELER]],Table1[TRAVELER],0)),L1241,'PACKING SLIP'!$F$5)</f>
        <v>30049</v>
      </c>
    </row>
    <row r="1242">
      <c r="A1242">
        <v>717697</v>
      </c>
      <c r="B1242" t="str">
        <v>11546377-PH-RO</v>
      </c>
      <c r="C1242">
        <v>806</v>
      </c>
      <c r="D1242" t="str">
        <v>BF/MC</v>
      </c>
      <c r="E1242">
        <v>945</v>
      </c>
      <c r="F1242">
        <v>61364</v>
      </c>
      <c r="G1242">
        <v>193497</v>
      </c>
      <c r="H1242" s="1">
        <v>46260</v>
      </c>
      <c r="I1242" t="str">
        <v>TRAVELERRECEIVED</v>
      </c>
      <c r="K1242" t="str">
        <f>IF(ISERROR(MATCH(WORKORDER[[#This Row],[TRAVELER]],Table1[TRAVELER],0)),K1242,"Shipped")</f>
        <v>Shipped</v>
      </c>
      <c r="L1242">
        <f>+IF(ISERROR(MATCH(WORKORDER[[#This Row],[TRAVELER]],Table1[TRAVELER],0)),L1242,'PACKING SLIP'!$F$5)</f>
        <v>30054</v>
      </c>
    </row>
    <row r="1243">
      <c r="A1243">
        <v>717698</v>
      </c>
      <c r="B1243" t="str">
        <v>11546377-PH-RO</v>
      </c>
      <c r="C1243">
        <v>1411</v>
      </c>
      <c r="D1243" t="str">
        <v>BF/MC</v>
      </c>
      <c r="E1243">
        <v>1052</v>
      </c>
      <c r="F1243">
        <v>68312</v>
      </c>
      <c r="G1243">
        <v>193497</v>
      </c>
      <c r="H1243" s="1">
        <v>46260</v>
      </c>
      <c r="I1243" t="str">
        <v>TRAVELERRECEIVED</v>
      </c>
      <c r="K1243" t="str">
        <v>Shipped</v>
      </c>
      <c r="L1243">
        <v>30039</v>
      </c>
    </row>
    <row r="1244">
      <c r="A1244">
        <v>717699</v>
      </c>
      <c r="B1244" t="str">
        <v>11546377-PH-RO</v>
      </c>
      <c r="C1244">
        <v>638</v>
      </c>
      <c r="D1244" t="str">
        <v>BF/MC</v>
      </c>
      <c r="E1244">
        <v>1156</v>
      </c>
      <c r="F1244">
        <v>75065</v>
      </c>
      <c r="G1244">
        <v>193497</v>
      </c>
      <c r="H1244" s="1">
        <v>46260</v>
      </c>
      <c r="I1244" t="str">
        <v>TRAVELERRECEIVED</v>
      </c>
      <c r="K1244" t="str">
        <v>Shipped</v>
      </c>
      <c r="L1244">
        <v>30040</v>
      </c>
    </row>
    <row r="1245">
      <c r="A1245">
        <v>717700</v>
      </c>
      <c r="B1245" t="str">
        <v>11546377-PH-RO</v>
      </c>
      <c r="C1245">
        <v>542</v>
      </c>
      <c r="D1245" t="str">
        <v>BF/MC</v>
      </c>
      <c r="E1245">
        <v>821</v>
      </c>
      <c r="F1245">
        <v>53312</v>
      </c>
      <c r="G1245">
        <v>193497</v>
      </c>
      <c r="H1245" s="1">
        <v>46260</v>
      </c>
      <c r="I1245" t="str">
        <v>TRAVELERRECEIVED</v>
      </c>
      <c r="K1245" t="str">
        <v>Shipped</v>
      </c>
      <c r="L1245">
        <v>30040</v>
      </c>
    </row>
    <row r="1246">
      <c r="A1246">
        <v>715973</v>
      </c>
      <c r="B1246" t="str">
        <v>NU3019-00</v>
      </c>
      <c r="C1246">
        <v>154</v>
      </c>
      <c r="D1246" t="str">
        <v>TB</v>
      </c>
      <c r="E1246">
        <v>1018</v>
      </c>
      <c r="F1246">
        <v>4875</v>
      </c>
      <c r="G1246">
        <v>193512</v>
      </c>
      <c r="H1246" s="1">
        <v>46260</v>
      </c>
      <c r="I1246" t="str">
        <v>6-238-12-A</v>
      </c>
      <c r="K1246" t="str">
        <v>Shipped</v>
      </c>
      <c r="L1246">
        <v>30044</v>
      </c>
    </row>
    <row r="1247">
      <c r="A1247">
        <v>716490</v>
      </c>
      <c r="B1247" t="str">
        <v>NU1136-01</v>
      </c>
      <c r="C1247">
        <v>6</v>
      </c>
      <c r="D1247" t="str">
        <v>TB</v>
      </c>
      <c r="E1247">
        <v>916</v>
      </c>
      <c r="F1247">
        <v>8585</v>
      </c>
      <c r="G1247">
        <v>193512</v>
      </c>
      <c r="H1247" s="1">
        <v>46260</v>
      </c>
      <c r="I1247" t="str">
        <v>6-238-13-A</v>
      </c>
      <c r="K1247" t="str">
        <v>Shipped</v>
      </c>
      <c r="L1247">
        <v>30042</v>
      </c>
    </row>
    <row r="1248">
      <c r="A1248">
        <v>716491</v>
      </c>
      <c r="B1248" t="str">
        <v>NU1136-01</v>
      </c>
      <c r="C1248">
        <v>1316</v>
      </c>
      <c r="D1248" t="str">
        <v>TB</v>
      </c>
      <c r="E1248">
        <v>821</v>
      </c>
      <c r="F1248">
        <v>7694</v>
      </c>
      <c r="G1248">
        <v>193512</v>
      </c>
      <c r="H1248" s="1">
        <v>46260</v>
      </c>
      <c r="I1248" t="str">
        <v>6-238-13-B</v>
      </c>
      <c r="K1248" t="str">
        <v>Shipped</v>
      </c>
      <c r="L1248">
        <v>30042</v>
      </c>
    </row>
    <row r="1249">
      <c r="A1249">
        <v>716492</v>
      </c>
      <c r="B1249" t="str">
        <v>NU1136-01</v>
      </c>
      <c r="C1249">
        <v>191</v>
      </c>
      <c r="D1249" t="str">
        <v>TB</v>
      </c>
      <c r="E1249">
        <v>583</v>
      </c>
      <c r="F1249">
        <v>5464</v>
      </c>
      <c r="G1249">
        <v>193512</v>
      </c>
      <c r="H1249" s="1">
        <v>46260</v>
      </c>
      <c r="I1249" t="str">
        <v>6-238-13-N</v>
      </c>
      <c r="K1249" t="str">
        <v>Shipped</v>
      </c>
      <c r="L1249">
        <v>30042</v>
      </c>
    </row>
    <row r="1250">
      <c r="A1250">
        <v>716493</v>
      </c>
      <c r="B1250" t="str">
        <v>NU1136-01</v>
      </c>
      <c r="C1250">
        <v>1436</v>
      </c>
      <c r="D1250" t="str">
        <v>TB</v>
      </c>
      <c r="E1250">
        <v>702</v>
      </c>
      <c r="F1250">
        <v>6579</v>
      </c>
      <c r="G1250">
        <v>193512</v>
      </c>
      <c r="H1250" s="1">
        <v>46260</v>
      </c>
      <c r="I1250" t="str">
        <v>6-238-13-C</v>
      </c>
      <c r="K1250" t="str">
        <v>Shipped</v>
      </c>
      <c r="L1250">
        <v>30042</v>
      </c>
    </row>
    <row r="1251">
      <c r="A1251">
        <v>716494</v>
      </c>
      <c r="B1251" t="str">
        <v>NU1136-01</v>
      </c>
      <c r="C1251">
        <v>156</v>
      </c>
      <c r="D1251" t="str">
        <v>TB</v>
      </c>
      <c r="E1251">
        <v>757</v>
      </c>
      <c r="F1251">
        <v>7095</v>
      </c>
      <c r="G1251">
        <v>193512</v>
      </c>
      <c r="H1251" s="1">
        <v>46260</v>
      </c>
      <c r="I1251" t="str">
        <v>6-238-13-D</v>
      </c>
      <c r="K1251" t="str">
        <v>Shipped</v>
      </c>
      <c r="L1251">
        <v>30042</v>
      </c>
    </row>
    <row r="1252">
      <c r="A1252">
        <v>716495</v>
      </c>
      <c r="B1252" t="str">
        <v>NU1136-01</v>
      </c>
      <c r="C1252">
        <v>169</v>
      </c>
      <c r="D1252" t="str">
        <v>TB</v>
      </c>
      <c r="E1252">
        <v>953</v>
      </c>
      <c r="F1252">
        <v>8932</v>
      </c>
      <c r="G1252">
        <v>193512</v>
      </c>
      <c r="H1252" s="1">
        <v>46260</v>
      </c>
      <c r="I1252" t="str">
        <v>6-238-13-E</v>
      </c>
      <c r="K1252" t="str">
        <v>Shipped</v>
      </c>
      <c r="L1252">
        <v>30042</v>
      </c>
    </row>
    <row r="1253">
      <c r="A1253">
        <v>716531</v>
      </c>
      <c r="B1253" t="str">
        <v>F1302AB</v>
      </c>
      <c r="C1253">
        <v>1371</v>
      </c>
      <c r="D1253" t="str">
        <v>TB</v>
      </c>
      <c r="E1253">
        <v>512</v>
      </c>
      <c r="F1253">
        <v>16570</v>
      </c>
      <c r="G1253">
        <v>193512</v>
      </c>
      <c r="H1253" s="1">
        <v>46260</v>
      </c>
      <c r="I1253" t="str">
        <v>6-238-16-A</v>
      </c>
      <c r="K1253" t="str">
        <v>Shipped</v>
      </c>
      <c r="L1253">
        <v>30040</v>
      </c>
    </row>
    <row r="1254">
      <c r="A1254">
        <v>716532</v>
      </c>
      <c r="B1254" t="str">
        <v>F1302AB</v>
      </c>
      <c r="C1254">
        <v>1535</v>
      </c>
      <c r="D1254" t="str">
        <v>TB</v>
      </c>
      <c r="E1254">
        <v>738</v>
      </c>
      <c r="F1254">
        <v>23883</v>
      </c>
      <c r="G1254">
        <v>193512</v>
      </c>
      <c r="H1254" s="1">
        <v>46260</v>
      </c>
      <c r="I1254" t="str">
        <v>6-238-16-B</v>
      </c>
      <c r="K1254" t="str">
        <v>Shipped</v>
      </c>
      <c r="L1254">
        <v>30040</v>
      </c>
    </row>
    <row r="1255">
      <c r="A1255">
        <v>716723</v>
      </c>
      <c r="B1255" t="str">
        <v>NU3019-00</v>
      </c>
      <c r="C1255">
        <v>1828</v>
      </c>
      <c r="D1255" t="str">
        <v>TB</v>
      </c>
      <c r="E1255">
        <v>1150</v>
      </c>
      <c r="F1255">
        <v>5508</v>
      </c>
      <c r="G1255">
        <v>193512</v>
      </c>
      <c r="H1255" s="1">
        <v>46260</v>
      </c>
      <c r="I1255" t="str">
        <v>6-238-12-B</v>
      </c>
      <c r="K1255" t="str">
        <v>Shipped</v>
      </c>
      <c r="L1255">
        <v>30042</v>
      </c>
    </row>
    <row r="1256">
      <c r="A1256">
        <v>716724</v>
      </c>
      <c r="B1256" t="str">
        <v>NU3019-00</v>
      </c>
      <c r="C1256">
        <v>1430</v>
      </c>
      <c r="D1256" t="str">
        <v>TB</v>
      </c>
      <c r="E1256">
        <v>988</v>
      </c>
      <c r="F1256">
        <v>4732</v>
      </c>
      <c r="G1256">
        <v>193512</v>
      </c>
      <c r="H1256" s="1">
        <v>46260</v>
      </c>
      <c r="I1256" t="str">
        <v>6-238-12-C</v>
      </c>
      <c r="K1256" t="str">
        <v>Shipped</v>
      </c>
      <c r="L1256">
        <v>30044</v>
      </c>
    </row>
    <row r="1257">
      <c r="A1257">
        <v>716725</v>
      </c>
      <c r="B1257" t="str">
        <v>NU3019-00</v>
      </c>
      <c r="C1257">
        <v>1053</v>
      </c>
      <c r="D1257" t="str">
        <v>TB</v>
      </c>
      <c r="E1257">
        <v>997</v>
      </c>
      <c r="F1257">
        <v>4775</v>
      </c>
      <c r="G1257">
        <v>193512</v>
      </c>
      <c r="H1257" s="1">
        <v>46260</v>
      </c>
      <c r="I1257" t="str">
        <v>6-238-12-D</v>
      </c>
      <c r="K1257" t="str">
        <v>Shipped</v>
      </c>
      <c r="L1257">
        <v>30042</v>
      </c>
    </row>
    <row r="1258">
      <c r="A1258">
        <v>716726</v>
      </c>
      <c r="B1258" t="str">
        <v>NU3019-00</v>
      </c>
      <c r="C1258">
        <v>170</v>
      </c>
      <c r="D1258" t="str">
        <v>TB</v>
      </c>
      <c r="E1258">
        <v>1102</v>
      </c>
      <c r="F1258">
        <v>5278</v>
      </c>
      <c r="G1258">
        <v>193512</v>
      </c>
      <c r="H1258" s="1">
        <v>46260</v>
      </c>
      <c r="I1258" t="str">
        <v>6-238-12-E</v>
      </c>
      <c r="K1258" t="str">
        <v>Shipped</v>
      </c>
      <c r="L1258">
        <v>30044</v>
      </c>
    </row>
    <row r="1259">
      <c r="A1259">
        <v>716727</v>
      </c>
      <c r="B1259" t="str">
        <v>NU3019-00</v>
      </c>
      <c r="C1259">
        <v>1447</v>
      </c>
      <c r="D1259" t="str">
        <v>TB</v>
      </c>
      <c r="E1259">
        <v>978</v>
      </c>
      <c r="F1259">
        <v>4681</v>
      </c>
      <c r="G1259">
        <v>193512</v>
      </c>
      <c r="H1259" s="1">
        <v>46260</v>
      </c>
      <c r="I1259" t="str">
        <v>6-238-12-F</v>
      </c>
      <c r="K1259" t="str">
        <v>Shipped</v>
      </c>
      <c r="L1259">
        <v>30044</v>
      </c>
    </row>
    <row r="1260">
      <c r="A1260">
        <v>716728</v>
      </c>
      <c r="B1260" t="str">
        <v>NU3019-00</v>
      </c>
      <c r="C1260">
        <v>1783</v>
      </c>
      <c r="D1260" t="str">
        <v>TB</v>
      </c>
      <c r="E1260">
        <v>1158</v>
      </c>
      <c r="F1260">
        <v>5546</v>
      </c>
      <c r="G1260">
        <v>193512</v>
      </c>
      <c r="H1260" s="1">
        <v>46260</v>
      </c>
      <c r="I1260" t="str">
        <v>6-238-12-G</v>
      </c>
      <c r="K1260" t="str">
        <v>Shipped</v>
      </c>
      <c r="L1260">
        <v>30042</v>
      </c>
    </row>
    <row r="1261">
      <c r="A1261">
        <v>716729</v>
      </c>
      <c r="B1261" t="str">
        <v>NU3019-00</v>
      </c>
      <c r="C1261">
        <v>894</v>
      </c>
      <c r="D1261" t="str">
        <v>TB</v>
      </c>
      <c r="E1261">
        <v>980</v>
      </c>
      <c r="F1261">
        <v>4693</v>
      </c>
      <c r="G1261">
        <v>193512</v>
      </c>
      <c r="H1261" s="1">
        <v>46260</v>
      </c>
      <c r="I1261" t="str">
        <v>6-238-12-H</v>
      </c>
      <c r="K1261" t="str">
        <v>Shipped</v>
      </c>
      <c r="L1261">
        <v>30042</v>
      </c>
    </row>
    <row r="1262">
      <c r="A1262">
        <v>716730</v>
      </c>
      <c r="B1262" t="str">
        <v>NU3019-00</v>
      </c>
      <c r="C1262">
        <v>758</v>
      </c>
      <c r="D1262" t="str">
        <v>TB</v>
      </c>
      <c r="E1262">
        <v>1129</v>
      </c>
      <c r="F1262">
        <v>5407</v>
      </c>
      <c r="G1262">
        <v>193512</v>
      </c>
      <c r="H1262" s="1">
        <v>46260</v>
      </c>
      <c r="I1262" t="str">
        <v>6-238-12-I</v>
      </c>
      <c r="K1262" t="str">
        <v>Shipped</v>
      </c>
      <c r="L1262">
        <v>30042</v>
      </c>
    </row>
    <row r="1263">
      <c r="A1263">
        <v>716731</v>
      </c>
      <c r="B1263" t="str">
        <v>NU3019-00</v>
      </c>
      <c r="C1263">
        <v>1300</v>
      </c>
      <c r="D1263" t="str">
        <v>TB</v>
      </c>
      <c r="E1263">
        <v>1042</v>
      </c>
      <c r="F1263">
        <v>4990</v>
      </c>
      <c r="G1263">
        <v>193512</v>
      </c>
      <c r="H1263" s="1">
        <v>46260</v>
      </c>
      <c r="I1263" t="str">
        <v>6-238-12-J</v>
      </c>
      <c r="K1263" t="str">
        <v>Shipped</v>
      </c>
      <c r="L1263">
        <v>30044</v>
      </c>
    </row>
    <row r="1264">
      <c r="A1264">
        <v>716732</v>
      </c>
      <c r="B1264" t="str">
        <v>NU3019-00</v>
      </c>
      <c r="C1264">
        <v>844</v>
      </c>
      <c r="D1264" t="str">
        <v>TB</v>
      </c>
      <c r="E1264">
        <v>1073</v>
      </c>
      <c r="F1264">
        <v>5139</v>
      </c>
      <c r="G1264">
        <v>193512</v>
      </c>
      <c r="H1264" s="1">
        <v>46260</v>
      </c>
      <c r="I1264" t="str">
        <v>6-238-12-K</v>
      </c>
      <c r="K1264" t="str">
        <v>Shipped</v>
      </c>
      <c r="L1264">
        <v>30042</v>
      </c>
    </row>
    <row r="1265">
      <c r="A1265">
        <v>716733</v>
      </c>
      <c r="B1265" t="str">
        <v>NU3019-00</v>
      </c>
      <c r="C1265">
        <v>149</v>
      </c>
      <c r="D1265" t="str">
        <v>TB</v>
      </c>
      <c r="E1265">
        <v>1124</v>
      </c>
      <c r="F1265">
        <v>5383</v>
      </c>
      <c r="G1265">
        <v>193512</v>
      </c>
      <c r="H1265" s="1">
        <v>46260</v>
      </c>
      <c r="I1265" t="str">
        <v>6-238-12-L</v>
      </c>
      <c r="K1265" t="str">
        <v>Shipped</v>
      </c>
      <c r="L1265">
        <v>30044</v>
      </c>
    </row>
    <row r="1266">
      <c r="A1266">
        <v>716734</v>
      </c>
      <c r="B1266" t="str">
        <v>NU3019-00</v>
      </c>
      <c r="C1266">
        <v>1833</v>
      </c>
      <c r="D1266" t="str">
        <v>TB</v>
      </c>
      <c r="E1266">
        <v>994</v>
      </c>
      <c r="F1266">
        <v>4761</v>
      </c>
      <c r="G1266">
        <v>193512</v>
      </c>
      <c r="H1266" s="1">
        <v>46260</v>
      </c>
      <c r="I1266" t="str">
        <v>6-238-12-M</v>
      </c>
      <c r="K1266" t="str">
        <v>Shipped</v>
      </c>
      <c r="L1266">
        <v>30042</v>
      </c>
    </row>
    <row r="1267">
      <c r="A1267">
        <v>716735</v>
      </c>
      <c r="B1267" t="str">
        <v>NU3019-00</v>
      </c>
      <c r="C1267">
        <v>731</v>
      </c>
      <c r="D1267" t="str">
        <v>TB</v>
      </c>
      <c r="E1267">
        <v>1021</v>
      </c>
      <c r="F1267">
        <v>4890</v>
      </c>
      <c r="G1267">
        <v>193512</v>
      </c>
      <c r="H1267" s="1">
        <v>46260</v>
      </c>
      <c r="I1267" t="str">
        <v>6-238-12-N</v>
      </c>
      <c r="K1267" t="str">
        <v>Shipped</v>
      </c>
      <c r="L1267">
        <v>30042</v>
      </c>
    </row>
    <row r="1268">
      <c r="A1268">
        <v>716736</v>
      </c>
      <c r="B1268" t="str">
        <v>NU3019-00</v>
      </c>
      <c r="C1268">
        <v>1593</v>
      </c>
      <c r="D1268" t="str">
        <v>TB</v>
      </c>
      <c r="E1268">
        <v>1101</v>
      </c>
      <c r="F1268">
        <v>5273</v>
      </c>
      <c r="G1268">
        <v>193512</v>
      </c>
      <c r="H1268" s="1">
        <v>46260</v>
      </c>
      <c r="I1268" t="str">
        <v>6-238-12-O</v>
      </c>
      <c r="K1268" t="str">
        <v>Shipped</v>
      </c>
      <c r="L1268">
        <v>30044</v>
      </c>
    </row>
    <row r="1269">
      <c r="A1269">
        <v>716902</v>
      </c>
      <c r="B1269" t="str">
        <v>06514094AA</v>
      </c>
      <c r="C1269">
        <v>1667</v>
      </c>
      <c r="D1269" t="str">
        <v>TB</v>
      </c>
      <c r="E1269">
        <v>759</v>
      </c>
      <c r="F1269">
        <v>8615</v>
      </c>
      <c r="G1269">
        <v>193512</v>
      </c>
      <c r="H1269" s="1">
        <v>46260</v>
      </c>
      <c r="I1269" t="str">
        <v>6-236-37-A</v>
      </c>
      <c r="K1269" t="str">
        <v>Shipped</v>
      </c>
      <c r="L1269">
        <v>30046</v>
      </c>
    </row>
    <row r="1270">
      <c r="A1270">
        <v>716903</v>
      </c>
      <c r="B1270" t="str">
        <v>06514094AA</v>
      </c>
      <c r="C1270">
        <v>1308</v>
      </c>
      <c r="D1270" t="str">
        <v>TB</v>
      </c>
      <c r="E1270">
        <v>527</v>
      </c>
      <c r="F1270">
        <v>5982</v>
      </c>
      <c r="G1270">
        <v>193512</v>
      </c>
      <c r="H1270" s="1">
        <v>46260</v>
      </c>
      <c r="I1270" t="str">
        <v>6-236-37-B</v>
      </c>
      <c r="K1270" t="str">
        <v>Shipped</v>
      </c>
      <c r="L1270">
        <v>30040</v>
      </c>
    </row>
    <row r="1271">
      <c r="A1271">
        <v>717236</v>
      </c>
      <c r="B1271" t="str">
        <v>NU1136-01</v>
      </c>
      <c r="C1271">
        <v>1005</v>
      </c>
      <c r="D1271" t="str">
        <v>TB</v>
      </c>
      <c r="E1271">
        <v>878</v>
      </c>
      <c r="F1271">
        <v>8229</v>
      </c>
      <c r="G1271">
        <v>193512</v>
      </c>
      <c r="H1271" s="1">
        <v>46260</v>
      </c>
      <c r="I1271" t="str">
        <v>6-238-13-F</v>
      </c>
      <c r="K1271" t="str">
        <v>Shipped</v>
      </c>
      <c r="L1271">
        <v>30042</v>
      </c>
    </row>
    <row r="1272">
      <c r="A1272">
        <v>717237</v>
      </c>
      <c r="B1272" t="str">
        <v>NU1136-01</v>
      </c>
      <c r="C1272">
        <v>26</v>
      </c>
      <c r="D1272" t="str">
        <v>TB</v>
      </c>
      <c r="E1272">
        <v>839</v>
      </c>
      <c r="F1272">
        <v>7863</v>
      </c>
      <c r="G1272">
        <v>193512</v>
      </c>
      <c r="H1272" s="1">
        <v>46260</v>
      </c>
      <c r="I1272" t="str">
        <v>6-238-13-G</v>
      </c>
      <c r="K1272" t="str">
        <v>Shipped</v>
      </c>
      <c r="L1272">
        <v>30042</v>
      </c>
    </row>
    <row r="1273">
      <c r="A1273">
        <v>717238</v>
      </c>
      <c r="B1273" t="str">
        <v>NU1136-01</v>
      </c>
      <c r="C1273">
        <v>1848</v>
      </c>
      <c r="D1273" t="str">
        <v>TB</v>
      </c>
      <c r="E1273">
        <v>879</v>
      </c>
      <c r="F1273">
        <v>8238</v>
      </c>
      <c r="G1273">
        <v>193512</v>
      </c>
      <c r="H1273" s="1">
        <v>46260</v>
      </c>
      <c r="I1273" t="str">
        <v>6-238-13-H</v>
      </c>
      <c r="K1273" t="str">
        <v>Shipped</v>
      </c>
      <c r="L1273">
        <v>30044</v>
      </c>
    </row>
    <row r="1274">
      <c r="A1274">
        <v>717239</v>
      </c>
      <c r="B1274" t="str">
        <v>NU1136-01</v>
      </c>
      <c r="C1274">
        <v>1439</v>
      </c>
      <c r="D1274" t="str">
        <v>TB</v>
      </c>
      <c r="E1274">
        <v>887</v>
      </c>
      <c r="F1274">
        <v>8313</v>
      </c>
      <c r="G1274">
        <v>193512</v>
      </c>
      <c r="H1274" s="1">
        <v>46260</v>
      </c>
      <c r="I1274" t="str">
        <v>6-238-13-I</v>
      </c>
      <c r="K1274" t="str">
        <v>Shipped</v>
      </c>
      <c r="L1274">
        <v>30042</v>
      </c>
    </row>
    <row r="1275">
      <c r="A1275">
        <v>717240</v>
      </c>
      <c r="B1275" t="str">
        <v>NU1136-01</v>
      </c>
      <c r="C1275">
        <v>797</v>
      </c>
      <c r="D1275" t="str">
        <v>TB</v>
      </c>
      <c r="E1275">
        <v>944</v>
      </c>
      <c r="F1275">
        <v>8847</v>
      </c>
      <c r="G1275">
        <v>193512</v>
      </c>
      <c r="H1275" s="1">
        <v>46260</v>
      </c>
      <c r="I1275" t="str">
        <v>6-238-13-J</v>
      </c>
      <c r="K1275" t="str">
        <v>Shipped</v>
      </c>
      <c r="L1275">
        <v>30042</v>
      </c>
    </row>
    <row r="1276">
      <c r="A1276">
        <v>717241</v>
      </c>
      <c r="B1276" t="str">
        <v>NU1136-01</v>
      </c>
      <c r="C1276">
        <v>1651</v>
      </c>
      <c r="D1276" t="str">
        <v>TB</v>
      </c>
      <c r="E1276">
        <v>960</v>
      </c>
      <c r="F1276">
        <v>8997</v>
      </c>
      <c r="G1276">
        <v>193512</v>
      </c>
      <c r="H1276" s="1">
        <v>46260</v>
      </c>
      <c r="I1276" t="str">
        <v>6-238-13-K</v>
      </c>
      <c r="K1276" t="str">
        <v>Shipped</v>
      </c>
      <c r="L1276">
        <v>30042</v>
      </c>
    </row>
    <row r="1277">
      <c r="A1277">
        <v>717242</v>
      </c>
      <c r="B1277" t="str">
        <v>NU1136-01</v>
      </c>
      <c r="C1277">
        <v>979</v>
      </c>
      <c r="D1277" t="str">
        <v>TB</v>
      </c>
      <c r="E1277">
        <v>886</v>
      </c>
      <c r="F1277">
        <v>8304</v>
      </c>
      <c r="G1277">
        <v>193512</v>
      </c>
      <c r="H1277" s="1">
        <v>46260</v>
      </c>
      <c r="I1277" t="str">
        <v>6-238-13-L</v>
      </c>
      <c r="K1277" t="str">
        <v>Shipped</v>
      </c>
      <c r="L1277">
        <v>30042</v>
      </c>
    </row>
    <row r="1278">
      <c r="A1278">
        <v>717243</v>
      </c>
      <c r="B1278" t="str">
        <v>NU1136-01</v>
      </c>
      <c r="C1278">
        <v>900</v>
      </c>
      <c r="D1278" t="str">
        <v>TB</v>
      </c>
      <c r="E1278">
        <v>834</v>
      </c>
      <c r="F1278">
        <v>7816</v>
      </c>
      <c r="G1278">
        <v>193512</v>
      </c>
      <c r="H1278" s="1">
        <v>46260</v>
      </c>
      <c r="I1278" t="str">
        <v>6-238-13-M</v>
      </c>
      <c r="K1278" t="str">
        <v>Shipped</v>
      </c>
      <c r="L1278">
        <v>30042</v>
      </c>
    </row>
    <row r="1279">
      <c r="A1279">
        <v>717981</v>
      </c>
      <c r="B1279">
        <v>11604000</v>
      </c>
      <c r="C1279" t="str">
        <v>KIB</v>
      </c>
      <c r="D1279" t="str">
        <v>TB</v>
      </c>
      <c r="E1279">
        <v>2193</v>
      </c>
      <c r="F1279">
        <v>43000</v>
      </c>
      <c r="G1279">
        <v>193512</v>
      </c>
      <c r="H1279" s="1">
        <v>46260</v>
      </c>
      <c r="I1279" t="str">
        <v>6-238-14-A</v>
      </c>
      <c r="K1279" t="str">
        <v>Shipped</v>
      </c>
      <c r="L1279">
        <v>30040</v>
      </c>
    </row>
    <row r="1280">
      <c r="A1280">
        <v>717982</v>
      </c>
      <c r="B1280">
        <v>11604000</v>
      </c>
      <c r="C1280" t="str">
        <v>KIB</v>
      </c>
      <c r="D1280" t="str">
        <v>TB</v>
      </c>
      <c r="E1280">
        <v>2193</v>
      </c>
      <c r="F1280">
        <v>43000</v>
      </c>
      <c r="G1280">
        <v>193512</v>
      </c>
      <c r="H1280" s="1">
        <v>46260</v>
      </c>
      <c r="I1280" t="str">
        <v>SPLIT</v>
      </c>
      <c r="K1280" t="str">
        <v>Shipped</v>
      </c>
      <c r="L1280">
        <v>30040</v>
      </c>
    </row>
    <row r="1281">
      <c r="A1281">
        <v>717983</v>
      </c>
      <c r="B1281">
        <v>11604000</v>
      </c>
      <c r="C1281" t="str">
        <v>KIB</v>
      </c>
      <c r="D1281" t="str">
        <v>TB</v>
      </c>
      <c r="E1281">
        <v>1418</v>
      </c>
      <c r="F1281">
        <v>27800</v>
      </c>
      <c r="G1281">
        <v>193512</v>
      </c>
      <c r="H1281" s="1">
        <v>46260</v>
      </c>
      <c r="I1281" t="str">
        <v>6-238-14-C</v>
      </c>
      <c r="K1281" t="str">
        <v>Shipped</v>
      </c>
      <c r="L1281">
        <v>30040</v>
      </c>
    </row>
    <row r="1282">
      <c r="A1282">
        <v>717984</v>
      </c>
      <c r="B1282">
        <v>11604000</v>
      </c>
      <c r="C1282" t="str">
        <v>KIB</v>
      </c>
      <c r="D1282" t="str">
        <v>TB</v>
      </c>
      <c r="E1282">
        <v>1418</v>
      </c>
      <c r="F1282">
        <v>27800</v>
      </c>
      <c r="G1282">
        <v>193512</v>
      </c>
      <c r="H1282" s="1">
        <v>46260</v>
      </c>
      <c r="I1282" t="str">
        <v>SPLIT FROM TR 717983</v>
      </c>
      <c r="K1282" t="str">
        <f>IF(ISERROR(MATCH(WORKORDER[[#This Row],[TRAVELER]],Table1[TRAVELER],0)),K1282,"Shipped")</f>
        <v>Shipped</v>
      </c>
      <c r="L1282">
        <f>+IF(ISERROR(MATCH(WORKORDER[[#This Row],[TRAVELER]],Table1[TRAVELER],0)),L1282,'PACKING SLIP'!$F$5)</f>
        <v>0</v>
      </c>
    </row>
    <row r="1283">
      <c r="A1283">
        <v>718161</v>
      </c>
      <c r="B1283">
        <v>11612078</v>
      </c>
      <c r="C1283" t="str">
        <v>BOX</v>
      </c>
      <c r="D1283" t="str">
        <v>MC74</v>
      </c>
      <c r="E1283">
        <v>1267</v>
      </c>
      <c r="F1283">
        <v>72000</v>
      </c>
      <c r="G1283">
        <v>193512</v>
      </c>
      <c r="H1283" s="1">
        <v>46260</v>
      </c>
      <c r="I1283" t="str">
        <v>6-236-29-B</v>
      </c>
      <c r="K1283" t="str">
        <v>Shipped</v>
      </c>
      <c r="L1283">
        <v>30044</v>
      </c>
    </row>
    <row r="1284">
      <c r="A1284">
        <v>713048</v>
      </c>
      <c r="B1284" t="str">
        <v>HL3W-4320-AA</v>
      </c>
      <c r="C1284">
        <v>646</v>
      </c>
      <c r="E1284">
        <v>900</v>
      </c>
      <c r="F1284">
        <v>5898</v>
      </c>
      <c r="G1284">
        <v>193530</v>
      </c>
      <c r="H1284" s="1">
        <v>46261</v>
      </c>
      <c r="I1284" t="str">
        <v>6-238-22-A</v>
      </c>
      <c r="K1284" t="str">
        <f>IF(ISERROR(MATCH(WORKORDER[[#This Row],[TRAVELER]],Table1[TRAVELER],0)),K1284,"Shipped")</f>
        <v>Shipped</v>
      </c>
      <c r="L1284">
        <f>+IF(ISERROR(MATCH(WORKORDER[[#This Row],[TRAVELER]],Table1[TRAVELER],0)),L1284,'PACKING SLIP'!$F$5)</f>
        <v>30080</v>
      </c>
    </row>
    <row r="1285">
      <c r="A1285">
        <v>714252</v>
      </c>
      <c r="B1285" t="str">
        <v>HL3W-4320-AA</v>
      </c>
      <c r="C1285">
        <v>468</v>
      </c>
      <c r="E1285">
        <v>682</v>
      </c>
      <c r="F1285">
        <v>4469</v>
      </c>
      <c r="G1285">
        <v>193530</v>
      </c>
      <c r="H1285" s="1">
        <v>46261</v>
      </c>
      <c r="I1285" t="str">
        <v>6-238-22-B</v>
      </c>
      <c r="K1285" t="str">
        <f>IF(ISERROR(MATCH(WORKORDER[[#This Row],[TRAVELER]],Table1[TRAVELER],0)),K1285,"Shipped")</f>
        <v>Shipped</v>
      </c>
      <c r="L1285">
        <f>+IF(ISERROR(MATCH(WORKORDER[[#This Row],[TRAVELER]],Table1[TRAVELER],0)),L1285,'PACKING SLIP'!$F$5)</f>
        <v>30080</v>
      </c>
    </row>
    <row r="1286">
      <c r="A1286">
        <v>714258</v>
      </c>
      <c r="B1286" t="str">
        <v>W711468-S437</v>
      </c>
      <c r="C1286">
        <v>664</v>
      </c>
      <c r="E1286">
        <v>952</v>
      </c>
      <c r="F1286">
        <v>55029</v>
      </c>
      <c r="G1286">
        <v>193530</v>
      </c>
      <c r="H1286" s="1">
        <v>46261</v>
      </c>
      <c r="I1286" t="str">
        <v>6-238-21-A</v>
      </c>
      <c r="K1286" t="str">
        <v>Shipped</v>
      </c>
      <c r="L1286">
        <f>+IF(ISERROR(MATCH(WORKORDER[[#This Row],[TRAVELER]],Table1[TRAVELER],0)),L1286,'PACKING SLIP'!$F$5)</f>
        <v>30054</v>
      </c>
    </row>
    <row r="1287">
      <c r="A1287">
        <v>714260</v>
      </c>
      <c r="B1287" t="str">
        <v>W711468-S437</v>
      </c>
      <c r="C1287">
        <v>636</v>
      </c>
      <c r="E1287">
        <v>838</v>
      </c>
      <c r="F1287">
        <v>48439</v>
      </c>
      <c r="G1287">
        <v>193530</v>
      </c>
      <c r="H1287" s="1">
        <v>46261</v>
      </c>
      <c r="I1287" t="str">
        <v>6-238-21-B</v>
      </c>
      <c r="K1287" t="str">
        <v>Shipped</v>
      </c>
      <c r="L1287">
        <f>+IF(ISERROR(MATCH(WORKORDER[[#This Row],[TRAVELER]],Table1[TRAVELER],0)),L1287,'PACKING SLIP'!$F$5)</f>
        <v>30049</v>
      </c>
    </row>
    <row r="1288">
      <c r="A1288">
        <v>714523</v>
      </c>
      <c r="B1288" t="str">
        <v>06511672AA</v>
      </c>
      <c r="C1288">
        <v>321</v>
      </c>
      <c r="E1288">
        <v>1015</v>
      </c>
      <c r="F1288">
        <v>43750</v>
      </c>
      <c r="G1288">
        <v>193530</v>
      </c>
      <c r="H1288" s="1">
        <v>46261</v>
      </c>
      <c r="I1288" t="str">
        <v>6-238-15-A</v>
      </c>
      <c r="K1288" t="str">
        <f>IF(ISERROR(MATCH(WORKORDER[[#This Row],[TRAVELER]],Table1[TRAVELER],0)),K1288,"Shipped")</f>
        <v>Shipped</v>
      </c>
      <c r="L1288">
        <f>+IF(ISERROR(MATCH(WORKORDER[[#This Row],[TRAVELER]],Table1[TRAVELER],0)),L1288,'PACKING SLIP'!$F$5)</f>
        <v>30049</v>
      </c>
    </row>
    <row r="1289">
      <c r="A1289">
        <v>714607</v>
      </c>
      <c r="B1289" t="str">
        <v>HL3W-4320-AA</v>
      </c>
      <c r="C1289">
        <v>416</v>
      </c>
      <c r="E1289">
        <v>968</v>
      </c>
      <c r="F1289">
        <v>6343</v>
      </c>
      <c r="G1289">
        <v>193530</v>
      </c>
      <c r="H1289" s="1">
        <v>46261</v>
      </c>
      <c r="I1289" t="str">
        <v>6-238-11-A</v>
      </c>
      <c r="K1289" t="str">
        <f>IF(ISERROR(MATCH(WORKORDER[[#This Row],[TRAVELER]],Table1[TRAVELER],0)),K1289,"Shipped")</f>
        <v>Shipped</v>
      </c>
      <c r="L1289">
        <f>+IF(ISERROR(MATCH(WORKORDER[[#This Row],[TRAVELER]],Table1[TRAVELER],0)),L1289,'PACKING SLIP'!$F$5)</f>
        <v>0</v>
      </c>
    </row>
    <row r="1290">
      <c r="A1290">
        <v>715798</v>
      </c>
      <c r="B1290">
        <v>11546391</v>
      </c>
      <c r="C1290">
        <v>614</v>
      </c>
      <c r="E1290">
        <v>613</v>
      </c>
      <c r="F1290">
        <v>95781</v>
      </c>
      <c r="G1290">
        <v>193530</v>
      </c>
      <c r="H1290" s="1">
        <v>46261</v>
      </c>
      <c r="I1290" t="str">
        <v>6-239-01-A</v>
      </c>
      <c r="K1290" t="str">
        <f>IF(ISERROR(MATCH(WORKORDER[[#This Row],[TRAVELER]],Table1[TRAVELER],0)),K1290,"Shipped")</f>
        <v>Shipped</v>
      </c>
      <c r="L1290">
        <f>+IF(ISERROR(MATCH(WORKORDER[[#This Row],[TRAVELER]],Table1[TRAVELER],0)),L1290,'PACKING SLIP'!$F$5)</f>
        <v>30049</v>
      </c>
    </row>
    <row r="1291">
      <c r="A1291">
        <v>716317</v>
      </c>
      <c r="B1291" t="str">
        <v>06513404AA</v>
      </c>
      <c r="C1291">
        <v>240</v>
      </c>
      <c r="E1291">
        <v>1104</v>
      </c>
      <c r="F1291">
        <v>4423</v>
      </c>
      <c r="G1291">
        <v>193530</v>
      </c>
      <c r="H1291" s="1">
        <v>46261</v>
      </c>
      <c r="I1291" t="str">
        <v>6-229-15-A</v>
      </c>
      <c r="K1291" t="str">
        <f>IF(ISERROR(MATCH(WORKORDER[[#This Row],[TRAVELER]],Table1[TRAVELER],0)),K1291,"Shipped")</f>
        <v>Shipped</v>
      </c>
      <c r="L1291">
        <f>+IF(ISERROR(MATCH(WORKORDER[[#This Row],[TRAVELER]],Table1[TRAVELER],0)),L1291,'PACKING SLIP'!$F$5)</f>
        <v>30069</v>
      </c>
    </row>
    <row r="1292">
      <c r="A1292">
        <v>716318</v>
      </c>
      <c r="B1292" t="str">
        <v>06513404AA</v>
      </c>
      <c r="C1292">
        <v>213</v>
      </c>
      <c r="E1292">
        <v>1076</v>
      </c>
      <c r="F1292">
        <v>4311</v>
      </c>
      <c r="G1292">
        <v>193530</v>
      </c>
      <c r="H1292" s="1">
        <v>46261</v>
      </c>
      <c r="I1292" t="str">
        <v>6-229-15-B</v>
      </c>
      <c r="K1292" t="str">
        <f>IF(ISERROR(MATCH(WORKORDER[[#This Row],[TRAVELER]],Table1[TRAVELER],0)),K1292,"Shipped")</f>
        <v>Shipped</v>
      </c>
      <c r="L1292">
        <f>+IF(ISERROR(MATCH(WORKORDER[[#This Row],[TRAVELER]],Table1[TRAVELER],0)),L1292,'PACKING SLIP'!$F$5)</f>
        <v>30069</v>
      </c>
    </row>
    <row r="1293">
      <c r="A1293">
        <v>716319</v>
      </c>
      <c r="B1293" t="str">
        <v>06513404AA</v>
      </c>
      <c r="C1293">
        <v>1369</v>
      </c>
      <c r="E1293">
        <v>1145</v>
      </c>
      <c r="F1293">
        <v>4587</v>
      </c>
      <c r="G1293">
        <v>193530</v>
      </c>
      <c r="H1293" s="1">
        <v>46261</v>
      </c>
      <c r="I1293" t="str">
        <v>6-229-15-C</v>
      </c>
      <c r="K1293" t="str">
        <v>Shipped</v>
      </c>
      <c r="L1293">
        <v>30046</v>
      </c>
    </row>
    <row r="1294">
      <c r="A1294">
        <v>716320</v>
      </c>
      <c r="B1294" t="str">
        <v>06513404AA</v>
      </c>
      <c r="C1294">
        <v>1609</v>
      </c>
      <c r="E1294">
        <v>1043</v>
      </c>
      <c r="F1294">
        <v>4179</v>
      </c>
      <c r="G1294">
        <v>193530</v>
      </c>
      <c r="H1294" s="1">
        <v>46261</v>
      </c>
      <c r="I1294" t="str">
        <v>6-229-15-D</v>
      </c>
      <c r="K1294" t="str">
        <f>IF(ISERROR(MATCH(WORKORDER[[#This Row],[TRAVELER]],Table1[TRAVELER],0)),K1294,"Shipped")</f>
        <v>Shipped</v>
      </c>
      <c r="L1294">
        <f>+IF(ISERROR(MATCH(WORKORDER[[#This Row],[TRAVELER]],Table1[TRAVELER],0)),L1294,'PACKING SLIP'!$F$5)</f>
        <v>30082</v>
      </c>
    </row>
    <row r="1295">
      <c r="A1295">
        <v>716321</v>
      </c>
      <c r="B1295" t="str">
        <v>06513404AA</v>
      </c>
      <c r="C1295">
        <v>832</v>
      </c>
      <c r="E1295">
        <v>1122</v>
      </c>
      <c r="F1295">
        <v>4495</v>
      </c>
      <c r="G1295">
        <v>193530</v>
      </c>
      <c r="H1295" s="1">
        <v>46261</v>
      </c>
      <c r="I1295" t="str">
        <v>6-229-15-E</v>
      </c>
      <c r="K1295" t="str">
        <v>Shipped</v>
      </c>
      <c r="L1295">
        <v>30046</v>
      </c>
    </row>
    <row r="1296">
      <c r="A1296">
        <v>716322</v>
      </c>
      <c r="B1296" t="str">
        <v>06513404AA</v>
      </c>
      <c r="C1296">
        <v>1698</v>
      </c>
      <c r="E1296">
        <v>1047</v>
      </c>
      <c r="F1296">
        <v>4195</v>
      </c>
      <c r="G1296">
        <v>193530</v>
      </c>
      <c r="H1296" s="1">
        <v>46261</v>
      </c>
      <c r="I1296" t="str">
        <v>6-229-15-F</v>
      </c>
      <c r="K1296" t="str">
        <f>IF(ISERROR(MATCH(WORKORDER[[#This Row],[TRAVELER]],Table1[TRAVELER],0)),K1296,"Shipped")</f>
        <v>Shipped</v>
      </c>
      <c r="L1296">
        <f>+IF(ISERROR(MATCH(WORKORDER[[#This Row],[TRAVELER]],Table1[TRAVELER],0)),L1296,'PACKING SLIP'!$F$5)</f>
        <v>30082</v>
      </c>
    </row>
    <row r="1297">
      <c r="A1297">
        <v>716323</v>
      </c>
      <c r="B1297" t="str">
        <v>06513404AA</v>
      </c>
      <c r="C1297">
        <v>834</v>
      </c>
      <c r="E1297">
        <v>1153</v>
      </c>
      <c r="F1297">
        <v>4619</v>
      </c>
      <c r="G1297">
        <v>193530</v>
      </c>
      <c r="H1297" s="1">
        <v>46261</v>
      </c>
      <c r="I1297" t="str">
        <v>6-229-15-G</v>
      </c>
      <c r="K1297" t="str">
        <v>Shipped</v>
      </c>
      <c r="L1297">
        <v>30046</v>
      </c>
    </row>
    <row r="1298">
      <c r="A1298">
        <v>716324</v>
      </c>
      <c r="B1298" t="str">
        <v>06513404AA</v>
      </c>
      <c r="C1298">
        <v>576</v>
      </c>
      <c r="E1298">
        <v>1056</v>
      </c>
      <c r="F1298">
        <v>4231</v>
      </c>
      <c r="G1298">
        <v>193530</v>
      </c>
      <c r="H1298" s="1">
        <v>46261</v>
      </c>
      <c r="I1298" t="str">
        <v>6-229-15-H</v>
      </c>
      <c r="K1298" t="str">
        <v>Shipped</v>
      </c>
      <c r="L1298">
        <v>30046</v>
      </c>
    </row>
    <row r="1299">
      <c r="A1299">
        <v>717259</v>
      </c>
      <c r="B1299" t="str">
        <v>06100050-A</v>
      </c>
      <c r="C1299">
        <v>286</v>
      </c>
      <c r="E1299">
        <v>985</v>
      </c>
      <c r="F1299">
        <v>52394</v>
      </c>
      <c r="G1299">
        <v>193530</v>
      </c>
      <c r="H1299" s="1">
        <v>46261</v>
      </c>
      <c r="I1299" t="str">
        <v>6-238-17-A</v>
      </c>
      <c r="K1299" t="str">
        <f>IF(ISERROR(MATCH(WORKORDER[[#This Row],[TRAVELER]],Table1[TRAVELER],0)),K1299,"Shipped")</f>
        <v>Shipped</v>
      </c>
      <c r="L1299">
        <f>+IF(ISERROR(MATCH(WORKORDER[[#This Row],[TRAVELER]],Table1[TRAVELER],0)),L1299,'PACKING SLIP'!$F$5)</f>
        <v>30067</v>
      </c>
    </row>
    <row r="1300">
      <c r="A1300">
        <v>717260</v>
      </c>
      <c r="B1300" t="str">
        <v>06100050-A</v>
      </c>
      <c r="C1300">
        <v>513</v>
      </c>
      <c r="E1300">
        <v>1045</v>
      </c>
      <c r="F1300">
        <v>55585</v>
      </c>
      <c r="G1300">
        <v>193530</v>
      </c>
      <c r="H1300" s="1">
        <v>46261</v>
      </c>
      <c r="I1300" t="str">
        <v>6-238-17-B</v>
      </c>
      <c r="K1300" t="str">
        <f>IF(ISERROR(MATCH(WORKORDER[[#This Row],[TRAVELER]],Table1[TRAVELER],0)),K1300,"Shipped")</f>
        <v>Shipped</v>
      </c>
      <c r="L1300">
        <f>+IF(ISERROR(MATCH(WORKORDER[[#This Row],[TRAVELER]],Table1[TRAVELER],0)),L1300,'PACKING SLIP'!$F$5)</f>
        <v>30080</v>
      </c>
    </row>
    <row r="1301">
      <c r="A1301">
        <v>717261</v>
      </c>
      <c r="B1301" t="str">
        <v>06100050-A</v>
      </c>
      <c r="C1301">
        <v>370</v>
      </c>
      <c r="E1301">
        <v>1024</v>
      </c>
      <c r="F1301">
        <v>54468</v>
      </c>
      <c r="G1301">
        <v>193530</v>
      </c>
      <c r="H1301" s="1">
        <v>46261</v>
      </c>
      <c r="I1301" t="str">
        <v>6-238-17-C</v>
      </c>
      <c r="K1301" t="str">
        <f>IF(ISERROR(MATCH(WORKORDER[[#This Row],[TRAVELER]],Table1[TRAVELER],0)),K1301,"Shipped")</f>
        <v>Shipped</v>
      </c>
      <c r="L1301">
        <f>+IF(ISERROR(MATCH(WORKORDER[[#This Row],[TRAVELER]],Table1[TRAVELER],0)),L1301,'PACKING SLIP'!$F$5)</f>
        <v>30072</v>
      </c>
    </row>
    <row r="1302">
      <c r="A1302">
        <v>717263</v>
      </c>
      <c r="B1302" t="str">
        <v>06100050-A</v>
      </c>
      <c r="C1302">
        <v>348</v>
      </c>
      <c r="E1302">
        <v>1035</v>
      </c>
      <c r="F1302">
        <v>55053</v>
      </c>
      <c r="G1302">
        <v>193530</v>
      </c>
      <c r="H1302" s="1">
        <v>46261</v>
      </c>
      <c r="I1302" t="str">
        <v>6-238-18-A</v>
      </c>
      <c r="K1302" t="str">
        <f>IF(ISERROR(MATCH(WORKORDER[[#This Row],[TRAVELER]],Table1[TRAVELER],0)),K1302,"Shipped")</f>
        <v>Shipped</v>
      </c>
      <c r="L1302">
        <f>+IF(ISERROR(MATCH(WORKORDER[[#This Row],[TRAVELER]],Table1[TRAVELER],0)),L1302,'PACKING SLIP'!$F$5)</f>
        <v>30049</v>
      </c>
    </row>
    <row r="1303">
      <c r="A1303">
        <v>717264</v>
      </c>
      <c r="B1303" t="str">
        <v>06100050-A</v>
      </c>
      <c r="C1303">
        <v>1707</v>
      </c>
      <c r="E1303">
        <v>1024</v>
      </c>
      <c r="F1303">
        <v>54468</v>
      </c>
      <c r="G1303">
        <v>193530</v>
      </c>
      <c r="H1303" s="1">
        <v>46261</v>
      </c>
      <c r="I1303" t="str">
        <v>6-238-18-B</v>
      </c>
      <c r="K1303" t="str">
        <f>IF(ISERROR(MATCH(WORKORDER[[#This Row],[TRAVELER]],Table1[TRAVELER],0)),K1303,"Shipped")</f>
        <v>Shipped</v>
      </c>
      <c r="L1303">
        <f>+IF(ISERROR(MATCH(WORKORDER[[#This Row],[TRAVELER]],Table1[TRAVELER],0)),L1303,'PACKING SLIP'!$F$5)</f>
        <v>30059</v>
      </c>
    </row>
    <row r="1304">
      <c r="A1304">
        <v>717265</v>
      </c>
      <c r="B1304" t="str">
        <v>06100050-A</v>
      </c>
      <c r="C1304">
        <v>1342</v>
      </c>
      <c r="E1304">
        <v>1240</v>
      </c>
      <c r="F1304">
        <v>65957</v>
      </c>
      <c r="G1304">
        <v>193530</v>
      </c>
      <c r="H1304" s="1">
        <v>46261</v>
      </c>
      <c r="I1304" t="str">
        <v>6-238-19-A</v>
      </c>
      <c r="K1304" t="str">
        <f>IF(ISERROR(MATCH(WORKORDER[[#This Row],[TRAVELER]],Table1[TRAVELER],0)),K1304,"Shipped")</f>
        <v>Shipped</v>
      </c>
      <c r="L1304">
        <f>+IF(ISERROR(MATCH(WORKORDER[[#This Row],[TRAVELER]],Table1[TRAVELER],0)),L1304,'PACKING SLIP'!$F$5)</f>
        <v>30061</v>
      </c>
    </row>
    <row r="1305">
      <c r="A1305">
        <v>717266</v>
      </c>
      <c r="B1305" t="str">
        <v>06100050-A</v>
      </c>
      <c r="C1305">
        <v>81</v>
      </c>
      <c r="E1305">
        <v>1259</v>
      </c>
      <c r="F1305">
        <v>66968</v>
      </c>
      <c r="G1305">
        <v>193530</v>
      </c>
      <c r="H1305" s="1">
        <v>46261</v>
      </c>
      <c r="I1305" t="str">
        <v>6-238-19-B</v>
      </c>
      <c r="K1305" t="str">
        <f>IF(ISERROR(MATCH(WORKORDER[[#This Row],[TRAVELER]],Table1[TRAVELER],0)),K1305,"Shipped")</f>
        <v>Shipped</v>
      </c>
      <c r="L1305">
        <f>+IF(ISERROR(MATCH(WORKORDER[[#This Row],[TRAVELER]],Table1[TRAVELER],0)),L1305,'PACKING SLIP'!$F$5)</f>
        <v>30059</v>
      </c>
    </row>
    <row r="1306">
      <c r="A1306">
        <v>717267</v>
      </c>
      <c r="B1306" t="str">
        <v>06100050-A</v>
      </c>
      <c r="C1306">
        <v>1344</v>
      </c>
      <c r="E1306">
        <v>1061</v>
      </c>
      <c r="F1306">
        <v>56436</v>
      </c>
      <c r="G1306">
        <v>193530</v>
      </c>
      <c r="H1306" s="1">
        <v>46261</v>
      </c>
      <c r="I1306" t="str">
        <v>6-238-19-C</v>
      </c>
      <c r="K1306" t="str">
        <v>Shipped</v>
      </c>
      <c r="L1306">
        <v>30046</v>
      </c>
    </row>
    <row r="1307">
      <c r="A1307">
        <v>717977</v>
      </c>
      <c r="B1307" t="str">
        <v>W705606-S440</v>
      </c>
      <c r="C1307" t="str">
        <v>KIB</v>
      </c>
      <c r="E1307">
        <v>1694</v>
      </c>
      <c r="F1307">
        <v>35000</v>
      </c>
      <c r="G1307">
        <v>193530</v>
      </c>
      <c r="H1307" s="1">
        <v>46261</v>
      </c>
      <c r="I1307" t="str">
        <v>6-238-20-A</v>
      </c>
      <c r="K1307" t="str">
        <f>IF(ISERROR(MATCH(WORKORDER[[#This Row],[TRAVELER]],Table1[TRAVELER],0)),K1307,"Shipped")</f>
        <v>Shipped</v>
      </c>
      <c r="L1307">
        <f>+IF(ISERROR(MATCH(WORKORDER[[#This Row],[TRAVELER]],Table1[TRAVELER],0)),L1307,'PACKING SLIP'!$F$5)</f>
        <v>30065</v>
      </c>
    </row>
    <row r="1308">
      <c r="A1308">
        <v>717978</v>
      </c>
      <c r="B1308" t="str">
        <v>W705606-S440</v>
      </c>
      <c r="C1308" t="str">
        <v>KIB</v>
      </c>
      <c r="G1308">
        <v>193530</v>
      </c>
      <c r="K1308" t="str">
        <f>IF(ISERROR(MATCH(WORKORDER[[#This Row],[TRAVELER]],Table1[TRAVELER],0)),K1308,"Shipped")</f>
        <v>Shipped</v>
      </c>
      <c r="L1308">
        <f>+IF(ISERROR(MATCH([1]!WORKORDER[[#This Row],[TRAVELER]],[1]!Table1[TRAVELER],0)),L1308,#REF!)</f>
        <v>0</v>
      </c>
    </row>
    <row r="1309">
      <c r="A1309">
        <v>717979</v>
      </c>
      <c r="B1309" t="str">
        <v>W705606-S440</v>
      </c>
      <c r="C1309" t="str">
        <v>KIB</v>
      </c>
      <c r="E1309">
        <v>1694</v>
      </c>
      <c r="F1309">
        <v>35000</v>
      </c>
      <c r="G1309">
        <v>193530</v>
      </c>
      <c r="H1309" s="1">
        <v>46261</v>
      </c>
      <c r="I1309" t="str">
        <v>6-238-20-C</v>
      </c>
      <c r="K1309" t="str">
        <f>IF(ISERROR(MATCH(WORKORDER[[#This Row],[TRAVELER]],Table1[TRAVELER],0)),K1309,"Shipped")</f>
        <v>Shipped</v>
      </c>
      <c r="L1309">
        <f>+IF(ISERROR(MATCH(WORKORDER[[#This Row],[TRAVELER]],Table1[TRAVELER],0)),L1309,'PACKING SLIP'!$F$5)</f>
        <v>30065</v>
      </c>
    </row>
    <row r="1310">
      <c r="A1310">
        <v>717980</v>
      </c>
      <c r="B1310" t="str">
        <v>W705606-S440</v>
      </c>
      <c r="C1310" t="str">
        <v>KIB</v>
      </c>
      <c r="G1310">
        <v>193530</v>
      </c>
      <c r="H1310" s="1">
        <v>46261</v>
      </c>
      <c r="K1310" t="str">
        <f>IF(ISERROR(MATCH(WORKORDER[[#This Row],[TRAVELER]],Table1[TRAVELER],0)),K1310,"Shipped")</f>
        <v>Shipped</v>
      </c>
      <c r="L1310">
        <f>+IF(ISERROR(MATCH([1]!WORKORDER[[#This Row],[TRAVELER]],[1]!Table1[TRAVELER],0)),L1310,#REF!)</f>
        <v>0</v>
      </c>
    </row>
    <row r="1311">
      <c r="A1311">
        <v>717103</v>
      </c>
      <c r="B1311" t="str">
        <v>NU1510-00</v>
      </c>
      <c r="C1311">
        <v>755</v>
      </c>
      <c r="E1311">
        <v>1096</v>
      </c>
      <c r="F1311">
        <v>40000</v>
      </c>
      <c r="G1311">
        <v>193551</v>
      </c>
      <c r="H1311" s="1">
        <v>46261</v>
      </c>
      <c r="I1311" t="str">
        <v>6-239-25-A</v>
      </c>
      <c r="K1311" t="str">
        <f>IF(ISERROR(MATCH(WORKORDER[[#This Row],[TRAVELER]],Table1[TRAVELER],0)),K1311,"Shipped")</f>
        <v>Shipped</v>
      </c>
      <c r="L1311">
        <f>+IF(ISERROR(MATCH(WORKORDER[[#This Row],[TRAVELER]],Table1[TRAVELER],0)),L1311,'PACKING SLIP'!$F$5)</f>
        <v>30074</v>
      </c>
    </row>
    <row r="1312">
      <c r="A1312">
        <v>717104</v>
      </c>
      <c r="B1312" t="str">
        <v>NU1510-00</v>
      </c>
      <c r="C1312">
        <v>1429</v>
      </c>
      <c r="E1312">
        <v>1096</v>
      </c>
      <c r="F1312">
        <v>40000</v>
      </c>
      <c r="G1312">
        <v>193551</v>
      </c>
      <c r="H1312" s="1">
        <v>46261</v>
      </c>
      <c r="I1312" t="str">
        <v>6-239-25-B</v>
      </c>
      <c r="K1312" t="str">
        <f>IF(ISERROR(MATCH(WORKORDER[[#This Row],[TRAVELER]],Table1[TRAVELER],0)),K1312,"Shipped")</f>
        <v>Shipped</v>
      </c>
      <c r="L1312">
        <f>+IF(ISERROR(MATCH(WORKORDER[[#This Row],[TRAVELER]],Table1[TRAVELER],0)),L1312,'PACKING SLIP'!$F$5)</f>
        <v>30074</v>
      </c>
    </row>
    <row r="1313">
      <c r="A1313">
        <v>717161</v>
      </c>
      <c r="B1313">
        <v>11546571</v>
      </c>
      <c r="C1313">
        <v>1365</v>
      </c>
      <c r="E1313">
        <v>858</v>
      </c>
      <c r="F1313">
        <v>51377</v>
      </c>
      <c r="G1313">
        <v>193551</v>
      </c>
      <c r="H1313" s="1">
        <v>46261</v>
      </c>
      <c r="I1313" t="str">
        <v>6-239-24-A</v>
      </c>
      <c r="K1313">
        <f>IF(ISERROR(MATCH(WORKORDER[[#This Row],[TRAVELER]],Table1[TRAVELER],0)),K1313,"Shipped")</f>
        <v>0</v>
      </c>
      <c r="L1313">
        <f>+IF(ISERROR(MATCH(WORKORDER[[#This Row],[TRAVELER]],Table1[TRAVELER],0)),L1313,'PACKING SLIP'!$F$5)</f>
        <v>0</v>
      </c>
    </row>
    <row r="1314">
      <c r="A1314">
        <v>717162</v>
      </c>
      <c r="B1314">
        <v>11546571</v>
      </c>
      <c r="C1314">
        <v>915</v>
      </c>
      <c r="E1314">
        <v>802</v>
      </c>
      <c r="F1314">
        <v>48024</v>
      </c>
      <c r="G1314">
        <v>193551</v>
      </c>
      <c r="H1314" s="1">
        <v>46261</v>
      </c>
      <c r="I1314" t="str">
        <v>6-239-24-B</v>
      </c>
      <c r="K1314" t="str">
        <f>IF(ISERROR(MATCH(WORKORDER[[#This Row],[TRAVELER]],Table1[TRAVELER],0)),K1314,"Shipped")</f>
        <v>Shipped</v>
      </c>
      <c r="L1314">
        <f>+IF(ISERROR(MATCH(WORKORDER[[#This Row],[TRAVELER]],Table1[TRAVELER],0)),L1314,'PACKING SLIP'!$F$5)</f>
        <v>30067</v>
      </c>
    </row>
    <row r="1315">
      <c r="A1315">
        <v>714532</v>
      </c>
      <c r="B1315" t="str">
        <v>11546366-MY-AK</v>
      </c>
      <c r="C1315">
        <v>737</v>
      </c>
      <c r="E1315">
        <v>1122</v>
      </c>
      <c r="F1315">
        <v>40505</v>
      </c>
      <c r="G1315">
        <v>193570</v>
      </c>
      <c r="H1315" s="1">
        <v>46262</v>
      </c>
      <c r="I1315" t="str">
        <v>TRAVELERRECEIVED</v>
      </c>
      <c r="K1315" t="str">
        <v>Shipped</v>
      </c>
      <c r="L1315">
        <f>+IF(ISERROR(MATCH(WORKORDER[[#This Row],[TRAVELER]],Table1[TRAVELER],0)),L1315,'PACKING SLIP'!$F$5)</f>
        <v>30059</v>
      </c>
    </row>
    <row r="1316">
      <c r="A1316">
        <v>714533</v>
      </c>
      <c r="B1316" t="str">
        <v>11546366-MY-AK</v>
      </c>
      <c r="C1316">
        <v>1115</v>
      </c>
      <c r="E1316">
        <v>852</v>
      </c>
      <c r="F1316">
        <v>30758</v>
      </c>
      <c r="G1316">
        <v>193570</v>
      </c>
      <c r="H1316" s="1">
        <v>46262</v>
      </c>
      <c r="I1316" t="str">
        <v>TRAVELERRECEIVED</v>
      </c>
      <c r="K1316" t="str">
        <f>IF(ISERROR(MATCH(WORKORDER[[#This Row],[TRAVELER]],Table1[TRAVELER],0)),K1316,"Shipped")</f>
        <v>Shipped</v>
      </c>
      <c r="L1316">
        <f>+IF(ISERROR(MATCH(WORKORDER[[#This Row],[TRAVELER]],Table1[TRAVELER],0)),L1316,'PACKING SLIP'!$F$5)</f>
        <v>30065</v>
      </c>
    </row>
    <row r="1317">
      <c r="A1317">
        <v>716817</v>
      </c>
      <c r="B1317" t="str">
        <v>11546365-MY-AK</v>
      </c>
      <c r="C1317">
        <v>1516</v>
      </c>
      <c r="E1317">
        <v>1120</v>
      </c>
      <c r="F1317">
        <v>65497</v>
      </c>
      <c r="G1317">
        <v>193570</v>
      </c>
      <c r="H1317" s="1">
        <v>46262</v>
      </c>
      <c r="I1317" t="str">
        <v>TRAVELERRECEIVED</v>
      </c>
      <c r="K1317" t="str">
        <f>IF(ISERROR(MATCH(WORKORDER[[#This Row],[TRAVELER]],Table1[TRAVELER],0)),K1317,"Shipped")</f>
        <v>Shipped</v>
      </c>
      <c r="L1317">
        <f>+IF(ISERROR(MATCH(WORKORDER[[#This Row],[TRAVELER]],Table1[TRAVELER],0)),L1317,'PACKING SLIP'!$F$5)</f>
        <v>30069</v>
      </c>
    </row>
    <row r="1318">
      <c r="A1318">
        <v>716818</v>
      </c>
      <c r="B1318" t="str">
        <v>11546365-MY-AK</v>
      </c>
      <c r="C1318">
        <v>1570</v>
      </c>
      <c r="E1318">
        <v>1137</v>
      </c>
      <c r="F1318">
        <v>66491</v>
      </c>
      <c r="G1318">
        <v>193570</v>
      </c>
      <c r="H1318" s="1">
        <v>46262</v>
      </c>
      <c r="K1318" t="str">
        <f>IF(ISERROR(MATCH(WORKORDER[[#This Row],[TRAVELER]],Table1[TRAVELER],0)),K1318,"Shipped")</f>
        <v>Shipped</v>
      </c>
      <c r="L1318">
        <f>+IF(ISERROR(MATCH(WORKORDER[[#This Row],[TRAVELER]],Table1[TRAVELER],0)),L1318,'PACKING SLIP'!$F$5)</f>
        <v>30067</v>
      </c>
    </row>
    <row r="1319">
      <c r="A1319">
        <v>716819</v>
      </c>
      <c r="B1319" t="str">
        <v>11546365-MY-AK</v>
      </c>
      <c r="C1319">
        <v>310</v>
      </c>
      <c r="E1319">
        <v>940</v>
      </c>
      <c r="F1319">
        <v>54971</v>
      </c>
      <c r="G1319">
        <v>193570</v>
      </c>
      <c r="H1319" s="1">
        <v>46262</v>
      </c>
      <c r="I1319" t="str">
        <v>TRAVELERRECEIVED</v>
      </c>
      <c r="K1319" t="str">
        <f>IF(ISERROR(MATCH(WORKORDER[[#This Row],[TRAVELER]],Table1[TRAVELER],0)),K1319,"Shipped")</f>
        <v>Shipped</v>
      </c>
      <c r="L1319">
        <f>+IF(ISERROR(MATCH(WORKORDER[[#This Row],[TRAVELER]],Table1[TRAVELER],0)),L1319,'PACKING SLIP'!$F$5)</f>
        <v>30092</v>
      </c>
    </row>
    <row r="1320">
      <c r="A1320">
        <v>716820</v>
      </c>
      <c r="B1320" t="str">
        <v>11546365-MY-AK</v>
      </c>
      <c r="C1320">
        <v>1838</v>
      </c>
      <c r="E1320">
        <v>930</v>
      </c>
      <c r="F1320">
        <v>54386</v>
      </c>
      <c r="G1320">
        <v>193570</v>
      </c>
      <c r="H1320" s="1">
        <v>46262</v>
      </c>
      <c r="K1320" t="str">
        <f>IF(ISERROR(MATCH(WORKORDER[[#This Row],[TRAVELER]],Table1[TRAVELER],0)),K1320,"Shipped")</f>
        <v>Shipped</v>
      </c>
      <c r="L1320">
        <f>+IF(ISERROR(MATCH(WORKORDER[[#This Row],[TRAVELER]],Table1[TRAVELER],0)),L1320,'PACKING SLIP'!$F$5)</f>
        <v>30067</v>
      </c>
    </row>
    <row r="1321">
      <c r="A1321">
        <v>716821</v>
      </c>
      <c r="B1321" t="str">
        <v>11546365-MY-AK</v>
      </c>
      <c r="C1321">
        <v>1653</v>
      </c>
      <c r="E1321">
        <v>1120</v>
      </c>
      <c r="F1321">
        <v>65497</v>
      </c>
      <c r="G1321">
        <v>193570</v>
      </c>
      <c r="H1321" s="1">
        <v>46262</v>
      </c>
      <c r="I1321" t="str">
        <v>TRAVELERRECEIVED</v>
      </c>
      <c r="K1321" t="str">
        <f>IF(ISERROR(MATCH(WORKORDER[[#This Row],[TRAVELER]],Table1[TRAVELER],0)),K1321,"Shipped")</f>
        <v>Shipped</v>
      </c>
      <c r="L1321">
        <f>+IF(ISERROR(MATCH(WORKORDER[[#This Row],[TRAVELER]],Table1[TRAVELER],0)),L1321,'PACKING SLIP'!$F$5)</f>
        <v>30101</v>
      </c>
    </row>
    <row r="1322">
      <c r="A1322">
        <v>716822</v>
      </c>
      <c r="B1322" t="str">
        <v>11546365-MY-AK</v>
      </c>
      <c r="C1322">
        <v>1756</v>
      </c>
      <c r="E1322">
        <v>1148</v>
      </c>
      <c r="F1322">
        <v>67135</v>
      </c>
      <c r="G1322">
        <v>193570</v>
      </c>
      <c r="H1322" s="1">
        <v>46262</v>
      </c>
      <c r="I1322" t="str">
        <v>TRAVELERRECEIVED</v>
      </c>
      <c r="K1322" t="str">
        <f>IF(ISERROR(MATCH(WORKORDER[[#This Row],[TRAVELER]],Table1[TRAVELER],0)),K1322,"Shipped")</f>
        <v>Shipped</v>
      </c>
      <c r="L1322">
        <f>+IF(ISERROR(MATCH(WORKORDER[[#This Row],[TRAVELER]],Table1[TRAVELER],0)),L1322,'PACKING SLIP'!$F$5)</f>
        <v>30069</v>
      </c>
    </row>
    <row r="1323">
      <c r="A1323">
        <v>717137</v>
      </c>
      <c r="B1323" t="str">
        <v>11546545-TH-TC</v>
      </c>
      <c r="C1323">
        <v>284</v>
      </c>
      <c r="E1323">
        <v>1001</v>
      </c>
      <c r="F1323">
        <v>77000</v>
      </c>
      <c r="G1323">
        <v>193570</v>
      </c>
      <c r="H1323" s="1">
        <v>46262</v>
      </c>
      <c r="I1323" t="str">
        <v>TRAVELERRECEIVED</v>
      </c>
      <c r="K1323" t="str">
        <f>IF(ISERROR(MATCH(WORKORDER[[#This Row],[TRAVELER]],Table1[TRAVELER],0)),K1323,"Shipped")</f>
        <v>Shipped</v>
      </c>
      <c r="L1323">
        <f>+IF(ISERROR(MATCH(WORKORDER[[#This Row],[TRAVELER]],Table1[TRAVELER],0)),L1323,'PACKING SLIP'!$F$5)</f>
        <v>30057</v>
      </c>
    </row>
    <row r="1324">
      <c r="A1324">
        <v>717138</v>
      </c>
      <c r="B1324" t="str">
        <v>11546545-TH-TC</v>
      </c>
      <c r="C1324">
        <v>546</v>
      </c>
      <c r="E1324">
        <v>1048</v>
      </c>
      <c r="F1324">
        <v>80615</v>
      </c>
      <c r="G1324">
        <v>193570</v>
      </c>
      <c r="H1324" s="1">
        <v>46262</v>
      </c>
      <c r="I1324" t="str">
        <v>TRAVELERRECEIVED</v>
      </c>
      <c r="K1324" t="str">
        <f>IF(ISERROR(MATCH(WORKORDER[[#This Row],[TRAVELER]],Table1[TRAVELER],0)),K1324,"Shipped")</f>
        <v>Shipped</v>
      </c>
      <c r="L1324">
        <f>+IF(ISERROR(MATCH(WORKORDER[[#This Row],[TRAVELER]],Table1[TRAVELER],0)),L1324,'PACKING SLIP'!$F$5)</f>
        <v>30061</v>
      </c>
    </row>
    <row r="1325">
      <c r="A1325">
        <v>717139</v>
      </c>
      <c r="B1325" t="str">
        <v>11546545-TH-TC</v>
      </c>
      <c r="C1325">
        <v>511</v>
      </c>
      <c r="E1325">
        <v>917</v>
      </c>
      <c r="F1325">
        <v>70538</v>
      </c>
      <c r="G1325">
        <v>193570</v>
      </c>
      <c r="H1325" s="1">
        <v>46262</v>
      </c>
      <c r="I1325" t="str">
        <v>TRAVELERRECEIVED</v>
      </c>
      <c r="K1325" t="str">
        <f>IF(ISERROR(MATCH(WORKORDER[[#This Row],[TRAVELER]],Table1[TRAVELER],0)),K1325,"Shipped")</f>
        <v>Shipped</v>
      </c>
      <c r="L1325">
        <f>+IF(ISERROR(MATCH(WORKORDER[[#This Row],[TRAVELER]],Table1[TRAVELER],0)),L1325,'PACKING SLIP'!$F$5)</f>
        <v>0</v>
      </c>
    </row>
    <row r="1326">
      <c r="A1326">
        <v>717210</v>
      </c>
      <c r="B1326" t="str">
        <v>11549171-MY-AK</v>
      </c>
      <c r="C1326">
        <v>1414</v>
      </c>
      <c r="E1326">
        <v>1075</v>
      </c>
      <c r="F1326">
        <v>9348</v>
      </c>
      <c r="G1326">
        <v>193570</v>
      </c>
      <c r="H1326" s="1">
        <v>46262</v>
      </c>
      <c r="I1326" t="str">
        <v>TRAVELERRECEIVED</v>
      </c>
      <c r="K1326" t="str">
        <f>IF(ISERROR(MATCH(WORKORDER[[#This Row],[TRAVELER]],Table1[TRAVELER],0)),K1326,"Shipped")</f>
        <v>Shipped</v>
      </c>
      <c r="L1326">
        <f>+IF(ISERROR(MATCH(WORKORDER[[#This Row],[TRAVELER]],Table1[TRAVELER],0)),L1326,'PACKING SLIP'!$F$5)</f>
        <v>30065</v>
      </c>
    </row>
    <row r="1327">
      <c r="A1327">
        <v>717211</v>
      </c>
      <c r="B1327" t="str">
        <v>11549171-MY-AK</v>
      </c>
      <c r="C1327">
        <v>397</v>
      </c>
      <c r="E1327">
        <v>1226</v>
      </c>
      <c r="F1327">
        <v>10661</v>
      </c>
      <c r="G1327">
        <v>193570</v>
      </c>
      <c r="H1327" s="1">
        <v>46262</v>
      </c>
      <c r="I1327" t="str">
        <v>TRAVELERRECEIVED</v>
      </c>
      <c r="K1327" t="str">
        <f>IF(ISERROR(MATCH(WORKORDER[[#This Row],[TRAVELER]],Table1[TRAVELER],0)),K1327,"Shipped")</f>
        <v>Shipped</v>
      </c>
      <c r="L1327">
        <f>+IF(ISERROR(MATCH(WORKORDER[[#This Row],[TRAVELER]],Table1[TRAVELER],0)),L1327,'PACKING SLIP'!$F$5)</f>
        <v>30082</v>
      </c>
    </row>
    <row r="1328">
      <c r="A1328">
        <v>717212</v>
      </c>
      <c r="B1328" t="str">
        <v>11549171-MY-AK</v>
      </c>
      <c r="C1328">
        <v>801</v>
      </c>
      <c r="E1328">
        <v>986</v>
      </c>
      <c r="F1328">
        <v>8574</v>
      </c>
      <c r="G1328">
        <v>193570</v>
      </c>
      <c r="H1328" s="1">
        <v>46262</v>
      </c>
      <c r="I1328" t="str">
        <v>TRAVELERRECEIVED</v>
      </c>
      <c r="K1328" t="str">
        <f>IF(ISERROR(MATCH(WORKORDER[[#This Row],[TRAVELER]],Table1[TRAVELER],0)),K1328,"Shipped")</f>
        <v>Shipped</v>
      </c>
      <c r="L1328">
        <f>+IF(ISERROR(MATCH(WORKORDER[[#This Row],[TRAVELER]],Table1[TRAVELER],0)),L1328,'PACKING SLIP'!$F$5)</f>
        <v>30057</v>
      </c>
    </row>
    <row r="1329">
      <c r="A1329">
        <v>717213</v>
      </c>
      <c r="B1329" t="str">
        <v>11549171-MY-AK</v>
      </c>
      <c r="C1329">
        <v>180</v>
      </c>
      <c r="E1329">
        <v>1121</v>
      </c>
      <c r="F1329">
        <v>9748</v>
      </c>
      <c r="G1329">
        <v>193570</v>
      </c>
      <c r="H1329" s="1">
        <v>46262</v>
      </c>
      <c r="I1329" t="str">
        <v>TRAVELERRECEIVED</v>
      </c>
      <c r="K1329" t="str">
        <f>IF(ISERROR(MATCH(WORKORDER[[#This Row],[TRAVELER]],Table1[TRAVELER],0)),K1329,"Shipped")</f>
        <v>Shipped</v>
      </c>
      <c r="L1329">
        <f>+IF(ISERROR(MATCH(WORKORDER[[#This Row],[TRAVELER]],Table1[TRAVELER],0)),L1329,'PACKING SLIP'!$F$5)</f>
        <v>30059</v>
      </c>
    </row>
    <row r="1330">
      <c r="A1330">
        <v>717214</v>
      </c>
      <c r="B1330" t="str">
        <v>11549171-MY-AK</v>
      </c>
      <c r="C1330">
        <v>337</v>
      </c>
      <c r="E1330">
        <v>1091</v>
      </c>
      <c r="F1330">
        <v>9487</v>
      </c>
      <c r="G1330">
        <v>193570</v>
      </c>
      <c r="H1330" s="1">
        <v>46262</v>
      </c>
      <c r="I1330" t="str">
        <v>TRAVELERRECEIVED</v>
      </c>
      <c r="K1330">
        <f>IF(ISERROR(MATCH(WORKORDER[[#This Row],[TRAVELER]],Table1[TRAVELER],0)),K1330,"Shipped")</f>
        <v>0</v>
      </c>
      <c r="L1330">
        <f>+IF(ISERROR(MATCH(WORKORDER[[#This Row],[TRAVELER]],Table1[TRAVELER],0)),L1330,'PACKING SLIP'!$F$5)</f>
        <v>0</v>
      </c>
    </row>
    <row r="1331">
      <c r="A1331">
        <v>717215</v>
      </c>
      <c r="B1331" t="str">
        <v>11549171-MY-AK</v>
      </c>
      <c r="C1331">
        <v>60</v>
      </c>
      <c r="E1331">
        <v>1136</v>
      </c>
      <c r="F1331">
        <v>9878</v>
      </c>
      <c r="G1331">
        <v>193570</v>
      </c>
      <c r="H1331" s="1">
        <v>46262</v>
      </c>
      <c r="I1331" t="str">
        <v>TRAVELERRECEIVED</v>
      </c>
      <c r="K1331" t="str">
        <f>IF(ISERROR(MATCH(WORKORDER[[#This Row],[TRAVELER]],Table1[TRAVELER],0)),K1331,"Shipped")</f>
        <v>Shipped</v>
      </c>
      <c r="L1331">
        <f>+IF(ISERROR(MATCH(WORKORDER[[#This Row],[TRAVELER]],Table1[TRAVELER],0)),L1331,'PACKING SLIP'!$F$5)</f>
        <v>30059</v>
      </c>
    </row>
    <row r="1332">
      <c r="A1332">
        <v>717216</v>
      </c>
      <c r="B1332" t="str">
        <v>11549171-MY-AK</v>
      </c>
      <c r="C1332">
        <v>849</v>
      </c>
      <c r="E1332">
        <v>1068</v>
      </c>
      <c r="F1332">
        <v>9287</v>
      </c>
      <c r="G1332">
        <v>193570</v>
      </c>
      <c r="H1332" s="1">
        <v>46262</v>
      </c>
      <c r="I1332" t="str">
        <v>TRAVELERRECEIVED</v>
      </c>
      <c r="K1332" t="str">
        <f>IF(ISERROR(MATCH(WORKORDER[[#This Row],[TRAVELER]],Table1[TRAVELER],0)),K1332,"Shipped")</f>
        <v>Shipped</v>
      </c>
      <c r="L1332">
        <f>+IF(ISERROR(MATCH(WORKORDER[[#This Row],[TRAVELER]],Table1[TRAVELER],0)),L1332,'PACKING SLIP'!$F$5)</f>
        <v>30067</v>
      </c>
    </row>
    <row r="1333">
      <c r="A1333">
        <v>717217</v>
      </c>
      <c r="B1333" t="str">
        <v>11549171-MY-AK</v>
      </c>
      <c r="C1333">
        <v>954</v>
      </c>
      <c r="E1333">
        <v>1091</v>
      </c>
      <c r="F1333">
        <v>9487</v>
      </c>
      <c r="G1333">
        <v>193570</v>
      </c>
      <c r="H1333" s="1">
        <v>46262</v>
      </c>
      <c r="I1333" t="str">
        <v>TRAVELERRECEIVED</v>
      </c>
      <c r="K1333" t="str">
        <f>IF(ISERROR(MATCH(WORKORDER[[#This Row],[TRAVELER]],Table1[TRAVELER],0)),K1333,"Shipped")</f>
        <v>Shipped</v>
      </c>
      <c r="L1333">
        <f>+IF(ISERROR(MATCH(WORKORDER[[#This Row],[TRAVELER]],Table1[TRAVELER],0)),L1333,'PACKING SLIP'!$F$5)</f>
        <v>30061</v>
      </c>
    </row>
    <row r="1334">
      <c r="A1334">
        <v>717218</v>
      </c>
      <c r="B1334" t="str">
        <v>11549171-MY-AK</v>
      </c>
      <c r="C1334">
        <v>974</v>
      </c>
      <c r="E1334">
        <v>1099</v>
      </c>
      <c r="F1334">
        <v>9557</v>
      </c>
      <c r="G1334">
        <v>193570</v>
      </c>
      <c r="H1334" s="1">
        <v>46262</v>
      </c>
      <c r="I1334" t="str">
        <v>TRAVELERRECEIVED</v>
      </c>
      <c r="K1334" t="str">
        <f>IF(ISERROR(MATCH(WORKORDER[[#This Row],[TRAVELER]],Table1[TRAVELER],0)),K1334,"Shipped")</f>
        <v>Shipped</v>
      </c>
      <c r="L1334">
        <f>+IF(ISERROR(MATCH(WORKORDER[[#This Row],[TRAVELER]],Table1[TRAVELER],0)),L1334,'PACKING SLIP'!$F$5)</f>
        <v>30059</v>
      </c>
    </row>
    <row r="1335">
      <c r="A1335">
        <v>717402</v>
      </c>
      <c r="B1335" t="str">
        <v>06101831-A</v>
      </c>
      <c r="C1335">
        <v>69</v>
      </c>
      <c r="E1335">
        <v>960</v>
      </c>
      <c r="F1335">
        <v>34783</v>
      </c>
      <c r="G1335">
        <v>193570</v>
      </c>
      <c r="H1335" s="1">
        <v>46262</v>
      </c>
      <c r="I1335" t="str">
        <v>TRAVELERRECEIVED</v>
      </c>
      <c r="K1335">
        <f>IF(ISERROR(MATCH(WORKORDER[[#This Row],[TRAVELER]],Table1[TRAVELER],0)),K1335,"Shipped")</f>
        <v>0</v>
      </c>
      <c r="L1335">
        <f>+IF(ISERROR(MATCH(WORKORDER[[#This Row],[TRAVELER]],Table1[TRAVELER],0)),L1335,'PACKING SLIP'!$F$5)</f>
        <v>0</v>
      </c>
    </row>
    <row r="1336">
      <c r="A1336">
        <v>717403</v>
      </c>
      <c r="B1336" t="str">
        <v>06101831-A</v>
      </c>
      <c r="C1336">
        <v>778</v>
      </c>
      <c r="E1336">
        <v>975</v>
      </c>
      <c r="F1336">
        <v>35326</v>
      </c>
      <c r="G1336">
        <v>193570</v>
      </c>
      <c r="H1336" s="1">
        <v>46262</v>
      </c>
      <c r="I1336" t="str">
        <v>TRAVELERRECEIVED</v>
      </c>
      <c r="K1336" t="str">
        <f>IF(ISERROR(MATCH(WORKORDER[[#This Row],[TRAVELER]],Table1[TRAVELER],0)),K1336,"Shipped")</f>
        <v>Shipped</v>
      </c>
      <c r="L1336">
        <f>+IF(ISERROR(MATCH(WORKORDER[[#This Row],[TRAVELER]],Table1[TRAVELER],0)),L1336,'PACKING SLIP'!$F$5)</f>
        <v>30098</v>
      </c>
    </row>
    <row r="1337">
      <c r="A1337">
        <v>717404</v>
      </c>
      <c r="B1337" t="str">
        <v>06101831-A</v>
      </c>
      <c r="C1337">
        <v>1320</v>
      </c>
      <c r="E1337">
        <v>19</v>
      </c>
      <c r="F1337">
        <v>677</v>
      </c>
      <c r="G1337">
        <v>193570</v>
      </c>
      <c r="H1337" s="1">
        <v>46262</v>
      </c>
      <c r="I1337" t="str">
        <v>TRAVELERRECEIVED</v>
      </c>
      <c r="K1337" t="str">
        <f>IF(ISERROR(MATCH(WORKORDER[[#This Row],[TRAVELER]],Table1[TRAVELER],0)),K1337,"Shipped")</f>
        <v>Shipped</v>
      </c>
      <c r="L1337">
        <f>+IF(ISERROR(MATCH(WORKORDER[[#This Row],[TRAVELER]],Table1[TRAVELER],0)),L1337,'PACKING SLIP'!$F$5)</f>
        <v>30082</v>
      </c>
    </row>
    <row r="1338">
      <c r="A1338">
        <v>717405</v>
      </c>
      <c r="B1338" t="str">
        <v>06101831-A</v>
      </c>
      <c r="C1338">
        <v>1101</v>
      </c>
      <c r="E1338">
        <v>1091</v>
      </c>
      <c r="F1338">
        <v>39529</v>
      </c>
      <c r="G1338">
        <v>193570</v>
      </c>
      <c r="H1338" s="1">
        <v>46262</v>
      </c>
      <c r="I1338" t="str">
        <v>TRAVELERRECEIVED</v>
      </c>
      <c r="K1338" t="str">
        <f>IF(ISERROR(MATCH(WORKORDER[[#This Row],[TRAVELER]],Table1[TRAVELER],0)),K1338,"Shipped")</f>
        <v>Shipped</v>
      </c>
      <c r="L1338">
        <f>+IF(ISERROR(MATCH(WORKORDER[[#This Row],[TRAVELER]],Table1[TRAVELER],0)),L1338,'PACKING SLIP'!$F$5)</f>
        <v>30065</v>
      </c>
    </row>
    <row r="1339">
      <c r="A1339">
        <v>717406</v>
      </c>
      <c r="B1339" t="str">
        <v>06101831-A</v>
      </c>
      <c r="C1339">
        <v>784</v>
      </c>
      <c r="E1339">
        <v>1084</v>
      </c>
      <c r="F1339">
        <v>39275</v>
      </c>
      <c r="G1339">
        <v>193570</v>
      </c>
      <c r="H1339" s="1">
        <v>46262</v>
      </c>
      <c r="I1339" t="str">
        <v>TRAVELERRECEIVED</v>
      </c>
      <c r="K1339" t="str">
        <f>IF(ISERROR(MATCH(WORKORDER[[#This Row],[TRAVELER]],Table1[TRAVELER],0)),K1339,"Shipped")</f>
        <v>Shipped</v>
      </c>
      <c r="L1339">
        <f>+IF(ISERROR(MATCH(WORKORDER[[#This Row],[TRAVELER]],Table1[TRAVELER],0)),L1339,'PACKING SLIP'!$F$5)</f>
        <v>30067</v>
      </c>
    </row>
    <row r="1340">
      <c r="A1340">
        <v>717407</v>
      </c>
      <c r="B1340" t="str">
        <v>06101831-A</v>
      </c>
      <c r="C1340">
        <v>1639</v>
      </c>
      <c r="E1340">
        <v>1032</v>
      </c>
      <c r="F1340">
        <v>37391</v>
      </c>
      <c r="G1340">
        <v>193570</v>
      </c>
      <c r="H1340" s="1">
        <v>46262</v>
      </c>
      <c r="I1340" t="str">
        <v>TRAVELERRECEIVED</v>
      </c>
      <c r="K1340" t="str">
        <f>IF(ISERROR(MATCH(WORKORDER[[#This Row],[TRAVELER]],Table1[TRAVELER],0)),K1340,"Shipped")</f>
        <v>Shipped</v>
      </c>
      <c r="L1340">
        <f>+IF(ISERROR(MATCH(WORKORDER[[#This Row],[TRAVELER]],Table1[TRAVELER],0)),L1340,'PACKING SLIP'!$F$5)</f>
        <v>30069</v>
      </c>
    </row>
    <row r="1341">
      <c r="A1341">
        <v>717419</v>
      </c>
      <c r="B1341">
        <v>82248</v>
      </c>
      <c r="C1341">
        <v>1068</v>
      </c>
      <c r="E1341">
        <v>1041</v>
      </c>
      <c r="F1341">
        <v>35897</v>
      </c>
      <c r="G1341">
        <v>193570</v>
      </c>
      <c r="H1341" s="1">
        <v>46262</v>
      </c>
      <c r="I1341" t="str">
        <v>TRAVELERRECEIVED</v>
      </c>
      <c r="K1341" t="str">
        <f>IF(ISERROR(MATCH(WORKORDER[[#This Row],[TRAVELER]],Table1[TRAVELER],0)),K1341,"Shipped")</f>
        <v>Shipped</v>
      </c>
      <c r="L1341">
        <f>+IF(ISERROR(MATCH(WORKORDER[[#This Row],[TRAVELER]],Table1[TRAVELER],0)),L1341,'PACKING SLIP'!$F$5)</f>
        <v>30069</v>
      </c>
    </row>
    <row r="1342">
      <c r="A1342">
        <v>717420</v>
      </c>
      <c r="B1342">
        <v>82248</v>
      </c>
      <c r="C1342">
        <v>1794</v>
      </c>
      <c r="E1342">
        <v>1121</v>
      </c>
      <c r="F1342">
        <v>38655</v>
      </c>
      <c r="G1342">
        <v>193570</v>
      </c>
      <c r="H1342" s="1">
        <v>46262</v>
      </c>
      <c r="I1342" t="str">
        <v>TRAVELERRECEIVED</v>
      </c>
      <c r="K1342" t="str">
        <f>IF(ISERROR(MATCH(WORKORDER[[#This Row],[TRAVELER]],Table1[TRAVELER],0)),K1342,"Shipped")</f>
        <v>Shipped</v>
      </c>
      <c r="L1342">
        <f>+IF(ISERROR(MATCH(WORKORDER[[#This Row],[TRAVELER]],Table1[TRAVELER],0)),L1342,'PACKING SLIP'!$F$5)</f>
        <v>30061</v>
      </c>
    </row>
    <row r="1343">
      <c r="A1343">
        <v>717423</v>
      </c>
      <c r="B1343" t="str">
        <v>06513555AA</v>
      </c>
      <c r="C1343">
        <v>95</v>
      </c>
      <c r="E1343">
        <v>1050</v>
      </c>
      <c r="F1343">
        <v>15487</v>
      </c>
      <c r="G1343">
        <v>193570</v>
      </c>
      <c r="H1343" s="1">
        <v>46262</v>
      </c>
      <c r="I1343" t="str">
        <v>TRAVELERRECEIVED</v>
      </c>
      <c r="K1343" t="str">
        <f>IF(ISERROR(MATCH(WORKORDER[[#This Row],[TRAVELER]],Table1[TRAVELER],0)),K1343,"Shipped")</f>
        <v>Shipped</v>
      </c>
      <c r="L1343">
        <f>+IF(ISERROR(MATCH(WORKORDER[[#This Row],[TRAVELER]],Table1[TRAVELER],0)),L1343,'PACKING SLIP'!$F$5)</f>
        <v>30059</v>
      </c>
    </row>
    <row r="1344">
      <c r="A1344">
        <v>717653</v>
      </c>
      <c r="B1344">
        <v>11546389</v>
      </c>
      <c r="C1344">
        <v>45</v>
      </c>
      <c r="E1344">
        <v>1109</v>
      </c>
      <c r="F1344">
        <v>144026</v>
      </c>
      <c r="G1344">
        <v>193570</v>
      </c>
      <c r="H1344" s="1">
        <v>46262</v>
      </c>
      <c r="I1344" t="str">
        <v>TRAVELERRECEIVED</v>
      </c>
      <c r="K1344" t="str">
        <f>IF(ISERROR(MATCH(WORKORDER[[#This Row],[TRAVELER]],Table1[TRAVELER],0)),K1344,"Shipped")</f>
        <v>Shipped</v>
      </c>
      <c r="L1344">
        <f>+IF(ISERROR(MATCH(WORKORDER[[#This Row],[TRAVELER]],Table1[TRAVELER],0)),L1344,'PACKING SLIP'!$F$5)</f>
        <v>30061</v>
      </c>
    </row>
    <row r="1345">
      <c r="A1345">
        <v>717654</v>
      </c>
      <c r="B1345">
        <v>11546389</v>
      </c>
      <c r="C1345">
        <v>1072</v>
      </c>
      <c r="E1345">
        <v>839</v>
      </c>
      <c r="F1345">
        <v>108961</v>
      </c>
      <c r="G1345">
        <v>193570</v>
      </c>
      <c r="H1345" s="1">
        <v>46262</v>
      </c>
      <c r="I1345" t="str">
        <v>TRAVELERRECEIVED</v>
      </c>
      <c r="K1345" t="str">
        <f>IF(ISERROR(MATCH(WORKORDER[[#This Row],[TRAVELER]],Table1[TRAVELER],0)),K1345,"Shipped")</f>
        <v>Shipped</v>
      </c>
      <c r="L1345">
        <f>+IF(ISERROR(MATCH(WORKORDER[[#This Row],[TRAVELER]],Table1[TRAVELER],0)),L1345,'PACKING SLIP'!$F$5)</f>
        <v>30057</v>
      </c>
    </row>
    <row r="1346">
      <c r="A1346">
        <v>717701</v>
      </c>
      <c r="B1346">
        <v>11546389</v>
      </c>
      <c r="C1346">
        <v>1038</v>
      </c>
      <c r="E1346">
        <v>1050</v>
      </c>
      <c r="F1346">
        <v>136364</v>
      </c>
      <c r="G1346">
        <v>193570</v>
      </c>
      <c r="H1346" s="1">
        <v>46262</v>
      </c>
      <c r="I1346" t="str">
        <v>TRAVELERRECEIVED</v>
      </c>
      <c r="K1346" t="str">
        <f>IF(ISERROR(MATCH(WORKORDER[[#This Row],[TRAVELER]],Table1[TRAVELER],0)),K1346,"Shipped")</f>
        <v>Shipped</v>
      </c>
      <c r="L1346">
        <f>+IF(ISERROR(MATCH(WORKORDER[[#This Row],[TRAVELER]],Table1[TRAVELER],0)),L1346,'PACKING SLIP'!$F$5)</f>
        <v>30052</v>
      </c>
    </row>
    <row r="1347">
      <c r="A1347">
        <v>717702</v>
      </c>
      <c r="B1347">
        <v>11546389</v>
      </c>
      <c r="C1347">
        <v>879</v>
      </c>
      <c r="E1347">
        <v>791</v>
      </c>
      <c r="F1347">
        <v>102727</v>
      </c>
      <c r="G1347">
        <v>193570</v>
      </c>
      <c r="H1347" s="1">
        <v>46262</v>
      </c>
      <c r="I1347" t="str">
        <v>TRAVELERRECEIVED</v>
      </c>
      <c r="K1347" t="str">
        <f>IF(ISERROR(MATCH(WORKORDER[[#This Row],[TRAVELER]],Table1[TRAVELER],0)),K1347,"Shipped")</f>
        <v>Shipped</v>
      </c>
      <c r="L1347">
        <f>+IF(ISERROR(MATCH(WORKORDER[[#This Row],[TRAVELER]],Table1[TRAVELER],0)),L1347,'PACKING SLIP'!$F$5)</f>
        <v>30072</v>
      </c>
    </row>
    <row r="1348">
      <c r="A1348">
        <v>717703</v>
      </c>
      <c r="B1348">
        <v>11546389</v>
      </c>
      <c r="C1348">
        <v>943</v>
      </c>
      <c r="E1348">
        <v>997</v>
      </c>
      <c r="F1348">
        <v>129481</v>
      </c>
      <c r="G1348">
        <v>193570</v>
      </c>
      <c r="H1348" s="1">
        <v>46262</v>
      </c>
      <c r="I1348" t="str">
        <v>TRAVELERRECEIVED</v>
      </c>
      <c r="K1348" t="str">
        <f>IF(ISERROR(MATCH(WORKORDER[[#This Row],[TRAVELER]],Table1[TRAVELER],0)),K1348,"Shipped")</f>
        <v>Shipped</v>
      </c>
      <c r="L1348">
        <f>+IF(ISERROR(MATCH(WORKORDER[[#This Row],[TRAVELER]],Table1[TRAVELER],0)),L1348,'PACKING SLIP'!$F$5)</f>
        <v>30052</v>
      </c>
    </row>
    <row r="1349">
      <c r="A1349">
        <v>717704</v>
      </c>
      <c r="B1349">
        <v>11546389</v>
      </c>
      <c r="C1349">
        <v>1657</v>
      </c>
      <c r="E1349">
        <v>852</v>
      </c>
      <c r="F1349">
        <v>110649</v>
      </c>
      <c r="G1349">
        <v>193570</v>
      </c>
      <c r="H1349" s="1">
        <v>46262</v>
      </c>
      <c r="I1349" t="str">
        <v>TRAVELERRECEIVED</v>
      </c>
      <c r="K1349" t="str">
        <f>IF(ISERROR(MATCH(WORKORDER[[#This Row],[TRAVELER]],Table1[TRAVELER],0)),K1349,"Shipped")</f>
        <v>Shipped</v>
      </c>
      <c r="L1349">
        <f>+IF(ISERROR(MATCH(WORKORDER[[#This Row],[TRAVELER]],Table1[TRAVELER],0)),L1349,'PACKING SLIP'!$F$5)</f>
        <v>30059</v>
      </c>
    </row>
    <row r="1350">
      <c r="A1350">
        <v>717705</v>
      </c>
      <c r="B1350">
        <v>11546389</v>
      </c>
      <c r="C1350">
        <v>358</v>
      </c>
      <c r="E1350">
        <v>958</v>
      </c>
      <c r="F1350">
        <v>124416</v>
      </c>
      <c r="G1350">
        <v>193570</v>
      </c>
      <c r="H1350" s="1">
        <v>46262</v>
      </c>
      <c r="I1350" t="str">
        <v>TRAVELERRECEIVED</v>
      </c>
      <c r="K1350" t="str">
        <f>IF(ISERROR(MATCH(WORKORDER[[#This Row],[TRAVELER]],Table1[TRAVELER],0)),K1350,"Shipped")</f>
        <v>Shipped</v>
      </c>
      <c r="L1350">
        <f>+IF(ISERROR(MATCH(WORKORDER[[#This Row],[TRAVELER]],Table1[TRAVELER],0)),L1350,'PACKING SLIP'!$F$5)</f>
        <v>30052</v>
      </c>
    </row>
    <row r="1351">
      <c r="A1351">
        <v>716747</v>
      </c>
      <c r="B1351">
        <v>11546571</v>
      </c>
      <c r="C1351">
        <v>109</v>
      </c>
      <c r="E1351">
        <v>950</v>
      </c>
      <c r="F1351">
        <v>56886</v>
      </c>
      <c r="G1351">
        <v>193584</v>
      </c>
      <c r="H1351" s="1">
        <v>46262</v>
      </c>
      <c r="I1351" t="str">
        <v>6-239-23-A</v>
      </c>
      <c r="K1351" t="str">
        <f>IF(ISERROR(MATCH(WORKORDER[[#This Row],[TRAVELER]],Table1[TRAVELER],0)),K1351,"Shipped")</f>
        <v>Shipped</v>
      </c>
      <c r="L1351">
        <f>+IF(ISERROR(MATCH(WORKORDER[[#This Row],[TRAVELER]],Table1[TRAVELER],0)),L1351,'PACKING SLIP'!$F$5)</f>
        <v>30049</v>
      </c>
    </row>
    <row r="1352">
      <c r="A1352">
        <v>716748</v>
      </c>
      <c r="B1352">
        <v>11546571</v>
      </c>
      <c r="C1352">
        <v>1834</v>
      </c>
      <c r="E1352">
        <v>716</v>
      </c>
      <c r="F1352">
        <v>42874</v>
      </c>
      <c r="G1352">
        <v>193584</v>
      </c>
      <c r="H1352" s="1">
        <v>46262</v>
      </c>
      <c r="I1352" t="str">
        <v>6-239-23-B</v>
      </c>
      <c r="K1352" t="str">
        <f>IF(ISERROR(MATCH(WORKORDER[[#This Row],[TRAVELER]],Table1[TRAVELER],0)),K1352,"Shipped")</f>
        <v>Shipped</v>
      </c>
      <c r="L1352">
        <f>+IF(ISERROR(MATCH(WORKORDER[[#This Row],[TRAVELER]],Table1[TRAVELER],0)),L1352,'PACKING SLIP'!$F$5)</f>
        <v>30054</v>
      </c>
    </row>
    <row r="1353">
      <c r="A1353">
        <v>716999</v>
      </c>
      <c r="B1353" t="str">
        <v>06503825-A</v>
      </c>
      <c r="C1353">
        <v>485</v>
      </c>
      <c r="E1353">
        <v>792</v>
      </c>
      <c r="F1353">
        <v>60923</v>
      </c>
      <c r="G1353">
        <v>193584</v>
      </c>
      <c r="H1353" s="1">
        <v>46262</v>
      </c>
      <c r="I1353" t="str">
        <v>6-240-16-A</v>
      </c>
      <c r="K1353" t="str">
        <f>IF(ISERROR(MATCH(WORKORDER[[#This Row],[TRAVELER]],Table1[TRAVELER],0)),K1353,"Shipped")</f>
        <v>Shipped</v>
      </c>
      <c r="L1353">
        <f>+IF(ISERROR(MATCH(WORKORDER[[#This Row],[TRAVELER]],Table1[TRAVELER],0)),L1353,'PACKING SLIP'!$F$5)</f>
        <v>30049</v>
      </c>
    </row>
    <row r="1354">
      <c r="A1354">
        <v>717000</v>
      </c>
      <c r="B1354" t="str">
        <v>06503825-A</v>
      </c>
      <c r="C1354">
        <v>1579</v>
      </c>
      <c r="E1354">
        <v>717</v>
      </c>
      <c r="F1354">
        <v>55154</v>
      </c>
      <c r="G1354">
        <v>193584</v>
      </c>
      <c r="H1354" s="1">
        <v>46262</v>
      </c>
      <c r="I1354" t="str">
        <v>6-240-16-B</v>
      </c>
      <c r="K1354" t="str">
        <f>IF(ISERROR(MATCH(WORKORDER[[#This Row],[TRAVELER]],Table1[TRAVELER],0)),K1354,"Shipped")</f>
        <v>Shipped</v>
      </c>
      <c r="L1354">
        <f>+IF(ISERROR(MATCH(WORKORDER[[#This Row],[TRAVELER]],Table1[TRAVELER],0)),L1354,'PACKING SLIP'!$F$5)</f>
        <v>0</v>
      </c>
    </row>
    <row r="1355">
      <c r="A1355">
        <v>717002</v>
      </c>
      <c r="B1355" t="str">
        <v>06503825-A</v>
      </c>
      <c r="C1355">
        <v>123</v>
      </c>
      <c r="E1355">
        <v>1071</v>
      </c>
      <c r="F1355">
        <v>82385</v>
      </c>
      <c r="G1355">
        <v>193584</v>
      </c>
      <c r="H1355" s="1">
        <v>46262</v>
      </c>
      <c r="I1355" t="str">
        <v>6-240-17-A</v>
      </c>
      <c r="K1355" t="str">
        <f>IF(ISERROR(MATCH(WORKORDER[[#This Row],[TRAVELER]],Table1[TRAVELER],0)),K1355,"Shipped")</f>
        <v>Shipped</v>
      </c>
      <c r="L1355">
        <f>+IF(ISERROR(MATCH(WORKORDER[[#This Row],[TRAVELER]],Table1[TRAVELER],0)),L1355,'PACKING SLIP'!$F$5)</f>
        <v>30080</v>
      </c>
    </row>
    <row r="1356">
      <c r="A1356">
        <v>717003</v>
      </c>
      <c r="B1356" t="str">
        <v>06503825-A</v>
      </c>
      <c r="C1356">
        <v>1817</v>
      </c>
      <c r="E1356">
        <v>1030</v>
      </c>
      <c r="F1356">
        <v>79231</v>
      </c>
      <c r="G1356">
        <v>193584</v>
      </c>
      <c r="H1356" s="1">
        <v>46262</v>
      </c>
      <c r="I1356" t="str">
        <v>6-240-17-B</v>
      </c>
      <c r="K1356" t="str">
        <f>IF(ISERROR(MATCH(WORKORDER[[#This Row],[TRAVELER]],Table1[TRAVELER],0)),K1356,"Shipped")</f>
        <v>Shipped</v>
      </c>
      <c r="L1356">
        <f>+IF(ISERROR(MATCH(WORKORDER[[#This Row],[TRAVELER]],Table1[TRAVELER],0)),L1356,'PACKING SLIP'!$F$5)</f>
        <v>30054</v>
      </c>
    </row>
    <row r="1357">
      <c r="A1357">
        <v>717004</v>
      </c>
      <c r="B1357" t="str">
        <v>06503825-A</v>
      </c>
      <c r="C1357">
        <v>296</v>
      </c>
      <c r="E1357">
        <v>900</v>
      </c>
      <c r="F1357">
        <v>69231</v>
      </c>
      <c r="G1357">
        <v>193584</v>
      </c>
      <c r="H1357" s="1">
        <v>46262</v>
      </c>
      <c r="I1357" t="str">
        <v>6-240-17-C</v>
      </c>
      <c r="K1357" t="str">
        <f>IF(ISERROR(MATCH(WORKORDER[[#This Row],[TRAVELER]],Table1[TRAVELER],0)),K1357,"Shipped")</f>
        <v>Shipped</v>
      </c>
      <c r="L1357">
        <f>+IF(ISERROR(MATCH(WORKORDER[[#This Row],[TRAVELER]],Table1[TRAVELER],0)),L1357,'PACKING SLIP'!$F$5)</f>
        <v>30049</v>
      </c>
    </row>
    <row r="1358">
      <c r="A1358">
        <v>717009</v>
      </c>
      <c r="B1358" t="str">
        <v>55364498AA</v>
      </c>
      <c r="C1358">
        <v>1616</v>
      </c>
      <c r="E1358">
        <v>637</v>
      </c>
      <c r="F1358">
        <v>11175</v>
      </c>
      <c r="G1358">
        <v>193584</v>
      </c>
      <c r="H1358" s="1">
        <v>46262</v>
      </c>
      <c r="I1358" t="str">
        <v>6-240-19-A</v>
      </c>
      <c r="K1358" t="str">
        <f>IF(ISERROR(MATCH(WORKORDER[[#This Row],[TRAVELER]],Table1[TRAVELER],0)),K1358,"Shipped")</f>
        <v>Shipped</v>
      </c>
      <c r="L1358">
        <f>+IF(ISERROR(MATCH(WORKORDER[[#This Row],[TRAVELER]],Table1[TRAVELER],0)),L1358,'PACKING SLIP'!$F$5)</f>
        <v>30054</v>
      </c>
    </row>
    <row r="1359">
      <c r="A1359">
        <v>717010</v>
      </c>
      <c r="B1359" t="str">
        <v>55364498AA</v>
      </c>
      <c r="C1359">
        <v>67</v>
      </c>
      <c r="E1359">
        <v>747</v>
      </c>
      <c r="F1359">
        <v>13105</v>
      </c>
      <c r="G1359">
        <v>193584</v>
      </c>
      <c r="H1359" s="1">
        <v>46262</v>
      </c>
      <c r="I1359" t="str">
        <v>6-240-19-B</v>
      </c>
      <c r="K1359" t="str">
        <f>IF(ISERROR(MATCH(WORKORDER[[#This Row],[TRAVELER]],Table1[TRAVELER],0)),K1359,"Shipped")</f>
        <v>Shipped</v>
      </c>
      <c r="L1359">
        <f>+IF(ISERROR(MATCH(WORKORDER[[#This Row],[TRAVELER]],Table1[TRAVELER],0)),L1359,'PACKING SLIP'!$F$5)</f>
        <v>30057</v>
      </c>
    </row>
    <row r="1360">
      <c r="A1360">
        <v>717163</v>
      </c>
      <c r="B1360">
        <v>11546571</v>
      </c>
      <c r="C1360">
        <v>1328</v>
      </c>
      <c r="E1360">
        <v>867</v>
      </c>
      <c r="F1360">
        <v>51916</v>
      </c>
      <c r="G1360">
        <v>193584</v>
      </c>
      <c r="H1360" s="1">
        <v>46262</v>
      </c>
      <c r="I1360" t="str">
        <v>6-239-24-C</v>
      </c>
      <c r="K1360" t="str">
        <f>IF(ISERROR(MATCH(WORKORDER[[#This Row],[TRAVELER]],Table1[TRAVELER],0)),K1360,"Shipped")</f>
        <v>Shipped</v>
      </c>
      <c r="L1360">
        <f>+IF(ISERROR(MATCH(WORKORDER[[#This Row],[TRAVELER]],Table1[TRAVELER],0)),L1360,'PACKING SLIP'!$F$5)</f>
        <v>30054</v>
      </c>
    </row>
    <row r="1361">
      <c r="A1361">
        <v>717164</v>
      </c>
      <c r="B1361">
        <v>11546571</v>
      </c>
      <c r="C1361">
        <v>493</v>
      </c>
      <c r="E1361">
        <v>809</v>
      </c>
      <c r="F1361">
        <v>48443</v>
      </c>
      <c r="G1361">
        <v>193584</v>
      </c>
      <c r="H1361" s="1">
        <v>46262</v>
      </c>
      <c r="I1361" t="str">
        <v>6-239-24-D</v>
      </c>
      <c r="K1361" t="str">
        <f>IF(ISERROR(MATCH(WORKORDER[[#This Row],[TRAVELER]],Table1[TRAVELER],0)),K1361,"Shipped")</f>
        <v>Shipped</v>
      </c>
      <c r="L1361">
        <f>+IF(ISERROR(MATCH(WORKORDER[[#This Row],[TRAVELER]],Table1[TRAVELER],0)),L1361,'PACKING SLIP'!$F$5)</f>
        <v>30059</v>
      </c>
    </row>
    <row r="1362">
      <c r="A1362">
        <v>717201</v>
      </c>
      <c r="B1362">
        <v>42068967</v>
      </c>
      <c r="C1362">
        <v>1375</v>
      </c>
      <c r="E1362">
        <v>961</v>
      </c>
      <c r="F1362">
        <v>10300</v>
      </c>
      <c r="G1362">
        <v>193584</v>
      </c>
      <c r="H1362" s="1">
        <v>46262</v>
      </c>
      <c r="I1362" t="str">
        <v>6-240-18-A</v>
      </c>
      <c r="J1362" t="str">
        <v>PACK IN VCI BAG</v>
      </c>
      <c r="K1362" t="str">
        <f>IF(ISERROR(MATCH(WORKORDER[[#This Row],[TRAVELER]],Table1[TRAVELER],0)),K1362,"Shipped")</f>
        <v>Shipped</v>
      </c>
      <c r="L1362">
        <f>+IF(ISERROR(MATCH(WORKORDER[[#This Row],[TRAVELER]],Table1[TRAVELER],0)),L1362,'PACKING SLIP'!$F$5)</f>
        <v>30052</v>
      </c>
    </row>
    <row r="1363">
      <c r="A1363">
        <v>717202</v>
      </c>
      <c r="B1363">
        <v>42068967</v>
      </c>
      <c r="C1363">
        <v>435</v>
      </c>
      <c r="E1363">
        <v>1160</v>
      </c>
      <c r="F1363">
        <v>12433</v>
      </c>
      <c r="G1363">
        <v>193584</v>
      </c>
      <c r="H1363" s="1">
        <v>46262</v>
      </c>
      <c r="I1363" t="str">
        <v>6-240-18-B</v>
      </c>
      <c r="J1363" t="str">
        <v>PACK IN VCI BAG</v>
      </c>
      <c r="K1363" t="str">
        <f>IF(ISERROR(MATCH(WORKORDER[[#This Row],[TRAVELER]],Table1[TRAVELER],0)),K1363,"Shipped")</f>
        <v>Shipped</v>
      </c>
      <c r="L1363">
        <f>+IF(ISERROR(MATCH(WORKORDER[[#This Row],[TRAVELER]],Table1[TRAVELER],0)),L1363,'PACKING SLIP'!$F$5)</f>
        <v>30052</v>
      </c>
    </row>
    <row r="1364">
      <c r="A1364">
        <v>717203</v>
      </c>
      <c r="B1364">
        <v>42068967</v>
      </c>
      <c r="C1364">
        <v>1403</v>
      </c>
      <c r="E1364">
        <v>1012</v>
      </c>
      <c r="F1364">
        <v>10847</v>
      </c>
      <c r="G1364">
        <v>193584</v>
      </c>
      <c r="H1364" s="1">
        <v>46262</v>
      </c>
      <c r="I1364" t="str">
        <v>6-240-18-C</v>
      </c>
      <c r="J1364" t="str">
        <v>PACK IN VCI BAG</v>
      </c>
      <c r="K1364" t="str">
        <f>IF(ISERROR(MATCH(WORKORDER[[#This Row],[TRAVELER]],Table1[TRAVELER],0)),K1364,"Shipped")</f>
        <v>Shipped</v>
      </c>
      <c r="L1364">
        <f>+IF(ISERROR(MATCH(WORKORDER[[#This Row],[TRAVELER]],Table1[TRAVELER],0)),L1364,'PACKING SLIP'!$F$5)</f>
        <v>30049</v>
      </c>
    </row>
    <row r="1365">
      <c r="A1365">
        <v>717204</v>
      </c>
      <c r="B1365">
        <v>42068967</v>
      </c>
      <c r="C1365">
        <v>1716</v>
      </c>
      <c r="E1365">
        <v>1125</v>
      </c>
      <c r="F1365">
        <v>12058</v>
      </c>
      <c r="G1365">
        <v>193584</v>
      </c>
      <c r="H1365" s="1">
        <v>46262</v>
      </c>
      <c r="I1365" t="str">
        <v>6-240-18-D</v>
      </c>
      <c r="J1365" t="str">
        <v>PACK IN VCI BAG</v>
      </c>
      <c r="K1365" t="str">
        <f>IF(ISERROR(MATCH(WORKORDER[[#This Row],[TRAVELER]],Table1[TRAVELER],0)),K1365,"Shipped")</f>
        <v>Shipped</v>
      </c>
      <c r="L1365">
        <f>+IF(ISERROR(MATCH(WORKORDER[[#This Row],[TRAVELER]],Table1[TRAVELER],0)),L1365,'PACKING SLIP'!$F$5)</f>
        <v>30052</v>
      </c>
    </row>
    <row r="1366">
      <c r="A1366">
        <v>717205</v>
      </c>
      <c r="B1366">
        <v>42068967</v>
      </c>
      <c r="C1366">
        <v>72</v>
      </c>
      <c r="E1366">
        <v>1013</v>
      </c>
      <c r="F1366">
        <v>10857</v>
      </c>
      <c r="G1366">
        <v>193584</v>
      </c>
      <c r="H1366" s="1">
        <v>46262</v>
      </c>
      <c r="I1366" t="str">
        <v>6-240-18-E</v>
      </c>
      <c r="J1366" t="str">
        <v>PACK IN VCI BAG</v>
      </c>
      <c r="K1366" t="str">
        <f>IF(ISERROR(MATCH(WORKORDER[[#This Row],[TRAVELER]],Table1[TRAVELER],0)),K1366,"Shipped")</f>
        <v>Shipped</v>
      </c>
      <c r="L1366">
        <f>+IF(ISERROR(MATCH(WORKORDER[[#This Row],[TRAVELER]],Table1[TRAVELER],0)),L1366,'PACKING SLIP'!$F$5)</f>
        <v>30049</v>
      </c>
    </row>
    <row r="1367">
      <c r="A1367">
        <v>717206</v>
      </c>
      <c r="B1367">
        <v>42068967</v>
      </c>
      <c r="C1367">
        <v>297</v>
      </c>
      <c r="E1367">
        <v>1134</v>
      </c>
      <c r="F1367">
        <v>12154</v>
      </c>
      <c r="G1367">
        <v>193584</v>
      </c>
      <c r="H1367" s="1">
        <v>46262</v>
      </c>
      <c r="I1367" t="str">
        <v>6-240-18-F</v>
      </c>
      <c r="J1367" t="str">
        <v>PACK IN VCI BAG</v>
      </c>
      <c r="K1367" t="str">
        <f>IF(ISERROR(MATCH(WORKORDER[[#This Row],[TRAVELER]],Table1[TRAVELER],0)),K1367,"Shipped")</f>
        <v>Shipped</v>
      </c>
      <c r="L1367">
        <f>+IF(ISERROR(MATCH(WORKORDER[[#This Row],[TRAVELER]],Table1[TRAVELER],0)),L1367,'PACKING SLIP'!$F$5)</f>
        <v>30049</v>
      </c>
    </row>
    <row r="1368">
      <c r="A1368">
        <v>717325</v>
      </c>
      <c r="B1368">
        <v>11546545</v>
      </c>
      <c r="C1368">
        <v>1444</v>
      </c>
      <c r="E1368">
        <v>1074</v>
      </c>
      <c r="F1368">
        <v>89500</v>
      </c>
      <c r="G1368">
        <v>193586</v>
      </c>
      <c r="H1368" s="1">
        <v>46263</v>
      </c>
      <c r="I1368" t="str">
        <v>TRAVELERRECEIVED</v>
      </c>
      <c r="K1368" t="str">
        <f>IF(ISERROR(MATCH(WORKORDER[[#This Row],[TRAVELER]],Table1[TRAVELER],0)),K1368,"Shipped")</f>
        <v>Shipped</v>
      </c>
      <c r="L1368">
        <f>+IF(ISERROR(MATCH([1]!WORKORDER[[#This Row],[TRAVELER]],[1]!Table1[TRAVELER],0)),L1368,#REF!)</f>
        <v>0</v>
      </c>
    </row>
    <row r="1369">
      <c r="A1369">
        <v>717450</v>
      </c>
      <c r="B1369" t="str">
        <v>06105049AA</v>
      </c>
      <c r="E1369" t="str">
        <v>KIB</v>
      </c>
      <c r="G1369">
        <v>193586</v>
      </c>
      <c r="H1369" s="1">
        <v>46263</v>
      </c>
      <c r="I1369" t="str">
        <v>6-243-12-B</v>
      </c>
      <c r="K1369" t="str">
        <f>IF(ISERROR(MATCH(WORKORDER[[#This Row],[TRAVELER]],Table1[TRAVELER],0)),K1369,"Shipped")</f>
        <v>Shipped</v>
      </c>
      <c r="L1369">
        <f>+IF(ISERROR(MATCH(WORKORDER[[#This Row],[TRAVELER]],Table1[TRAVELER],0)),L1369,'PACKING SLIP'!$F$5)</f>
        <v>30059</v>
      </c>
    </row>
    <row r="1370">
      <c r="A1370">
        <v>717470</v>
      </c>
      <c r="B1370" t="str">
        <v>06105102AA</v>
      </c>
      <c r="C1370" t="str">
        <v>KIB</v>
      </c>
      <c r="D1370" t="str">
        <v>TB</v>
      </c>
      <c r="F1370">
        <v>25460</v>
      </c>
      <c r="G1370">
        <v>193586</v>
      </c>
      <c r="I1370" t="str">
        <v>TRAVELERRECEIVED</v>
      </c>
      <c r="K1370" t="str">
        <f>IF(ISERROR(MATCH(WORKORDER[[#This Row],[TRAVELER]],Table1[TRAVELER],0)),K1370,"Shipped")</f>
        <v>Shipped</v>
      </c>
      <c r="L1370">
        <f>+IF(ISERROR(MATCH(WORKORDER[[#This Row],[TRAVELER]],Table1[TRAVELER],0)),L1370,'PACKING SLIP'!$F$5)</f>
        <v>30057</v>
      </c>
    </row>
    <row r="1371">
      <c r="A1371">
        <v>717029</v>
      </c>
      <c r="B1371" t="str">
        <v>11546367-MY-AK</v>
      </c>
      <c r="C1371">
        <v>966</v>
      </c>
      <c r="E1371">
        <v>1197</v>
      </c>
      <c r="F1371">
        <v>25742</v>
      </c>
      <c r="G1371">
        <v>193595</v>
      </c>
      <c r="H1371" s="1">
        <v>46265</v>
      </c>
      <c r="I1371" t="str">
        <v>TRAVELERRECEIVED</v>
      </c>
      <c r="K1371" t="str">
        <f>IF(ISERROR(MATCH(WORKORDER[[#This Row],[TRAVELER]],Table1[TRAVELER],0)),K1371,"Shipped")</f>
        <v>Shipped</v>
      </c>
      <c r="L1371">
        <f>+IF(ISERROR(MATCH(WORKORDER[[#This Row],[TRAVELER]],Table1[TRAVELER],0)),L1371,'PACKING SLIP'!$F$5)</f>
        <v>30065</v>
      </c>
    </row>
    <row r="1372">
      <c r="A1372">
        <v>717030</v>
      </c>
      <c r="B1372" t="str">
        <v>11546367-MY-AK</v>
      </c>
      <c r="C1372">
        <v>742</v>
      </c>
      <c r="E1372">
        <v>1091</v>
      </c>
      <c r="F1372">
        <v>23462</v>
      </c>
      <c r="G1372">
        <v>193595</v>
      </c>
      <c r="H1372" s="1">
        <v>46265</v>
      </c>
      <c r="I1372" t="str">
        <v>TRAVELERRECEIVED</v>
      </c>
      <c r="K1372" t="str">
        <f>IF(ISERROR(MATCH(WORKORDER[[#This Row],[TRAVELER]],Table1[TRAVELER],0)),K1372,"Shipped")</f>
        <v>Shipped</v>
      </c>
      <c r="L1372">
        <f>+IF(ISERROR(MATCH(WORKORDER[[#This Row],[TRAVELER]],Table1[TRAVELER],0)),L1372,'PACKING SLIP'!$F$5)</f>
        <v>30067</v>
      </c>
    </row>
    <row r="1373">
      <c r="A1373">
        <v>717170</v>
      </c>
      <c r="B1373" t="str">
        <v>11546370-MY-AK</v>
      </c>
      <c r="C1373">
        <v>1312</v>
      </c>
      <c r="E1373">
        <v>1054</v>
      </c>
      <c r="F1373">
        <v>7074</v>
      </c>
      <c r="G1373">
        <v>193595</v>
      </c>
      <c r="H1373" s="1">
        <v>46265</v>
      </c>
      <c r="I1373" t="str">
        <v>TRAVELERRECEIVED</v>
      </c>
      <c r="K1373" t="str">
        <f>IF(ISERROR(MATCH(WORKORDER[[#This Row],[TRAVELER]],Table1[TRAVELER],0)),K1373,"Shipped")</f>
        <v>Shipped</v>
      </c>
      <c r="L1373">
        <f>+IF(ISERROR(MATCH(WORKORDER[[#This Row],[TRAVELER]],Table1[TRAVELER],0)),L1373,'PACKING SLIP'!$F$5)</f>
        <v>30067</v>
      </c>
    </row>
    <row r="1374">
      <c r="A1374">
        <v>717171</v>
      </c>
      <c r="B1374" t="str">
        <v>11546370-MY-AK</v>
      </c>
      <c r="C1374">
        <v>1599</v>
      </c>
      <c r="E1374">
        <v>1177</v>
      </c>
      <c r="F1374">
        <v>7899</v>
      </c>
      <c r="G1374">
        <v>193595</v>
      </c>
      <c r="H1374" s="1">
        <v>46265</v>
      </c>
      <c r="I1374" t="str">
        <v>TRAVELERRECEIVED</v>
      </c>
      <c r="K1374" t="str">
        <f>IF(ISERROR(MATCH(WORKORDER[[#This Row],[TRAVELER]],Table1[TRAVELER],0)),K1374,"Shipped")</f>
        <v>Shipped</v>
      </c>
      <c r="L1374">
        <f>+IF(ISERROR(MATCH(WORKORDER[[#This Row],[TRAVELER]],Table1[TRAVELER],0)),L1374,'PACKING SLIP'!$F$5)</f>
        <v>30059</v>
      </c>
    </row>
    <row r="1375">
      <c r="A1375">
        <v>717172</v>
      </c>
      <c r="B1375" t="str">
        <v>11546370-MY-AK</v>
      </c>
      <c r="C1375">
        <v>194</v>
      </c>
      <c r="E1375">
        <v>1017</v>
      </c>
      <c r="F1375">
        <v>6826</v>
      </c>
      <c r="G1375">
        <v>193595</v>
      </c>
      <c r="H1375" s="1">
        <v>46265</v>
      </c>
      <c r="I1375" t="str">
        <v>TRAVELERRECEIVED</v>
      </c>
      <c r="K1375" t="str">
        <f>IF(ISERROR(MATCH(WORKORDER[[#This Row],[TRAVELER]],Table1[TRAVELER],0)),K1375,"Shipped")</f>
        <v>Shipped</v>
      </c>
      <c r="L1375">
        <f>+IF(ISERROR(MATCH(WORKORDER[[#This Row],[TRAVELER]],Table1[TRAVELER],0)),L1375,'PACKING SLIP'!$F$5)</f>
        <v>30069</v>
      </c>
    </row>
    <row r="1376">
      <c r="A1376">
        <v>717173</v>
      </c>
      <c r="B1376" t="str">
        <v>11546370-MY-AK</v>
      </c>
      <c r="C1376">
        <v>1354</v>
      </c>
      <c r="E1376">
        <v>1127</v>
      </c>
      <c r="F1376">
        <v>7654</v>
      </c>
      <c r="G1376">
        <v>193595</v>
      </c>
      <c r="H1376" s="1">
        <v>46265</v>
      </c>
      <c r="I1376" t="str">
        <v>TRAVELERRECEIVED</v>
      </c>
      <c r="K1376" t="str">
        <f>IF(ISERROR(MATCH(WORKORDER[[#This Row],[TRAVELER]],Table1[TRAVELER],0)),K1376,"Shipped")</f>
        <v>Shipped</v>
      </c>
      <c r="L1376">
        <f>+IF(ISERROR(MATCH(WORKORDER[[#This Row],[TRAVELER]],Table1[TRAVELER],0)),L1376,'PACKING SLIP'!$F$5)</f>
        <v>30059</v>
      </c>
    </row>
    <row r="1377">
      <c r="A1377">
        <v>717174</v>
      </c>
      <c r="B1377" t="str">
        <v>11546370-MY-AK</v>
      </c>
      <c r="C1377">
        <v>1410</v>
      </c>
      <c r="E1377">
        <v>1105</v>
      </c>
      <c r="F1377">
        <v>7416</v>
      </c>
      <c r="G1377">
        <v>193595</v>
      </c>
      <c r="H1377" s="1">
        <v>46265</v>
      </c>
      <c r="I1377" t="str">
        <v>TRAVELERRECEIVED</v>
      </c>
      <c r="K1377" t="str">
        <f>IF(ISERROR(MATCH(WORKORDER[[#This Row],[TRAVELER]],Table1[TRAVELER],0)),K1377,"Shipped")</f>
        <v>Shipped</v>
      </c>
      <c r="L1377">
        <f>+IF(ISERROR(MATCH(WORKORDER[[#This Row],[TRAVELER]],Table1[TRAVELER],0)),L1377,'PACKING SLIP'!$F$5)</f>
        <v>30059</v>
      </c>
    </row>
    <row r="1378">
      <c r="A1378">
        <v>717175</v>
      </c>
      <c r="B1378" t="str">
        <v>11546378-MY-AK</v>
      </c>
      <c r="C1378">
        <v>785</v>
      </c>
      <c r="E1378">
        <v>1104</v>
      </c>
      <c r="F1378">
        <v>42299</v>
      </c>
      <c r="G1378">
        <v>193595</v>
      </c>
      <c r="H1378" s="1">
        <v>46265</v>
      </c>
      <c r="I1378" t="str">
        <v>TRAVELERRECEIVED</v>
      </c>
      <c r="K1378" t="str">
        <f>IF(ISERROR(MATCH(WORKORDER[[#This Row],[TRAVELER]],Table1[TRAVELER],0)),K1378,"Shipped")</f>
        <v>Shipped</v>
      </c>
      <c r="L1378">
        <f>+IF(ISERROR(MATCH(WORKORDER[[#This Row],[TRAVELER]],Table1[TRAVELER],0)),L1378,'PACKING SLIP'!$F$5)</f>
        <v>30080</v>
      </c>
    </row>
    <row r="1379">
      <c r="A1379">
        <v>717176</v>
      </c>
      <c r="B1379" t="str">
        <v>11546378-MY-AK</v>
      </c>
      <c r="C1379">
        <v>355</v>
      </c>
      <c r="E1379">
        <v>1096</v>
      </c>
      <c r="F1379">
        <v>41992</v>
      </c>
      <c r="G1379">
        <v>193595</v>
      </c>
      <c r="H1379" s="1">
        <v>46265</v>
      </c>
      <c r="I1379" t="str">
        <v>TRAVELERRECEIVED</v>
      </c>
      <c r="K1379" t="str">
        <f>IF(ISERROR(MATCH(WORKORDER[[#This Row],[TRAVELER]],Table1[TRAVELER],0)),K1379,"Shipped")</f>
        <v>Shipped</v>
      </c>
      <c r="L1379">
        <f>+IF(ISERROR(MATCH(WORKORDER[[#This Row],[TRAVELER]],Table1[TRAVELER],0)),L1379,'PACKING SLIP'!$F$5)</f>
        <v>30061</v>
      </c>
    </row>
    <row r="1380">
      <c r="A1380">
        <v>717177</v>
      </c>
      <c r="B1380" t="str">
        <v>11546378-MY-AK</v>
      </c>
      <c r="C1380">
        <v>1602</v>
      </c>
      <c r="E1380">
        <v>1091</v>
      </c>
      <c r="F1380">
        <v>41801</v>
      </c>
      <c r="G1380">
        <v>193595</v>
      </c>
      <c r="H1380" s="1">
        <v>46265</v>
      </c>
      <c r="I1380" t="str">
        <v>TRAVELERRECEIVED</v>
      </c>
      <c r="K1380" t="str">
        <f>IF(ISERROR(MATCH(WORKORDER[[#This Row],[TRAVELER]],Table1[TRAVELER],0)),K1380,"Shipped")</f>
        <v>Shipped</v>
      </c>
      <c r="L1380">
        <f>+IF(ISERROR(MATCH(WORKORDER[[#This Row],[TRAVELER]],Table1[TRAVELER],0)),L1380,'PACKING SLIP'!$F$5)</f>
        <v>30072</v>
      </c>
    </row>
    <row r="1381">
      <c r="A1381">
        <v>717178</v>
      </c>
      <c r="B1381" t="str">
        <v>11546378-MY-AK</v>
      </c>
      <c r="C1381">
        <v>696</v>
      </c>
      <c r="E1381">
        <v>1126</v>
      </c>
      <c r="F1381">
        <v>43142</v>
      </c>
      <c r="G1381">
        <v>193595</v>
      </c>
      <c r="H1381" s="1">
        <v>46265</v>
      </c>
      <c r="I1381" t="str">
        <v>TRAVELERRECEIVED</v>
      </c>
      <c r="K1381" t="str">
        <f>IF(ISERROR(MATCH(WORKORDER[[#This Row],[TRAVELER]],Table1[TRAVELER],0)),K1381,"Shipped")</f>
        <v>Shipped</v>
      </c>
      <c r="L1381">
        <f>+IF(ISERROR(MATCH(WORKORDER[[#This Row],[TRAVELER]],Table1[TRAVELER],0)),L1381,'PACKING SLIP'!$F$5)</f>
        <v>30067</v>
      </c>
    </row>
    <row r="1382">
      <c r="A1382">
        <v>717497</v>
      </c>
      <c r="B1382" t="str">
        <v>11546367-MY-AK</v>
      </c>
      <c r="C1382">
        <v>608</v>
      </c>
      <c r="E1382">
        <v>1162</v>
      </c>
      <c r="F1382">
        <v>24989</v>
      </c>
      <c r="G1382">
        <v>193595</v>
      </c>
      <c r="H1382" s="1">
        <v>46265</v>
      </c>
      <c r="I1382" t="str">
        <v>TRAVELERRECEIVED</v>
      </c>
      <c r="K1382" t="str">
        <f>IF(ISERROR(MATCH(WORKORDER[[#This Row],[TRAVELER]],Table1[TRAVELER],0)),K1382,"Shipped")</f>
        <v>Shipped</v>
      </c>
      <c r="L1382">
        <f>+IF(ISERROR(MATCH(WORKORDER[[#This Row],[TRAVELER]],Table1[TRAVELER],0)),L1382,'PACKING SLIP'!$F$5)</f>
        <v>30065</v>
      </c>
    </row>
    <row r="1383">
      <c r="A1383">
        <v>717498</v>
      </c>
      <c r="B1383" t="str">
        <v>11546367-MY-AK</v>
      </c>
      <c r="C1383">
        <v>809</v>
      </c>
      <c r="E1383">
        <v>1143</v>
      </c>
      <c r="F1383">
        <v>24581</v>
      </c>
      <c r="G1383">
        <v>193595</v>
      </c>
      <c r="H1383" s="1">
        <v>46265</v>
      </c>
      <c r="I1383" t="str">
        <v>TRAVELERRECEIVED</v>
      </c>
      <c r="K1383" t="str">
        <f>IF(ISERROR(MATCH(WORKORDER[[#This Row],[TRAVELER]],Table1[TRAVELER],0)),K1383,"Shipped")</f>
        <v>Shipped</v>
      </c>
      <c r="L1383">
        <f>+IF(ISERROR(MATCH(WORKORDER[[#This Row],[TRAVELER]],Table1[TRAVELER],0)),L1383,'PACKING SLIP'!$F$5)</f>
        <v>30072</v>
      </c>
    </row>
    <row r="1384">
      <c r="A1384">
        <v>717507</v>
      </c>
      <c r="B1384" t="str">
        <v>11546367-MY-AK</v>
      </c>
      <c r="C1384">
        <v>1713</v>
      </c>
      <c r="E1384">
        <v>1219</v>
      </c>
      <c r="F1384">
        <v>26215</v>
      </c>
      <c r="G1384">
        <v>193595</v>
      </c>
      <c r="H1384" s="1">
        <v>46265</v>
      </c>
      <c r="I1384" t="str">
        <v>TRAVELERRECEIVED</v>
      </c>
      <c r="K1384" t="str">
        <f>IF(ISERROR(MATCH(WORKORDER[[#This Row],[TRAVELER]],Table1[TRAVELER],0)),K1384,"Shipped")</f>
        <v>Shipped</v>
      </c>
      <c r="L1384">
        <f>+IF(ISERROR(MATCH(WORKORDER[[#This Row],[TRAVELER]],Table1[TRAVELER],0)),L1384,'PACKING SLIP'!$F$5)</f>
        <v>30065</v>
      </c>
    </row>
    <row r="1385">
      <c r="A1385">
        <v>717508</v>
      </c>
      <c r="B1385" t="str">
        <v>11546367-MY-AK</v>
      </c>
      <c r="C1385">
        <v>331</v>
      </c>
      <c r="E1385">
        <v>1085</v>
      </c>
      <c r="F1385">
        <v>23333</v>
      </c>
      <c r="G1385">
        <v>193595</v>
      </c>
      <c r="H1385" s="1">
        <v>46265</v>
      </c>
      <c r="I1385" t="str">
        <v>TRAVELERRECEIVED</v>
      </c>
      <c r="K1385" t="str">
        <f>IF(ISERROR(MATCH(WORKORDER[[#This Row],[TRAVELER]],Table1[TRAVELER],0)),K1385,"Shipped")</f>
        <v>Shipped</v>
      </c>
      <c r="L1385">
        <f>+IF(ISERROR(MATCH(WORKORDER[[#This Row],[TRAVELER]],Table1[TRAVELER],0)),L1385,'PACKING SLIP'!$F$5)</f>
        <v>30067</v>
      </c>
    </row>
    <row r="1386">
      <c r="A1386">
        <v>717509</v>
      </c>
      <c r="B1386" t="str">
        <v>11546367-MY-AK</v>
      </c>
      <c r="C1386">
        <v>581</v>
      </c>
      <c r="E1386">
        <v>1142</v>
      </c>
      <c r="F1386">
        <v>24559</v>
      </c>
      <c r="G1386">
        <v>193595</v>
      </c>
      <c r="H1386" s="1">
        <v>46265</v>
      </c>
      <c r="I1386" t="str">
        <v>TRAVELERRECEIVED</v>
      </c>
      <c r="K1386" t="str">
        <f>IF(ISERROR(MATCH(WORKORDER[[#This Row],[TRAVELER]],Table1[TRAVELER],0)),K1386,"Shipped")</f>
        <v>Shipped</v>
      </c>
      <c r="L1386">
        <f>+IF(ISERROR(MATCH(WORKORDER[[#This Row],[TRAVELER]],Table1[TRAVELER],0)),L1386,'PACKING SLIP'!$F$5)</f>
        <v>30059</v>
      </c>
    </row>
    <row r="1387">
      <c r="A1387">
        <v>717510</v>
      </c>
      <c r="B1387" t="str">
        <v>11546367-MY-AK</v>
      </c>
      <c r="C1387">
        <v>1767</v>
      </c>
      <c r="E1387">
        <v>1146</v>
      </c>
      <c r="F1387">
        <v>24645</v>
      </c>
      <c r="G1387">
        <v>193595</v>
      </c>
      <c r="H1387" s="1">
        <v>46265</v>
      </c>
      <c r="I1387" t="str">
        <v>TRAVELERRECEIVED</v>
      </c>
      <c r="K1387" t="str">
        <f>IF(ISERROR(MATCH(WORKORDER[[#This Row],[TRAVELER]],Table1[TRAVELER],0)),K1387,"Shipped")</f>
        <v>Shipped</v>
      </c>
      <c r="L1387">
        <f>+IF(ISERROR(MATCH(WORKORDER[[#This Row],[TRAVELER]],Table1[TRAVELER],0)),L1387,'PACKING SLIP'!$F$5)</f>
        <v>30092</v>
      </c>
    </row>
    <row r="1388">
      <c r="A1388">
        <v>717625</v>
      </c>
      <c r="B1388" t="str">
        <v>06104388AA</v>
      </c>
      <c r="C1388">
        <v>99</v>
      </c>
      <c r="E1388">
        <v>827</v>
      </c>
      <c r="F1388">
        <v>20024</v>
      </c>
      <c r="G1388">
        <v>193595</v>
      </c>
      <c r="H1388" s="1">
        <v>46265</v>
      </c>
      <c r="I1388" t="str">
        <v>TRAVELERRECEIVED</v>
      </c>
      <c r="K1388" t="str">
        <f>IF(ISERROR(MATCH(WORKORDER[[#This Row],[TRAVELER]],Table1[TRAVELER],0)),K1388,"Shipped")</f>
        <v>Shipped</v>
      </c>
      <c r="L1388">
        <f>+IF(ISERROR(MATCH(WORKORDER[[#This Row],[TRAVELER]],Table1[TRAVELER],0)),L1388,'PACKING SLIP'!$F$5)</f>
        <v>30057</v>
      </c>
    </row>
    <row r="1389">
      <c r="A1389">
        <v>717626</v>
      </c>
      <c r="B1389" t="str">
        <v>06104388AA</v>
      </c>
      <c r="C1389">
        <v>910</v>
      </c>
      <c r="E1389">
        <v>851</v>
      </c>
      <c r="F1389">
        <v>20605</v>
      </c>
      <c r="G1389">
        <v>193595</v>
      </c>
      <c r="H1389" s="1">
        <v>46265</v>
      </c>
      <c r="I1389" t="str">
        <v>TRAVELERRECEIVED</v>
      </c>
      <c r="K1389" t="str">
        <f>IF(ISERROR(MATCH(WORKORDER[[#This Row],[TRAVELER]],Table1[TRAVELER],0)),K1389,"Shipped")</f>
        <v>Shipped</v>
      </c>
      <c r="L1389">
        <f>+IF(ISERROR(MATCH(WORKORDER[[#This Row],[TRAVELER]],Table1[TRAVELER],0)),L1389,'PACKING SLIP'!$F$5)</f>
        <v>30072</v>
      </c>
    </row>
    <row r="1390">
      <c r="A1390">
        <v>717627</v>
      </c>
      <c r="B1390" t="str">
        <v>06104388AA</v>
      </c>
      <c r="C1390">
        <v>1798</v>
      </c>
      <c r="E1390">
        <v>775</v>
      </c>
      <c r="F1390">
        <v>18765</v>
      </c>
      <c r="G1390">
        <v>193595</v>
      </c>
      <c r="H1390" s="1">
        <v>46265</v>
      </c>
      <c r="I1390" t="str">
        <v>TRAVELERRECEIVED</v>
      </c>
      <c r="K1390" t="str">
        <f>IF(ISERROR(MATCH(WORKORDER[[#This Row],[TRAVELER]],Table1[TRAVELER],0)),K1390,"Shipped")</f>
        <v>Shipped</v>
      </c>
      <c r="L1390">
        <f>+IF(ISERROR(MATCH(WORKORDER[[#This Row],[TRAVELER]],Table1[TRAVELER],0)),L1390,'PACKING SLIP'!$F$5)</f>
        <v>30072</v>
      </c>
    </row>
    <row r="1391">
      <c r="A1391">
        <v>717628</v>
      </c>
      <c r="B1391" t="str">
        <v>06104388AA</v>
      </c>
      <c r="C1391">
        <v>958</v>
      </c>
      <c r="E1391">
        <v>929</v>
      </c>
      <c r="F1391">
        <v>22494</v>
      </c>
      <c r="G1391">
        <v>193595</v>
      </c>
      <c r="H1391" s="1">
        <v>46265</v>
      </c>
      <c r="I1391" t="str">
        <v>TRAVELERRECEIVED</v>
      </c>
      <c r="K1391" t="str">
        <f>IF(ISERROR(MATCH(WORKORDER[[#This Row],[TRAVELER]],Table1[TRAVELER],0)),K1391,"Shipped")</f>
        <v>Shipped</v>
      </c>
      <c r="L1391">
        <f>+IF(ISERROR(MATCH(WORKORDER[[#This Row],[TRAVELER]],Table1[TRAVELER],0)),L1391,'PACKING SLIP'!$F$5)</f>
        <v>30059</v>
      </c>
    </row>
    <row r="1392">
      <c r="A1392">
        <v>717639</v>
      </c>
      <c r="B1392" t="str">
        <v>11546389-PH-RO</v>
      </c>
      <c r="C1392">
        <v>977</v>
      </c>
      <c r="E1392">
        <v>841</v>
      </c>
      <c r="F1392">
        <v>109221</v>
      </c>
      <c r="G1392">
        <v>193595</v>
      </c>
      <c r="H1392" s="1">
        <v>46265</v>
      </c>
      <c r="I1392" t="str">
        <v>TRAVELERRECEIVED</v>
      </c>
      <c r="K1392" t="str">
        <f>IF(ISERROR(MATCH(WORKORDER[[#This Row],[TRAVELER]],Table1[TRAVELER],0)),K1392,"Shipped")</f>
        <v>Shipped</v>
      </c>
      <c r="L1392">
        <f>+IF(ISERROR(MATCH(WORKORDER[[#This Row],[TRAVELER]],Table1[TRAVELER],0)),L1392,'PACKING SLIP'!$F$5)</f>
        <v>30069</v>
      </c>
    </row>
    <row r="1393">
      <c r="A1393">
        <v>717640</v>
      </c>
      <c r="B1393" t="str">
        <v>11546389-PH-RO</v>
      </c>
      <c r="C1393">
        <v>588</v>
      </c>
      <c r="E1393">
        <v>1000</v>
      </c>
      <c r="F1393">
        <v>129870</v>
      </c>
      <c r="G1393">
        <v>193595</v>
      </c>
      <c r="H1393" s="1">
        <v>46265</v>
      </c>
      <c r="I1393" t="str">
        <v>TRAVELERRECEIVED</v>
      </c>
      <c r="K1393" t="str">
        <f>IF(ISERROR(MATCH(WORKORDER[[#This Row],[TRAVELER]],Table1[TRAVELER],0)),K1393,"Shipped")</f>
        <v>Shipped</v>
      </c>
      <c r="L1393">
        <f>+IF(ISERROR(MATCH(WORKORDER[[#This Row],[TRAVELER]],Table1[TRAVELER],0)),L1393,'PACKING SLIP'!$F$5)</f>
        <v>0</v>
      </c>
    </row>
    <row r="1394">
      <c r="A1394">
        <v>717641</v>
      </c>
      <c r="B1394" t="str">
        <v>1154389-PH-RO</v>
      </c>
      <c r="C1394">
        <v>936</v>
      </c>
      <c r="E1394">
        <v>1010</v>
      </c>
      <c r="F1394">
        <v>131169</v>
      </c>
      <c r="G1394">
        <v>193595</v>
      </c>
      <c r="H1394" s="1">
        <v>46265</v>
      </c>
      <c r="I1394" t="str">
        <v>TRAVELERRECEIVED</v>
      </c>
      <c r="K1394" t="str">
        <f>IF(ISERROR(MATCH(WORKORDER[[#This Row],[TRAVELER]],Table1[TRAVELER],0)),K1394,"Shipped")</f>
        <v>Shipped</v>
      </c>
      <c r="L1394">
        <f>+IF(ISERROR(MATCH(WORKORDER[[#This Row],[TRAVELER]],Table1[TRAVELER],0)),L1394,'PACKING SLIP'!$F$5)</f>
        <v>30069</v>
      </c>
    </row>
    <row r="1395">
      <c r="A1395">
        <v>717642</v>
      </c>
      <c r="B1395" t="str">
        <v>11546389-PH-RO</v>
      </c>
      <c r="C1395">
        <v>1134</v>
      </c>
      <c r="E1395">
        <v>813</v>
      </c>
      <c r="F1395">
        <v>105584</v>
      </c>
      <c r="G1395">
        <v>193595</v>
      </c>
      <c r="H1395" s="1">
        <v>46265</v>
      </c>
      <c r="I1395" t="str">
        <v>TRAVELERRECEIVED</v>
      </c>
      <c r="K1395" t="str">
        <f>IF(ISERROR(MATCH(WORKORDER[[#This Row],[TRAVELER]],Table1[TRAVELER],0)),K1395,"Shipped")</f>
        <v>Shipped</v>
      </c>
      <c r="L1395">
        <f>+IF(ISERROR(MATCH(WORKORDER[[#This Row],[TRAVELER]],Table1[TRAVELER],0)),L1395,'PACKING SLIP'!$F$5)</f>
        <v>30072</v>
      </c>
    </row>
    <row r="1396">
      <c r="A1396">
        <v>717643</v>
      </c>
      <c r="B1396" t="str">
        <v>11546389-PH-RO</v>
      </c>
      <c r="C1396">
        <v>1390</v>
      </c>
      <c r="E1396">
        <v>889</v>
      </c>
      <c r="F1396">
        <v>115455</v>
      </c>
      <c r="G1396">
        <v>193595</v>
      </c>
      <c r="H1396" s="1">
        <v>46265</v>
      </c>
      <c r="I1396" t="str">
        <v>TRAVELERRECEIVED</v>
      </c>
      <c r="K1396" t="str">
        <f>IF(ISERROR(MATCH(WORKORDER[[#This Row],[TRAVELER]],Table1[TRAVELER],0)),K1396,"Shipped")</f>
        <v>Shipped</v>
      </c>
      <c r="L1396">
        <f>+IF(ISERROR(MATCH(WORKORDER[[#This Row],[TRAVELER]],Table1[TRAVELER],0)),L1396,'PACKING SLIP'!$F$5)</f>
        <v>30072</v>
      </c>
    </row>
    <row r="1397">
      <c r="A1397">
        <v>717689</v>
      </c>
      <c r="B1397">
        <v>11546449</v>
      </c>
      <c r="C1397">
        <v>1324</v>
      </c>
      <c r="E1397">
        <v>1058</v>
      </c>
      <c r="F1397">
        <v>89661</v>
      </c>
      <c r="G1397">
        <v>193595</v>
      </c>
      <c r="H1397" s="1">
        <v>46265</v>
      </c>
      <c r="I1397" t="str">
        <v>TRAVELERRECEIVED</v>
      </c>
      <c r="K1397" t="str">
        <f>IF(ISERROR(MATCH(WORKORDER[[#This Row],[TRAVELER]],Table1[TRAVELER],0)),K1397,"Shipped")</f>
        <v>Shipped</v>
      </c>
      <c r="L1397">
        <f>+IF(ISERROR(MATCH(WORKORDER[[#This Row],[TRAVELER]],Table1[TRAVELER],0)),L1397,'PACKING SLIP'!$F$5)</f>
        <v>30085</v>
      </c>
    </row>
    <row r="1398">
      <c r="A1398">
        <v>717690</v>
      </c>
      <c r="B1398">
        <v>11546449</v>
      </c>
      <c r="C1398">
        <v>1016</v>
      </c>
      <c r="E1398">
        <v>1044</v>
      </c>
      <c r="F1398">
        <v>88475</v>
      </c>
      <c r="G1398">
        <v>193595</v>
      </c>
      <c r="H1398" s="1">
        <v>46265</v>
      </c>
      <c r="I1398" t="str">
        <v>TRAVELERRECEIVED</v>
      </c>
      <c r="K1398" t="str">
        <f>IF(ISERROR(MATCH(WORKORDER[[#This Row],[TRAVELER]],Table1[TRAVELER],0)),K1398,"Shipped")</f>
        <v>Shipped</v>
      </c>
      <c r="L1398">
        <f>+IF(ISERROR(MATCH(WORKORDER[[#This Row],[TRAVELER]],Table1[TRAVELER],0)),L1398,'PACKING SLIP'!$F$5)</f>
        <v>30072</v>
      </c>
    </row>
    <row r="1399">
      <c r="A1399">
        <v>717691</v>
      </c>
      <c r="B1399">
        <v>11546449</v>
      </c>
      <c r="C1399">
        <v>620</v>
      </c>
      <c r="E1399">
        <v>1052</v>
      </c>
      <c r="F1399">
        <v>89153</v>
      </c>
      <c r="G1399">
        <v>193595</v>
      </c>
      <c r="H1399" s="1">
        <v>46265</v>
      </c>
      <c r="I1399" t="str">
        <v>TRAVELERRECEIVED</v>
      </c>
      <c r="K1399" t="str">
        <f>IF(ISERROR(MATCH(WORKORDER[[#This Row],[TRAVELER]],Table1[TRAVELER],0)),K1399,"Shipped")</f>
        <v>Shipped</v>
      </c>
      <c r="L1399">
        <f>+IF(ISERROR(MATCH(WORKORDER[[#This Row],[TRAVELER]],Table1[TRAVELER],0)),L1399,'PACKING SLIP'!$F$5)</f>
        <v>30065</v>
      </c>
    </row>
    <row r="1400">
      <c r="A1400">
        <v>717692</v>
      </c>
      <c r="B1400">
        <v>11546449</v>
      </c>
      <c r="C1400">
        <v>1503</v>
      </c>
      <c r="E1400">
        <v>1073</v>
      </c>
      <c r="F1400">
        <v>90932</v>
      </c>
      <c r="G1400">
        <v>193595</v>
      </c>
      <c r="H1400" s="1">
        <v>46265</v>
      </c>
      <c r="I1400" t="str">
        <v>TRAVELERRECEIVED</v>
      </c>
      <c r="K1400" t="str">
        <f>IF(ISERROR(MATCH(WORKORDER[[#This Row],[TRAVELER]],Table1[TRAVELER],0)),K1400,"Shipped")</f>
        <v>Shipped</v>
      </c>
      <c r="L1400">
        <f>+IF(ISERROR(MATCH(WORKORDER[[#This Row],[TRAVELER]],Table1[TRAVELER],0)),L1400,'PACKING SLIP'!$F$5)</f>
        <v>30067</v>
      </c>
    </row>
    <row r="1401">
      <c r="A1401">
        <v>717693</v>
      </c>
      <c r="B1401">
        <v>11546449</v>
      </c>
      <c r="C1401">
        <v>49</v>
      </c>
      <c r="E1401">
        <v>1146</v>
      </c>
      <c r="F1401">
        <v>97119</v>
      </c>
      <c r="G1401">
        <v>193595</v>
      </c>
      <c r="H1401" s="1">
        <v>46265</v>
      </c>
      <c r="I1401" t="str">
        <v>TRAVELERRECEIVED</v>
      </c>
      <c r="K1401" t="str">
        <f>IF(ISERROR(MATCH(WORKORDER[[#This Row],[TRAVELER]],Table1[TRAVELER],0)),K1401,"Shipped")</f>
        <v>Shipped</v>
      </c>
      <c r="L1401">
        <f>+IF(ISERROR(MATCH(WORKORDER[[#This Row],[TRAVELER]],Table1[TRAVELER],0)),L1401,'PACKING SLIP'!$F$5)</f>
        <v>30069</v>
      </c>
    </row>
    <row r="1402">
      <c r="A1402">
        <v>717694</v>
      </c>
      <c r="B1402">
        <v>11546449</v>
      </c>
      <c r="C1402">
        <v>841</v>
      </c>
      <c r="E1402">
        <v>960</v>
      </c>
      <c r="F1402">
        <v>81356</v>
      </c>
      <c r="G1402">
        <v>193595</v>
      </c>
      <c r="H1402" s="1">
        <v>46265</v>
      </c>
      <c r="I1402" t="str">
        <v>TRAVELERRECEIVED</v>
      </c>
      <c r="K1402" t="str">
        <v>Shipped</v>
      </c>
      <c r="L1402">
        <v>30069</v>
      </c>
    </row>
    <row r="1403">
      <c r="A1403">
        <v>717898</v>
      </c>
      <c r="B1403">
        <v>11602031</v>
      </c>
      <c r="C1403">
        <v>396</v>
      </c>
      <c r="E1403">
        <v>901</v>
      </c>
      <c r="F1403">
        <v>4415</v>
      </c>
      <c r="G1403">
        <v>193595</v>
      </c>
      <c r="H1403" s="1">
        <v>46265</v>
      </c>
      <c r="I1403" t="str">
        <v>TRAVELERRECEIVED</v>
      </c>
      <c r="K1403" t="str">
        <f>IF(ISERROR(MATCH(WORKORDER[[#This Row],[TRAVELER]],Table1[TRAVELER],0)),K1403,"Shipped")</f>
        <v>Shipped</v>
      </c>
      <c r="L1403">
        <f>+IF(ISERROR(MATCH(WORKORDER[[#This Row],[TRAVELER]],Table1[TRAVELER],0)),L1403,'PACKING SLIP'!$F$5)</f>
        <v>30080</v>
      </c>
    </row>
    <row r="1404">
      <c r="A1404">
        <v>717899</v>
      </c>
      <c r="B1404">
        <v>11602031</v>
      </c>
      <c r="C1404">
        <v>981</v>
      </c>
      <c r="E1404">
        <v>852</v>
      </c>
      <c r="F1404">
        <v>4174</v>
      </c>
      <c r="G1404">
        <v>193595</v>
      </c>
      <c r="H1404" s="1">
        <v>46265</v>
      </c>
      <c r="I1404" t="str">
        <v>TRAVELERRECEIVED</v>
      </c>
      <c r="K1404" t="str">
        <f>IF(ISERROR(MATCH(WORKORDER[[#This Row],[TRAVELER]],Table1[TRAVELER],0)),K1404,"Shipped")</f>
        <v>Shipped</v>
      </c>
      <c r="L1404">
        <f>+IF(ISERROR(MATCH(WORKORDER[[#This Row],[TRAVELER]],Table1[TRAVELER],0)),L1404,'PACKING SLIP'!$F$5)</f>
        <v>30057</v>
      </c>
    </row>
    <row r="1405">
      <c r="A1405">
        <v>717900</v>
      </c>
      <c r="B1405">
        <v>11602031</v>
      </c>
      <c r="C1405">
        <v>1050</v>
      </c>
      <c r="E1405">
        <v>754</v>
      </c>
      <c r="F1405">
        <v>3694</v>
      </c>
      <c r="G1405">
        <v>193595</v>
      </c>
      <c r="H1405" s="1">
        <v>46265</v>
      </c>
      <c r="I1405" t="str">
        <v>TRAVELERRECEIVED</v>
      </c>
      <c r="K1405" t="str">
        <f>IF(ISERROR(MATCH(WORKORDER[[#This Row],[TRAVELER]],Table1[TRAVELER],0)),K1405,"Shipped")</f>
        <v>Shipped</v>
      </c>
      <c r="L1405">
        <f>+IF(ISERROR(MATCH(WORKORDER[[#This Row],[TRAVELER]],Table1[TRAVELER],0)),L1405,'PACKING SLIP'!$F$5)</f>
        <v>30082</v>
      </c>
    </row>
    <row r="1406">
      <c r="A1406">
        <v>717901</v>
      </c>
      <c r="B1406">
        <v>11602031</v>
      </c>
      <c r="C1406">
        <v>927</v>
      </c>
      <c r="E1406">
        <v>999</v>
      </c>
      <c r="F1406">
        <v>4895</v>
      </c>
      <c r="G1406">
        <v>193595</v>
      </c>
      <c r="H1406" s="1">
        <v>46265</v>
      </c>
      <c r="I1406" t="str">
        <v>TRAVELERRECEIVED</v>
      </c>
      <c r="K1406" t="str">
        <f>IF(ISERROR(MATCH(WORKORDER[[#This Row],[TRAVELER]],Table1[TRAVELER],0)),K1406,"Shipped")</f>
        <v>Shipped</v>
      </c>
      <c r="L1406">
        <f>+IF(ISERROR(MATCH(WORKORDER[[#This Row],[TRAVELER]],Table1[TRAVELER],0)),L1406,'PACKING SLIP'!$F$5)</f>
        <v>30065</v>
      </c>
    </row>
    <row r="1407">
      <c r="A1407">
        <v>171647</v>
      </c>
      <c r="B1407" t="str">
        <v>11546389-PH-RO</v>
      </c>
      <c r="C1407">
        <v>1060</v>
      </c>
      <c r="E1407">
        <v>1050</v>
      </c>
      <c r="F1407">
        <v>136364</v>
      </c>
      <c r="G1407">
        <v>193611</v>
      </c>
      <c r="H1407" s="1">
        <v>46266</v>
      </c>
      <c r="K1407">
        <f>IF(ISERROR(MATCH(WORKORDER[[#This Row],[TRAVELER]],Table1[TRAVELER],0)),K1407,"Shipped")</f>
        <v>0</v>
      </c>
      <c r="L1407">
        <f>+IF(ISERROR(MATCH(WORKORDER[[#This Row],[TRAVELER]],Table1[TRAVELER],0)),L1407,'PACKING SLIP'!$F$5)</f>
        <v>0</v>
      </c>
    </row>
    <row r="1408">
      <c r="A1408">
        <v>716623</v>
      </c>
      <c r="B1408" t="str">
        <v>11546370-MY-AK</v>
      </c>
      <c r="C1408">
        <v>923</v>
      </c>
      <c r="E1408">
        <v>1170</v>
      </c>
      <c r="F1408">
        <v>7852</v>
      </c>
      <c r="G1408">
        <v>193611</v>
      </c>
      <c r="H1408" s="1">
        <v>46266</v>
      </c>
      <c r="I1408" t="str">
        <v>TRAVELERRECEIVED</v>
      </c>
      <c r="K1408">
        <f>IF(ISERROR(MATCH(WORKORDER[[#This Row],[TRAVELER]],Table1[TRAVELER],0)),K1408,"Shipped")</f>
        <v>0</v>
      </c>
      <c r="L1408">
        <f>+IF(ISERROR(MATCH(WORKORDER[[#This Row],[TRAVELER]],Table1[TRAVELER],0)),L1408,'PACKING SLIP'!$F$5)</f>
        <v>0</v>
      </c>
    </row>
    <row r="1409">
      <c r="A1409">
        <v>716624</v>
      </c>
      <c r="B1409" t="str">
        <v>11546370-MY-AK</v>
      </c>
      <c r="C1409">
        <v>319</v>
      </c>
      <c r="E1409">
        <v>1053</v>
      </c>
      <c r="F1409">
        <v>7067</v>
      </c>
      <c r="G1409">
        <v>193611</v>
      </c>
      <c r="H1409" s="1">
        <v>46266</v>
      </c>
      <c r="I1409" t="str">
        <v>TRAVELERRECEIVED</v>
      </c>
      <c r="K1409" t="str">
        <f>IF(ISERROR(MATCH(WORKORDER[[#This Row],[TRAVELER]],Table1[TRAVELER],0)),K1409,"Shipped")</f>
        <v>Shipped</v>
      </c>
      <c r="L1409">
        <f>+IF(ISERROR(MATCH(WORKORDER[[#This Row],[TRAVELER]],Table1[TRAVELER],0)),L1409,'PACKING SLIP'!$F$5)</f>
        <v>30061</v>
      </c>
    </row>
    <row r="1410">
      <c r="A1410">
        <v>716625</v>
      </c>
      <c r="B1410" t="str">
        <v>11546370-MY-AK</v>
      </c>
      <c r="C1410">
        <v>856</v>
      </c>
      <c r="E1410">
        <v>1159</v>
      </c>
      <c r="F1410">
        <v>7779</v>
      </c>
      <c r="G1410">
        <v>193611</v>
      </c>
      <c r="H1410" s="1">
        <v>46266</v>
      </c>
      <c r="I1410" t="str">
        <v>TRAVELERRECEIVED</v>
      </c>
      <c r="K1410" t="str">
        <f>IF(ISERROR(MATCH(WORKORDER[[#This Row],[TRAVELER]],Table1[TRAVELER],0)),K1410,"Shipped")</f>
        <v>Shipped</v>
      </c>
      <c r="L1410">
        <f>+IF(ISERROR(MATCH(WORKORDER[[#This Row],[TRAVELER]],Table1[TRAVELER],0)),L1410,'PACKING SLIP'!$F$5)</f>
        <v>30061</v>
      </c>
    </row>
    <row r="1411">
      <c r="A1411">
        <v>716626</v>
      </c>
      <c r="B1411" t="str">
        <v>11546370-MY-AK</v>
      </c>
      <c r="C1411">
        <v>1110</v>
      </c>
      <c r="E1411">
        <v>1070</v>
      </c>
      <c r="F1411">
        <v>7181</v>
      </c>
      <c r="G1411">
        <v>193611</v>
      </c>
      <c r="H1411" s="1">
        <v>46266</v>
      </c>
      <c r="I1411" t="str">
        <v>TRAVELERRECEIVED</v>
      </c>
      <c r="K1411" t="str">
        <f>IF(ISERROR(MATCH(WORKORDER[[#This Row],[TRAVELER]],Table1[TRAVELER],0)),K1411,"Shipped")</f>
        <v>Shipped</v>
      </c>
      <c r="L1411">
        <f>+IF(ISERROR(MATCH(WORKORDER[[#This Row],[TRAVELER]],Table1[TRAVELER],0)),L1411,'PACKING SLIP'!$F$5)</f>
        <v>30061</v>
      </c>
    </row>
    <row r="1412">
      <c r="A1412">
        <v>716627</v>
      </c>
      <c r="B1412" t="str">
        <v>11546370-MY-AK</v>
      </c>
      <c r="C1412">
        <v>136</v>
      </c>
      <c r="E1412">
        <v>1175</v>
      </c>
      <c r="F1412">
        <v>7886</v>
      </c>
      <c r="G1412">
        <v>193611</v>
      </c>
      <c r="H1412" s="1">
        <v>46266</v>
      </c>
      <c r="I1412" t="str">
        <v>TRAVELERRECEIVED</v>
      </c>
      <c r="K1412" t="str">
        <f>IF(ISERROR(MATCH(WORKORDER[[#This Row],[TRAVELER]],Table1[TRAVELER],0)),K1412,"Shipped")</f>
        <v>Shipped</v>
      </c>
      <c r="L1412">
        <f>+IF(ISERROR(MATCH(WORKORDER[[#This Row],[TRAVELER]],Table1[TRAVELER],0)),L1412,'PACKING SLIP'!$F$5)</f>
        <v>30061</v>
      </c>
    </row>
    <row r="1413">
      <c r="A1413">
        <v>716628</v>
      </c>
      <c r="B1413" t="str">
        <v>11546370-MY-AK</v>
      </c>
      <c r="C1413">
        <v>948</v>
      </c>
      <c r="E1413">
        <v>1055</v>
      </c>
      <c r="F1413">
        <v>7081</v>
      </c>
      <c r="G1413">
        <v>193611</v>
      </c>
      <c r="H1413" s="1">
        <v>46266</v>
      </c>
      <c r="I1413" t="str">
        <v>TRAVELERRECEIVED</v>
      </c>
      <c r="K1413" t="str">
        <f>IF(ISERROR(MATCH(WORKORDER[[#This Row],[TRAVELER]],Table1[TRAVELER],0)),K1413,"Shipped")</f>
        <v>Shipped</v>
      </c>
      <c r="L1413">
        <f>+IF(ISERROR(MATCH(WORKORDER[[#This Row],[TRAVELER]],Table1[TRAVELER],0)),L1413,'PACKING SLIP'!$F$5)</f>
        <v>30061</v>
      </c>
    </row>
    <row r="1414">
      <c r="A1414">
        <v>716629</v>
      </c>
      <c r="B1414" t="str">
        <v>11546370-MY-AK</v>
      </c>
      <c r="C1414">
        <v>673</v>
      </c>
      <c r="E1414">
        <v>1185</v>
      </c>
      <c r="F1414">
        <v>7953</v>
      </c>
      <c r="G1414">
        <v>193611</v>
      </c>
      <c r="H1414" s="1">
        <v>46266</v>
      </c>
      <c r="I1414" t="str">
        <v>TRAVELERRECEIVED</v>
      </c>
      <c r="K1414" t="str">
        <f>IF(ISERROR(MATCH(WORKORDER[[#This Row],[TRAVELER]],Table1[TRAVELER],0)),K1414,"Shipped")</f>
        <v>Shipped</v>
      </c>
      <c r="L1414">
        <f>+IF(ISERROR(MATCH(WORKORDER[[#This Row],[TRAVELER]],Table1[TRAVELER],0)),L1414,'PACKING SLIP'!$F$5)</f>
        <v>30059</v>
      </c>
    </row>
    <row r="1415">
      <c r="A1415">
        <v>716630</v>
      </c>
      <c r="B1415" t="str">
        <v>11546370-MY-AK</v>
      </c>
      <c r="C1415">
        <v>424</v>
      </c>
      <c r="E1415">
        <v>1032</v>
      </c>
      <c r="F1415">
        <v>6926</v>
      </c>
      <c r="G1415">
        <v>193611</v>
      </c>
      <c r="H1415" s="1">
        <v>46266</v>
      </c>
      <c r="I1415" t="str">
        <v>TRAVELERRECEIVED</v>
      </c>
      <c r="K1415" t="str">
        <f>IF(ISERROR(MATCH(WORKORDER[[#This Row],[TRAVELER]],Table1[TRAVELER],0)),K1415,"Shipped")</f>
        <v>Shipped</v>
      </c>
      <c r="L1415">
        <f>+IF(ISERROR(MATCH(WORKORDER[[#This Row],[TRAVELER]],Table1[TRAVELER],0)),L1415,'PACKING SLIP'!$F$5)</f>
        <v>30057</v>
      </c>
    </row>
    <row r="1416">
      <c r="A1416">
        <v>716631</v>
      </c>
      <c r="B1416" t="str">
        <v>11546370-MY-AK</v>
      </c>
      <c r="C1416">
        <v>1618</v>
      </c>
      <c r="E1416">
        <v>1206</v>
      </c>
      <c r="F1416">
        <v>8094</v>
      </c>
      <c r="G1416">
        <v>193611</v>
      </c>
      <c r="H1416" s="1">
        <v>46266</v>
      </c>
      <c r="I1416" t="str">
        <v>TRAVELERRECEIVED</v>
      </c>
      <c r="K1416" t="str">
        <f>IF(ISERROR(MATCH(WORKORDER[[#This Row],[TRAVELER]],Table1[TRAVELER],0)),K1416,"Shipped")</f>
        <v>Shipped</v>
      </c>
      <c r="L1416">
        <f>+IF(ISERROR(MATCH(WORKORDER[[#This Row],[TRAVELER]],Table1[TRAVELER],0)),L1416,'PACKING SLIP'!$F$5)</f>
        <v>30059</v>
      </c>
    </row>
    <row r="1417">
      <c r="A1417">
        <v>716632</v>
      </c>
      <c r="B1417" t="str">
        <v>11546370-MY-AK</v>
      </c>
      <c r="C1417">
        <v>1508</v>
      </c>
      <c r="E1417">
        <v>1006</v>
      </c>
      <c r="F1417">
        <v>6752</v>
      </c>
      <c r="G1417">
        <v>193611</v>
      </c>
      <c r="H1417" s="1">
        <v>46266</v>
      </c>
      <c r="I1417" t="str">
        <v>TRAVELERRECEIVED</v>
      </c>
      <c r="K1417" t="str">
        <f>IF(ISERROR(MATCH(WORKORDER[[#This Row],[TRAVELER]],Table1[TRAVELER],0)),K1417,"Shipped")</f>
        <v>Shipped</v>
      </c>
      <c r="L1417">
        <f>+IF(ISERROR(MATCH(WORKORDER[[#This Row],[TRAVELER]],Table1[TRAVELER],0)),L1417,'PACKING SLIP'!$F$5)</f>
        <v>30057</v>
      </c>
    </row>
    <row r="1418">
      <c r="A1418">
        <v>716633</v>
      </c>
      <c r="B1418" t="str">
        <v>11546370-MY-AK</v>
      </c>
      <c r="C1418">
        <v>313</v>
      </c>
      <c r="E1418">
        <v>1023</v>
      </c>
      <c r="F1418">
        <v>6866</v>
      </c>
      <c r="G1418">
        <v>193611</v>
      </c>
      <c r="H1418" s="1">
        <v>46266</v>
      </c>
      <c r="I1418" t="str">
        <v>TRAVELERRECEIVED</v>
      </c>
      <c r="K1418" t="str">
        <f>IF(ISERROR(MATCH(WORKORDER[[#This Row],[TRAVELER]],Table1[TRAVELER],0)),K1418,"Shipped")</f>
        <v>Shipped</v>
      </c>
      <c r="L1418">
        <f>+IF(ISERROR(MATCH(WORKORDER[[#This Row],[TRAVELER]],Table1[TRAVELER],0)),L1418,'PACKING SLIP'!$F$5)</f>
        <v>30061</v>
      </c>
    </row>
    <row r="1419">
      <c r="A1419">
        <v>716634</v>
      </c>
      <c r="B1419" t="str">
        <v>11546370-MY-AK</v>
      </c>
      <c r="C1419">
        <v>727</v>
      </c>
      <c r="E1419">
        <v>1198</v>
      </c>
      <c r="F1419">
        <v>8040</v>
      </c>
      <c r="G1419">
        <v>193611</v>
      </c>
      <c r="H1419" s="1">
        <v>46266</v>
      </c>
      <c r="I1419" t="str">
        <v>TRAVELERRECEIVED</v>
      </c>
      <c r="K1419" t="str">
        <f>IF(ISERROR(MATCH(WORKORDER[[#This Row],[TRAVELER]],Table1[TRAVELER],0)),K1419,"Shipped")</f>
        <v>Shipped</v>
      </c>
      <c r="L1419">
        <f>+IF(ISERROR(MATCH(WORKORDER[[#This Row],[TRAVELER]],Table1[TRAVELER],0)),L1419,'PACKING SLIP'!$F$5)</f>
        <v>30061</v>
      </c>
    </row>
    <row r="1420">
      <c r="A1420">
        <v>716635</v>
      </c>
      <c r="B1420" t="str">
        <v>11546370-MY-AK</v>
      </c>
      <c r="C1420">
        <v>932</v>
      </c>
      <c r="E1420">
        <v>1138</v>
      </c>
      <c r="F1420">
        <v>7638</v>
      </c>
      <c r="G1420">
        <v>193611</v>
      </c>
      <c r="H1420" s="1">
        <v>46266</v>
      </c>
      <c r="I1420" t="str">
        <v>TRAVELERRECEIVED</v>
      </c>
      <c r="K1420" t="str">
        <f>IF(ISERROR(MATCH(WORKORDER[[#This Row],[TRAVELER]],Table1[TRAVELER],0)),K1420,"Shipped")</f>
        <v>Shipped</v>
      </c>
      <c r="L1420">
        <f>+IF(ISERROR(MATCH(WORKORDER[[#This Row],[TRAVELER]],Table1[TRAVELER],0)),L1420,'PACKING SLIP'!$F$5)</f>
        <v>30061</v>
      </c>
    </row>
    <row r="1421">
      <c r="A1421">
        <v>716636</v>
      </c>
      <c r="B1421" t="str">
        <v>11546370-MY-AK</v>
      </c>
      <c r="C1421">
        <v>384</v>
      </c>
      <c r="E1421">
        <v>1061</v>
      </c>
      <c r="F1421">
        <v>7121</v>
      </c>
      <c r="G1421">
        <v>193611</v>
      </c>
      <c r="H1421" s="1">
        <v>46266</v>
      </c>
      <c r="I1421" t="str">
        <v>TRAVELERRECEIVED</v>
      </c>
      <c r="K1421" t="str">
        <f>IF(ISERROR(MATCH(WORKORDER[[#This Row],[TRAVELER]],Table1[TRAVELER],0)),K1421,"Shipped")</f>
        <v>Shipped</v>
      </c>
      <c r="L1421">
        <f>+IF(ISERROR(MATCH(WORKORDER[[#This Row],[TRAVELER]],Table1[TRAVELER],0)),L1421,'PACKING SLIP'!$F$5)</f>
        <v>30061</v>
      </c>
    </row>
    <row r="1422">
      <c r="A1422">
        <v>716825</v>
      </c>
      <c r="B1422">
        <v>11546379</v>
      </c>
      <c r="C1422">
        <v>1424</v>
      </c>
      <c r="E1422">
        <v>1136</v>
      </c>
      <c r="F1422">
        <v>25471</v>
      </c>
      <c r="G1422">
        <v>193611</v>
      </c>
      <c r="H1422" s="1">
        <v>46266</v>
      </c>
      <c r="I1422" t="str">
        <v>TRAVELERRECEIVED</v>
      </c>
      <c r="K1422" t="str">
        <f>IF(ISERROR(MATCH(WORKORDER[[#This Row],[TRAVELER]],Table1[TRAVELER],0)),K1422,"Shipped")</f>
        <v>Shipped</v>
      </c>
      <c r="L1422">
        <f>+IF(ISERROR(MATCH(WORKORDER[[#This Row],[TRAVELER]],Table1[TRAVELER],0)),L1422,'PACKING SLIP'!$F$5)</f>
        <v>30067</v>
      </c>
    </row>
    <row r="1423">
      <c r="A1423">
        <v>716826</v>
      </c>
      <c r="B1423">
        <v>11546379</v>
      </c>
      <c r="C1423">
        <v>450</v>
      </c>
      <c r="E1423">
        <v>1088</v>
      </c>
      <c r="F1423">
        <v>24395</v>
      </c>
      <c r="G1423">
        <v>193611</v>
      </c>
      <c r="H1423" s="1">
        <v>46266</v>
      </c>
      <c r="I1423" t="str">
        <v>TRAVELERRECEIVED</v>
      </c>
      <c r="K1423" t="str">
        <f>IF(ISERROR(MATCH(WORKORDER[[#This Row],[TRAVELER]],Table1[TRAVELER],0)),K1423,"Shipped")</f>
        <v>Shipped</v>
      </c>
      <c r="L1423">
        <f>+IF(ISERROR(MATCH(WORKORDER[[#This Row],[TRAVELER]],Table1[TRAVELER],0)),L1423,'PACKING SLIP'!$F$5)</f>
        <v>30069</v>
      </c>
    </row>
    <row r="1424">
      <c r="A1424">
        <v>717165</v>
      </c>
      <c r="B1424" t="str">
        <v>11546370-MY-AK</v>
      </c>
      <c r="C1424">
        <v>868</v>
      </c>
      <c r="E1424">
        <v>1034</v>
      </c>
      <c r="F1424">
        <v>6940</v>
      </c>
      <c r="G1424">
        <v>193611</v>
      </c>
      <c r="H1424" s="1">
        <v>46266</v>
      </c>
      <c r="K1424" t="str">
        <f>IF(ISERROR(MATCH(WORKORDER[[#This Row],[TRAVELER]],Table1[TRAVELER],0)),K1424,"Shipped")</f>
        <v>Shipped</v>
      </c>
      <c r="L1424">
        <f>+IF(ISERROR(MATCH(WORKORDER[[#This Row],[TRAVELER]],Table1[TRAVELER],0)),L1424,'PACKING SLIP'!$F$5)</f>
        <v>30061</v>
      </c>
    </row>
    <row r="1425">
      <c r="A1425">
        <v>717166</v>
      </c>
      <c r="B1425" t="str">
        <v>11546370-MY-AK</v>
      </c>
      <c r="C1425">
        <v>983</v>
      </c>
      <c r="E1425">
        <v>1174</v>
      </c>
      <c r="F1425">
        <v>7879</v>
      </c>
      <c r="G1425">
        <v>193611</v>
      </c>
      <c r="H1425" s="1">
        <v>46266</v>
      </c>
      <c r="K1425" t="str">
        <f>IF(ISERROR(MATCH(WORKORDER[[#This Row],[TRAVELER]],Table1[TRAVELER],0)),K1425,"Shipped")</f>
        <v>Shipped</v>
      </c>
      <c r="L1425">
        <f>+IF(ISERROR(MATCH(WORKORDER[[#This Row],[TRAVELER]],Table1[TRAVELER],0)),L1425,'PACKING SLIP'!$F$5)</f>
        <v>30057</v>
      </c>
    </row>
    <row r="1426">
      <c r="A1426">
        <v>717167</v>
      </c>
      <c r="B1426" t="str">
        <v>11546370-MY-AK</v>
      </c>
      <c r="C1426">
        <v>83</v>
      </c>
      <c r="E1426">
        <v>1165</v>
      </c>
      <c r="F1426">
        <v>7819</v>
      </c>
      <c r="G1426">
        <v>193611</v>
      </c>
      <c r="H1426" s="1">
        <v>46266</v>
      </c>
      <c r="K1426" t="str">
        <f>IF(ISERROR(MATCH(WORKORDER[[#This Row],[TRAVELER]],Table1[TRAVELER],0)),K1426,"Shipped")</f>
        <v>Shipped</v>
      </c>
      <c r="L1426">
        <f>+IF(ISERROR(MATCH(WORKORDER[[#This Row],[TRAVELER]],Table1[TRAVELER],0)),L1426,'PACKING SLIP'!$F$5)</f>
        <v>30072</v>
      </c>
    </row>
    <row r="1427">
      <c r="A1427">
        <v>717168</v>
      </c>
      <c r="B1427" t="str">
        <v>11546370-MY-AK</v>
      </c>
      <c r="C1427">
        <v>1600</v>
      </c>
      <c r="E1427">
        <v>1074</v>
      </c>
      <c r="F1427">
        <v>7208</v>
      </c>
      <c r="G1427">
        <v>193611</v>
      </c>
      <c r="H1427" s="1">
        <v>46266</v>
      </c>
      <c r="K1427" t="str">
        <f>IF(ISERROR(MATCH(WORKORDER[[#This Row],[TRAVELER]],Table1[TRAVELER],0)),K1427,"Shipped")</f>
        <v>Shipped</v>
      </c>
      <c r="L1427">
        <f>+IF(ISERROR(MATCH(WORKORDER[[#This Row],[TRAVELER]],Table1[TRAVELER],0)),L1427,'PACKING SLIP'!$F$5)</f>
        <v>30065</v>
      </c>
    </row>
    <row r="1428">
      <c r="A1428">
        <v>717169</v>
      </c>
      <c r="B1428" t="str">
        <v>11546370-MY-AK</v>
      </c>
      <c r="C1428">
        <v>449</v>
      </c>
      <c r="E1428">
        <v>1170</v>
      </c>
      <c r="F1428">
        <v>7852</v>
      </c>
      <c r="G1428">
        <v>193611</v>
      </c>
      <c r="H1428" s="1">
        <v>46266</v>
      </c>
      <c r="K1428" t="str">
        <f>IF(ISERROR(MATCH(WORKORDER[[#This Row],[TRAVELER]],Table1[TRAVELER],0)),K1428,"Shipped")</f>
        <v>Shipped</v>
      </c>
      <c r="L1428">
        <f>+IF(ISERROR(MATCH(WORKORDER[[#This Row],[TRAVELER]],Table1[TRAVELER],0)),L1428,'PACKING SLIP'!$F$5)</f>
        <v>30061</v>
      </c>
    </row>
    <row r="1429">
      <c r="A1429">
        <v>717644</v>
      </c>
      <c r="B1429" t="str">
        <v>11546389-PH-RO</v>
      </c>
      <c r="C1429">
        <v>1501</v>
      </c>
      <c r="E1429">
        <v>959</v>
      </c>
      <c r="F1429">
        <v>124545</v>
      </c>
      <c r="G1429">
        <v>193611</v>
      </c>
      <c r="H1429" s="1">
        <v>46266</v>
      </c>
      <c r="I1429" t="str">
        <v>TRAVELERRECEIVED</v>
      </c>
      <c r="K1429" t="str">
        <f>IF(ISERROR(MATCH(WORKORDER[[#This Row],[TRAVELER]],Table1[TRAVELER],0)),K1429,"Shipped")</f>
        <v>Shipped</v>
      </c>
      <c r="L1429">
        <f>+IF(ISERROR(MATCH(WORKORDER[[#This Row],[TRAVELER]],Table1[TRAVELER],0)),L1429,'PACKING SLIP'!$F$5)</f>
        <v>30067</v>
      </c>
    </row>
    <row r="1430">
      <c r="A1430">
        <v>717645</v>
      </c>
      <c r="B1430" t="str">
        <v>11546389-PH-RO</v>
      </c>
      <c r="C1430">
        <v>529</v>
      </c>
      <c r="E1430">
        <v>1024</v>
      </c>
      <c r="F1430">
        <v>132987</v>
      </c>
      <c r="G1430">
        <v>193611</v>
      </c>
      <c r="H1430" s="1">
        <v>46266</v>
      </c>
      <c r="I1430" t="str">
        <v>TRAVELERRECEIVED</v>
      </c>
      <c r="K1430" t="str">
        <f>IF(ISERROR(MATCH(WORKORDER[[#This Row],[TRAVELER]],Table1[TRAVELER],0)),K1430,"Shipped")</f>
        <v>Shipped</v>
      </c>
      <c r="L1430">
        <f>+IF(ISERROR(MATCH(WORKORDER[[#This Row],[TRAVELER]],Table1[TRAVELER],0)),L1430,'PACKING SLIP'!$F$5)</f>
        <v>30072</v>
      </c>
    </row>
    <row r="1431">
      <c r="A1431">
        <v>717646</v>
      </c>
      <c r="B1431" t="str">
        <v>11546389-PH-RO</v>
      </c>
      <c r="C1431">
        <v>703</v>
      </c>
      <c r="E1431">
        <v>840</v>
      </c>
      <c r="F1431">
        <v>109091</v>
      </c>
      <c r="G1431">
        <v>193611</v>
      </c>
      <c r="H1431" s="1">
        <v>46266</v>
      </c>
      <c r="I1431" t="str">
        <v>TRAVELERRECEIVED</v>
      </c>
      <c r="K1431" t="str">
        <f>IF(ISERROR(MATCH(WORKORDER[[#This Row],[TRAVELER]],Table1[TRAVELER],0)),K1431,"Shipped")</f>
        <v>Shipped</v>
      </c>
      <c r="L1431">
        <f>+IF(ISERROR(MATCH(WORKORDER[[#This Row],[TRAVELER]],Table1[TRAVELER],0)),L1431,'PACKING SLIP'!$F$5)</f>
        <v>30069</v>
      </c>
    </row>
    <row r="1432">
      <c r="A1432">
        <v>717647</v>
      </c>
      <c r="B1432" t="str">
        <v>11546389-PH-RO</v>
      </c>
      <c r="C1432">
        <v>1060</v>
      </c>
      <c r="E1432">
        <v>840</v>
      </c>
      <c r="F1432">
        <v>109091</v>
      </c>
      <c r="G1432">
        <v>193611</v>
      </c>
      <c r="H1432" s="1">
        <v>46266</v>
      </c>
      <c r="I1432" t="str">
        <v>TRAVELERRECEIVED</v>
      </c>
      <c r="K1432" t="str">
        <f>IF(ISERROR(MATCH(WORKORDER[[#This Row],[TRAVELER]],Table1[TRAVELER],0)),K1432,"Shipped")</f>
        <v>Shipped</v>
      </c>
      <c r="L1432">
        <f>+IF(ISERROR(MATCH(WORKORDER[[#This Row],[TRAVELER]],Table1[TRAVELER],0)),L1432,'PACKING SLIP'!$F$5)</f>
        <v>30072</v>
      </c>
    </row>
    <row r="1433">
      <c r="A1433">
        <v>717648</v>
      </c>
      <c r="B1433" t="str">
        <v>11546389-PH-RO</v>
      </c>
      <c r="C1433">
        <v>245</v>
      </c>
      <c r="E1433">
        <v>800</v>
      </c>
      <c r="F1433">
        <v>103896</v>
      </c>
      <c r="G1433">
        <v>193611</v>
      </c>
      <c r="H1433" s="1">
        <v>46266</v>
      </c>
      <c r="I1433" t="str">
        <v>TRAVELERRECEIVED</v>
      </c>
      <c r="K1433" t="str">
        <f>IF(ISERROR(MATCH(WORKORDER[[#This Row],[TRAVELER]],Table1[TRAVELER],0)),K1433,"Shipped")</f>
        <v>Shipped</v>
      </c>
      <c r="L1433">
        <f>+IF(ISERROR(MATCH(WORKORDER[[#This Row],[TRAVELER]],Table1[TRAVELER],0)),L1433,'PACKING SLIP'!$F$5)</f>
        <v>30072</v>
      </c>
    </row>
    <row r="1434">
      <c r="A1434">
        <v>717649</v>
      </c>
      <c r="B1434" t="str">
        <v>11546389-PH-RO</v>
      </c>
      <c r="C1434">
        <v>1381</v>
      </c>
      <c r="E1434">
        <v>880</v>
      </c>
      <c r="F1434">
        <v>114286</v>
      </c>
      <c r="G1434">
        <v>193611</v>
      </c>
      <c r="H1434" s="1">
        <v>46266</v>
      </c>
      <c r="I1434" t="str">
        <v>TRAVELERRECEIVED</v>
      </c>
      <c r="K1434" t="str">
        <f>IF(ISERROR(MATCH(WORKORDER[[#This Row],[TRAVELER]],Table1[TRAVELER],0)),K1434,"Shipped")</f>
        <v>Shipped</v>
      </c>
      <c r="L1434">
        <f>+IF(ISERROR(MATCH(WORKORDER[[#This Row],[TRAVELER]],Table1[TRAVELER],0)),L1434,'PACKING SLIP'!$F$5)</f>
        <v>30067</v>
      </c>
    </row>
    <row r="1435">
      <c r="A1435">
        <v>717650</v>
      </c>
      <c r="B1435" t="str">
        <v>11546389-PH-RO</v>
      </c>
      <c r="C1435">
        <v>1326</v>
      </c>
      <c r="E1435">
        <v>954</v>
      </c>
      <c r="F1435">
        <v>123896</v>
      </c>
      <c r="G1435">
        <v>193611</v>
      </c>
      <c r="H1435" s="1">
        <v>46266</v>
      </c>
      <c r="I1435" t="str">
        <v>TRAVELERRECEIVED</v>
      </c>
      <c r="K1435" t="str">
        <f>IF(ISERROR(MATCH(WORKORDER[[#This Row],[TRAVELER]],Table1[TRAVELER],0)),K1435,"Shipped")</f>
        <v>Shipped</v>
      </c>
      <c r="L1435">
        <f>+IF(ISERROR(MATCH(WORKORDER[[#This Row],[TRAVELER]],Table1[TRAVELER],0)),L1435,'PACKING SLIP'!$F$5)</f>
        <v>30080</v>
      </c>
    </row>
    <row r="1436">
      <c r="A1436">
        <v>717651</v>
      </c>
      <c r="B1436" t="str">
        <v>11546389-PH-RO</v>
      </c>
      <c r="C1436">
        <v>1513</v>
      </c>
      <c r="E1436">
        <v>1051</v>
      </c>
      <c r="F1436">
        <v>136494</v>
      </c>
      <c r="G1436">
        <v>193611</v>
      </c>
      <c r="H1436" s="1">
        <v>46266</v>
      </c>
      <c r="I1436" t="str">
        <v>TRAVELERRECEIVED</v>
      </c>
      <c r="K1436" t="str">
        <f>IF(ISERROR(MATCH(WORKORDER[[#This Row],[TRAVELER]],Table1[TRAVELER],0)),K1436,"Shipped")</f>
        <v>Shipped</v>
      </c>
      <c r="L1436">
        <f>+IF(ISERROR(MATCH(WORKORDER[[#This Row],[TRAVELER]],Table1[TRAVELER],0)),L1436,'PACKING SLIP'!$F$5)</f>
        <v>30072</v>
      </c>
    </row>
    <row r="1437">
      <c r="A1437">
        <v>717652</v>
      </c>
      <c r="B1437" t="str">
        <v>11546389-PH-RO</v>
      </c>
      <c r="C1437">
        <v>445</v>
      </c>
      <c r="E1437">
        <v>816</v>
      </c>
      <c r="F1437">
        <v>105974</v>
      </c>
      <c r="G1437">
        <v>193611</v>
      </c>
      <c r="H1437" s="1">
        <v>46266</v>
      </c>
      <c r="I1437" t="str">
        <v>TRAVELERRECEIVED</v>
      </c>
      <c r="K1437" t="str">
        <f>IF(ISERROR(MATCH(WORKORDER[[#This Row],[TRAVELER]],Table1[TRAVELER],0)),K1437,"Shipped")</f>
        <v>Shipped</v>
      </c>
      <c r="L1437">
        <f>+IF(ISERROR(MATCH(WORKORDER[[#This Row],[TRAVELER]],Table1[TRAVELER],0)),L1437,'PACKING SLIP'!$F$5)</f>
        <v>30082</v>
      </c>
    </row>
    <row r="1438">
      <c r="A1438">
        <v>717904</v>
      </c>
      <c r="B1438">
        <v>40073474</v>
      </c>
      <c r="C1438">
        <v>1560</v>
      </c>
      <c r="E1438">
        <v>750</v>
      </c>
      <c r="F1438">
        <v>5034</v>
      </c>
      <c r="G1438">
        <v>193611</v>
      </c>
      <c r="H1438" s="1">
        <v>46266</v>
      </c>
      <c r="I1438" t="str">
        <v>TRAVELERRECEIVED</v>
      </c>
      <c r="K1438" t="str">
        <f>IF(ISERROR(MATCH(WORKORDER[[#This Row],[TRAVELER]],Table1[TRAVELER],0)),K1438,"Shipped")</f>
        <v>Shipped</v>
      </c>
      <c r="L1438">
        <f>+IF(ISERROR(MATCH(WORKORDER[[#This Row],[TRAVELER]],Table1[TRAVELER],0)),L1438,'PACKING SLIP'!$F$5)</f>
        <v>30057</v>
      </c>
    </row>
    <row r="1439">
      <c r="A1439">
        <v>717905</v>
      </c>
      <c r="B1439">
        <v>40073474</v>
      </c>
      <c r="C1439">
        <v>682</v>
      </c>
      <c r="E1439">
        <v>752</v>
      </c>
      <c r="F1439">
        <v>5047</v>
      </c>
      <c r="G1439">
        <v>193611</v>
      </c>
      <c r="H1439" s="1">
        <v>46266</v>
      </c>
      <c r="I1439" t="str">
        <v>TRAVELERRECEIVED</v>
      </c>
      <c r="K1439" t="str">
        <f>IF(ISERROR(MATCH(WORKORDER[[#This Row],[TRAVELER]],Table1[TRAVELER],0)),K1439,"Shipped")</f>
        <v>Shipped</v>
      </c>
      <c r="L1439">
        <f>+IF(ISERROR(MATCH(WORKORDER[[#This Row],[TRAVELER]],Table1[TRAVELER],0)),L1439,'PACKING SLIP'!$F$5)</f>
        <v>30057</v>
      </c>
    </row>
    <row r="1440">
      <c r="A1440">
        <v>717906</v>
      </c>
      <c r="B1440">
        <v>40073474</v>
      </c>
      <c r="C1440">
        <v>1543</v>
      </c>
      <c r="E1440">
        <v>664</v>
      </c>
      <c r="F1440">
        <v>4456</v>
      </c>
      <c r="G1440">
        <v>193611</v>
      </c>
      <c r="H1440" s="1">
        <v>46266</v>
      </c>
      <c r="I1440" t="str">
        <v>TRAVELERRECEIVED</v>
      </c>
      <c r="K1440" t="str">
        <f>IF(ISERROR(MATCH(WORKORDER[[#This Row],[TRAVELER]],Table1[TRAVELER],0)),K1440,"Shipped")</f>
        <v>Shipped</v>
      </c>
      <c r="L1440">
        <f>+IF(ISERROR(MATCH(WORKORDER[[#This Row],[TRAVELER]],Table1[TRAVELER],0)),L1440,'PACKING SLIP'!$F$5)</f>
        <v>30057</v>
      </c>
    </row>
    <row r="1441">
      <c r="A1441">
        <v>717907</v>
      </c>
      <c r="B1441">
        <v>40073474</v>
      </c>
      <c r="C1441">
        <v>662</v>
      </c>
      <c r="E1441">
        <v>747</v>
      </c>
      <c r="F1441">
        <v>5013</v>
      </c>
      <c r="G1441">
        <v>193611</v>
      </c>
      <c r="H1441" s="1">
        <v>46266</v>
      </c>
      <c r="K1441" t="str">
        <f>IF(ISERROR(MATCH(WORKORDER[[#This Row],[TRAVELER]],Table1[TRAVELER],0)),K1441,"Shipped")</f>
        <v>Shipped</v>
      </c>
      <c r="L1441">
        <f>+IF(ISERROR(MATCH(WORKORDER[[#This Row],[TRAVELER]],Table1[TRAVELER],0)),L1441,'PACKING SLIP'!$F$5)</f>
        <v>30057</v>
      </c>
    </row>
    <row r="1442">
      <c r="A1442">
        <v>714568</v>
      </c>
      <c r="B1442" t="str">
        <v>06511799AA</v>
      </c>
      <c r="C1442" t="str">
        <v>16 CTNS</v>
      </c>
      <c r="E1442">
        <v>419</v>
      </c>
      <c r="F1442">
        <v>27200</v>
      </c>
      <c r="G1442">
        <v>193627</v>
      </c>
      <c r="H1442" s="1">
        <v>46265</v>
      </c>
      <c r="I1442" t="str">
        <v>6-243-50-A</v>
      </c>
      <c r="K1442" t="str">
        <f>IF(ISERROR(MATCH(WORKORDER[[#This Row],[TRAVELER]],Table1[TRAVELER],0)),K1442,"Shipped")</f>
        <v>Shipped</v>
      </c>
      <c r="L1442">
        <f>+IF(ISERROR(MATCH(WORKORDER[[#This Row],[TRAVELER]],Table1[TRAVELER],0)),L1442,'PACKING SLIP'!$F$5)</f>
        <v>30069</v>
      </c>
    </row>
    <row r="1443">
      <c r="A1443">
        <v>714569</v>
      </c>
      <c r="B1443" t="str">
        <v>06511799AA</v>
      </c>
      <c r="C1443" t="str">
        <v>36 CTNS</v>
      </c>
      <c r="E1443">
        <v>736</v>
      </c>
      <c r="F1443">
        <v>47792</v>
      </c>
      <c r="G1443">
        <v>193627</v>
      </c>
      <c r="H1443" s="1">
        <v>46265</v>
      </c>
      <c r="I1443" t="str">
        <v>6-243-50-B</v>
      </c>
      <c r="K1443" t="str">
        <f>IF(ISERROR(MATCH(WORKORDER[[#This Row],[TRAVELER]],Table1[TRAVELER],0)),K1443,"Shipped")</f>
        <v>Shipped</v>
      </c>
      <c r="L1443">
        <f>+IF(ISERROR(MATCH(WORKORDER[[#This Row],[TRAVELER]],Table1[TRAVELER],0)),L1443,'PACKING SLIP'!$F$5)</f>
        <v>30082</v>
      </c>
    </row>
    <row r="1444">
      <c r="A1444">
        <v>715686</v>
      </c>
      <c r="B1444">
        <v>11546465</v>
      </c>
      <c r="C1444">
        <v>1096</v>
      </c>
      <c r="E1444">
        <v>1139</v>
      </c>
      <c r="F1444">
        <v>39276</v>
      </c>
      <c r="G1444">
        <v>193627</v>
      </c>
      <c r="H1444" s="1">
        <v>46265</v>
      </c>
      <c r="I1444" t="str">
        <v>6-224-22-A</v>
      </c>
      <c r="K1444" t="str">
        <f>IF(ISERROR(MATCH(WORKORDER[[#This Row],[TRAVELER]],Table1[TRAVELER],0)),K1444,"Shipped")</f>
        <v>Shipped</v>
      </c>
      <c r="L1444">
        <f>+IF(ISERROR(MATCH(WORKORDER[[#This Row],[TRAVELER]],Table1[TRAVELER],0)),L1444,'PACKING SLIP'!$F$5)</f>
        <v>30059</v>
      </c>
    </row>
    <row r="1445">
      <c r="A1445">
        <v>715687</v>
      </c>
      <c r="B1445">
        <v>11546465</v>
      </c>
      <c r="C1445">
        <v>752</v>
      </c>
      <c r="E1445">
        <v>985</v>
      </c>
      <c r="F1445">
        <v>33966</v>
      </c>
      <c r="G1445">
        <v>193627</v>
      </c>
      <c r="H1445" s="1">
        <v>46265</v>
      </c>
      <c r="I1445" t="str">
        <v>6-224-22-B</v>
      </c>
      <c r="K1445" t="str">
        <f>IF(ISERROR(MATCH(WORKORDER[[#This Row],[TRAVELER]],Table1[TRAVELER],0)),K1445,"Shipped")</f>
        <v>Shipped</v>
      </c>
      <c r="L1445">
        <f>+IF(ISERROR(MATCH(WORKORDER[[#This Row],[TRAVELER]],Table1[TRAVELER],0)),L1445,'PACKING SLIP'!$F$5)</f>
        <v>30059</v>
      </c>
    </row>
    <row r="1446">
      <c r="A1446">
        <v>715806</v>
      </c>
      <c r="B1446">
        <v>11546703</v>
      </c>
      <c r="C1446">
        <v>1415</v>
      </c>
      <c r="E1446">
        <v>959</v>
      </c>
      <c r="F1446">
        <v>118395</v>
      </c>
      <c r="G1446">
        <v>193627</v>
      </c>
      <c r="H1446" s="1">
        <v>46265</v>
      </c>
      <c r="I1446" t="str">
        <v>6-243-51-A</v>
      </c>
      <c r="K1446" t="str">
        <f>IF(ISERROR(MATCH(WORKORDER[[#This Row],[TRAVELER]],Table1[TRAVELER],0)),K1446,"Shipped")</f>
        <v>Shipped</v>
      </c>
      <c r="L1446">
        <f>+IF(ISERROR(MATCH(WORKORDER[[#This Row],[TRAVELER]],Table1[TRAVELER],0)),L1446,'PACKING SLIP'!$F$5)</f>
        <v>30065</v>
      </c>
    </row>
    <row r="1447">
      <c r="A1447">
        <v>715807</v>
      </c>
      <c r="B1447">
        <v>11546703</v>
      </c>
      <c r="C1447">
        <v>46</v>
      </c>
      <c r="E1447">
        <v>1051</v>
      </c>
      <c r="F1447">
        <v>129753</v>
      </c>
      <c r="G1447">
        <v>193627</v>
      </c>
      <c r="H1447" s="1">
        <v>46265</v>
      </c>
      <c r="I1447" t="str">
        <v>6-243-51-B</v>
      </c>
      <c r="K1447" t="str">
        <f>IF(ISERROR(MATCH(WORKORDER[[#This Row],[TRAVELER]],Table1[TRAVELER],0)),K1447,"Shipped")</f>
        <v>Shipped</v>
      </c>
      <c r="L1447">
        <f>+IF(ISERROR(MATCH(WORKORDER[[#This Row],[TRAVELER]],Table1[TRAVELER],0)),L1447,'PACKING SLIP'!$F$5)</f>
        <v>30059</v>
      </c>
    </row>
    <row r="1448">
      <c r="A1448">
        <v>715808</v>
      </c>
      <c r="B1448">
        <v>11546703</v>
      </c>
      <c r="C1448">
        <v>1666</v>
      </c>
      <c r="E1448">
        <v>933</v>
      </c>
      <c r="F1448">
        <v>115185</v>
      </c>
      <c r="G1448">
        <v>193627</v>
      </c>
      <c r="H1448" s="1">
        <v>46265</v>
      </c>
      <c r="I1448" t="str">
        <v>6-243-52-A</v>
      </c>
      <c r="K1448" t="str">
        <f>IF(ISERROR(MATCH(WORKORDER[[#This Row],[TRAVELER]],Table1[TRAVELER],0)),K1448,"Shipped")</f>
        <v>Shipped</v>
      </c>
      <c r="L1448">
        <f>+IF(ISERROR(MATCH(WORKORDER[[#This Row],[TRAVELER]],Table1[TRAVELER],0)),L1448,'PACKING SLIP'!$F$5)</f>
        <v>30059</v>
      </c>
    </row>
    <row r="1449">
      <c r="A1449">
        <v>715809</v>
      </c>
      <c r="B1449">
        <v>11546703</v>
      </c>
      <c r="C1449">
        <v>1755</v>
      </c>
      <c r="E1449">
        <v>1093</v>
      </c>
      <c r="F1449">
        <v>134938</v>
      </c>
      <c r="G1449">
        <v>193627</v>
      </c>
      <c r="H1449" s="1">
        <v>46265</v>
      </c>
      <c r="I1449" t="str">
        <v>6-243-52-B</v>
      </c>
      <c r="K1449" t="str">
        <f>IF(ISERROR(MATCH(WORKORDER[[#This Row],[TRAVELER]],Table1[TRAVELER],0)),K1449,"Shipped")</f>
        <v>Shipped</v>
      </c>
      <c r="L1449">
        <f>+IF(ISERROR(MATCH(WORKORDER[[#This Row],[TRAVELER]],Table1[TRAVELER],0)),L1449,'PACKING SLIP'!$F$5)</f>
        <v>30061</v>
      </c>
    </row>
    <row r="1450">
      <c r="A1450">
        <v>715812</v>
      </c>
      <c r="B1450">
        <v>11546703</v>
      </c>
      <c r="C1450">
        <v>708</v>
      </c>
      <c r="E1450">
        <v>1106</v>
      </c>
      <c r="F1450">
        <v>136543</v>
      </c>
      <c r="G1450">
        <v>193627</v>
      </c>
      <c r="H1450" s="1">
        <v>46265</v>
      </c>
      <c r="I1450" t="str">
        <v>6-243-53-A</v>
      </c>
      <c r="K1450" t="str">
        <f>IF(ISERROR(MATCH(WORKORDER[[#This Row],[TRAVELER]],Table1[TRAVELER],0)),K1450,"Shipped")</f>
        <v>Shipped</v>
      </c>
      <c r="L1450">
        <f>+IF(ISERROR(MATCH(WORKORDER[[#This Row],[TRAVELER]],Table1[TRAVELER],0)),L1450,'PACKING SLIP'!$F$5)</f>
        <v>30065</v>
      </c>
    </row>
    <row r="1451">
      <c r="A1451">
        <v>715813</v>
      </c>
      <c r="B1451">
        <v>11546703</v>
      </c>
      <c r="C1451">
        <v>1589</v>
      </c>
      <c r="E1451">
        <v>925</v>
      </c>
      <c r="F1451">
        <v>114198</v>
      </c>
      <c r="G1451">
        <v>193627</v>
      </c>
      <c r="H1451" s="1">
        <v>46265</v>
      </c>
      <c r="I1451" t="str">
        <v>6-243-53-B</v>
      </c>
      <c r="K1451" t="str">
        <f>IF(ISERROR(MATCH(WORKORDER[[#This Row],[TRAVELER]],Table1[TRAVELER],0)),K1451,"Shipped")</f>
        <v>Shipped</v>
      </c>
      <c r="L1451">
        <f>+IF(ISERROR(MATCH(WORKORDER[[#This Row],[TRAVELER]],Table1[TRAVELER],0)),L1451,'PACKING SLIP'!$F$5)</f>
        <v>30061</v>
      </c>
    </row>
    <row r="1452">
      <c r="A1452">
        <v>715816</v>
      </c>
      <c r="B1452">
        <v>11546703</v>
      </c>
      <c r="C1452">
        <v>275</v>
      </c>
      <c r="E1452">
        <v>1082</v>
      </c>
      <c r="F1452">
        <v>133580</v>
      </c>
      <c r="G1452">
        <v>193627</v>
      </c>
      <c r="H1452" s="1">
        <v>46265</v>
      </c>
      <c r="I1452" t="str">
        <v>6-243-54-A</v>
      </c>
      <c r="K1452" t="str">
        <f>IF(ISERROR(MATCH(WORKORDER[[#This Row],[TRAVELER]],Table1[TRAVELER],0)),K1452,"Shipped")</f>
        <v>Shipped</v>
      </c>
      <c r="L1452">
        <f>+IF(ISERROR(MATCH(WORKORDER[[#This Row],[TRAVELER]],Table1[TRAVELER],0)),L1452,'PACKING SLIP'!$F$5)</f>
        <v>30059</v>
      </c>
    </row>
    <row r="1453">
      <c r="A1453">
        <v>715817</v>
      </c>
      <c r="B1453">
        <v>11546703</v>
      </c>
      <c r="C1453">
        <v>1521</v>
      </c>
      <c r="E1453">
        <v>943</v>
      </c>
      <c r="F1453">
        <v>116420</v>
      </c>
      <c r="G1453">
        <v>193627</v>
      </c>
      <c r="H1453" s="1">
        <v>46265</v>
      </c>
      <c r="I1453" t="str">
        <v>6-243-54-B</v>
      </c>
      <c r="K1453" t="str">
        <f>IF(ISERROR(MATCH(WORKORDER[[#This Row],[TRAVELER]],Table1[TRAVELER],0)),K1453,"Shipped")</f>
        <v>Shipped</v>
      </c>
      <c r="L1453">
        <f>+IF(ISERROR(MATCH(WORKORDER[[#This Row],[TRAVELER]],Table1[TRAVELER],0)),L1453,'PACKING SLIP'!$F$5)</f>
        <v>30057</v>
      </c>
    </row>
    <row r="1454">
      <c r="A1454">
        <v>715848</v>
      </c>
      <c r="B1454">
        <v>11546465</v>
      </c>
      <c r="C1454">
        <v>232</v>
      </c>
      <c r="E1454">
        <v>1068</v>
      </c>
      <c r="F1454">
        <v>36828</v>
      </c>
      <c r="G1454">
        <v>193627</v>
      </c>
      <c r="H1454" s="1">
        <v>46265</v>
      </c>
      <c r="I1454" t="str">
        <v>6-224-22-C</v>
      </c>
      <c r="K1454" t="str">
        <f>IF(ISERROR(MATCH(WORKORDER[[#This Row],[TRAVELER]],Table1[TRAVELER],0)),K1454,"Shipped")</f>
        <v>Shipped</v>
      </c>
      <c r="L1454">
        <f>+IF(ISERROR(MATCH(WORKORDER[[#This Row],[TRAVELER]],Table1[TRAVELER],0)),L1454,'PACKING SLIP'!$F$5)</f>
        <v>30059</v>
      </c>
    </row>
    <row r="1455">
      <c r="A1455">
        <v>715849</v>
      </c>
      <c r="B1455">
        <v>11546465</v>
      </c>
      <c r="C1455">
        <v>1646</v>
      </c>
      <c r="E1455">
        <v>1030</v>
      </c>
      <c r="F1455">
        <v>35517</v>
      </c>
      <c r="G1455">
        <v>193627</v>
      </c>
      <c r="H1455" s="1">
        <v>46265</v>
      </c>
      <c r="I1455" t="str">
        <v>6-224-22-D</v>
      </c>
      <c r="K1455" t="str">
        <f>IF(ISERROR(MATCH(WORKORDER[[#This Row],[TRAVELER]],Table1[TRAVELER],0)),K1455,"Shipped")</f>
        <v>Shipped</v>
      </c>
      <c r="L1455">
        <f>+IF(ISERROR(MATCH(WORKORDER[[#This Row],[TRAVELER]],Table1[TRAVELER],0)),L1455,'PACKING SLIP'!$F$5)</f>
        <v>30059</v>
      </c>
    </row>
    <row r="1456">
      <c r="A1456">
        <v>716348</v>
      </c>
      <c r="B1456" t="str">
        <v>06509787AA</v>
      </c>
      <c r="C1456">
        <v>1506</v>
      </c>
      <c r="E1456">
        <v>1334</v>
      </c>
      <c r="F1456">
        <v>30457</v>
      </c>
      <c r="G1456">
        <v>193627</v>
      </c>
      <c r="H1456" s="1">
        <v>46265</v>
      </c>
      <c r="I1456" t="str">
        <v>6-243-13-A</v>
      </c>
      <c r="K1456" t="str">
        <f>IF(ISERROR(MATCH(WORKORDER[[#This Row],[TRAVELER]],Table1[TRAVELER],0)),K1456,"Shipped")</f>
        <v>Shipped</v>
      </c>
      <c r="L1456">
        <f>+IF(ISERROR(MATCH(WORKORDER[[#This Row],[TRAVELER]],Table1[TRAVELER],0)),L1456,'PACKING SLIP'!$F$5)</f>
        <v>30059</v>
      </c>
    </row>
    <row r="1457">
      <c r="A1457">
        <v>716835</v>
      </c>
      <c r="B1457" t="str">
        <v>11609789-IN-MR</v>
      </c>
      <c r="C1457">
        <v>20</v>
      </c>
      <c r="E1457">
        <v>529</v>
      </c>
      <c r="F1457">
        <v>49439</v>
      </c>
      <c r="G1457">
        <v>193627</v>
      </c>
      <c r="H1457" s="1">
        <v>46265</v>
      </c>
      <c r="I1457" t="str">
        <v>6-243-55-A</v>
      </c>
      <c r="K1457" t="str">
        <f>IF(ISERROR(MATCH(WORKORDER[[#This Row],[TRAVELER]],Table1[TRAVELER],0)),K1457,"Shipped")</f>
        <v>Shipped</v>
      </c>
      <c r="L1457">
        <f>+IF(ISERROR(MATCH(WORKORDER[[#This Row],[TRAVELER]],Table1[TRAVELER],0)),L1457,'PACKING SLIP'!$F$5)</f>
        <v>30092</v>
      </c>
    </row>
    <row r="1458">
      <c r="A1458">
        <v>717179</v>
      </c>
      <c r="B1458" t="str">
        <v>11610091-MY-AK</v>
      </c>
      <c r="C1458">
        <v>482</v>
      </c>
      <c r="E1458">
        <v>1133</v>
      </c>
      <c r="F1458">
        <v>73571</v>
      </c>
      <c r="G1458">
        <v>193627</v>
      </c>
      <c r="H1458" s="1">
        <v>46265</v>
      </c>
      <c r="I1458" t="str">
        <v>6-243-38-A</v>
      </c>
      <c r="K1458" t="str">
        <f>IF(ISERROR(MATCH(WORKORDER[[#This Row],[TRAVELER]],Table1[TRAVELER],0)),K1458,"Shipped")</f>
        <v>Shipped</v>
      </c>
      <c r="L1458">
        <f>+IF(ISERROR(MATCH(WORKORDER[[#This Row],[TRAVELER]],Table1[TRAVELER],0)),L1458,'PACKING SLIP'!$F$5)</f>
        <v>30082</v>
      </c>
    </row>
    <row r="1459">
      <c r="A1459">
        <v>717180</v>
      </c>
      <c r="B1459" t="str">
        <v>11610091-MY-AK</v>
      </c>
      <c r="C1459">
        <v>743</v>
      </c>
      <c r="E1459">
        <v>1193</v>
      </c>
      <c r="F1459">
        <v>77468</v>
      </c>
      <c r="G1459">
        <v>193627</v>
      </c>
      <c r="H1459" s="1">
        <v>46265</v>
      </c>
      <c r="I1459" t="str">
        <v>6-243-38-B</v>
      </c>
      <c r="K1459" t="str">
        <f>IF(ISERROR(MATCH(WORKORDER[[#This Row],[TRAVELER]],Table1[TRAVELER],0)),K1459,"Shipped")</f>
        <v>Shipped</v>
      </c>
      <c r="L1459">
        <f>+IF(ISERROR(MATCH(WORKORDER[[#This Row],[TRAVELER]],Table1[TRAVELER],0)),L1459,'PACKING SLIP'!$F$5)</f>
        <v>30067</v>
      </c>
    </row>
    <row r="1460">
      <c r="A1460">
        <v>717285</v>
      </c>
      <c r="B1460" t="str">
        <v>11610091-MY-AK</v>
      </c>
      <c r="C1460">
        <v>399</v>
      </c>
      <c r="E1460">
        <v>1221</v>
      </c>
      <c r="F1460">
        <v>79286</v>
      </c>
      <c r="G1460">
        <v>193627</v>
      </c>
      <c r="H1460" s="1">
        <v>46265</v>
      </c>
      <c r="I1460" t="str">
        <v>6-243-39-A</v>
      </c>
      <c r="K1460" t="str">
        <f>IF(ISERROR(MATCH(WORKORDER[[#This Row],[TRAVELER]],Table1[TRAVELER],0)),K1460,"Shipped")</f>
        <v>Shipped</v>
      </c>
      <c r="L1460">
        <f>+IF(ISERROR(MATCH(WORKORDER[[#This Row],[TRAVELER]],Table1[TRAVELER],0)),L1460,'PACKING SLIP'!$F$5)</f>
        <v>30080</v>
      </c>
    </row>
    <row r="1461">
      <c r="A1461">
        <v>717287</v>
      </c>
      <c r="B1461" t="str">
        <v>11610091-MY-AK</v>
      </c>
      <c r="C1461">
        <v>1368</v>
      </c>
      <c r="E1461">
        <v>1132</v>
      </c>
      <c r="F1461">
        <v>73506</v>
      </c>
      <c r="G1461">
        <v>193627</v>
      </c>
      <c r="H1461" s="1">
        <v>46265</v>
      </c>
      <c r="I1461" t="str">
        <v>6-243-40-A</v>
      </c>
      <c r="K1461" t="str">
        <f>IF(ISERROR(MATCH(WORKORDER[[#This Row],[TRAVELER]],Table1[TRAVELER],0)),K1461,"Shipped")</f>
        <v>Shipped</v>
      </c>
      <c r="L1461">
        <f>+IF(ISERROR(MATCH(WORKORDER[[#This Row],[TRAVELER]],Table1[TRAVELER],0)),L1461,'PACKING SLIP'!$F$5)</f>
        <v>30092</v>
      </c>
    </row>
    <row r="1462">
      <c r="A1462">
        <v>717288</v>
      </c>
      <c r="B1462" t="str">
        <v>11610091-MY-AK</v>
      </c>
      <c r="C1462">
        <v>145</v>
      </c>
      <c r="E1462">
        <v>1212</v>
      </c>
      <c r="F1462">
        <v>78701</v>
      </c>
      <c r="G1462">
        <v>193627</v>
      </c>
      <c r="H1462" s="1">
        <v>46265</v>
      </c>
      <c r="I1462" t="str">
        <v>6-243-40-B</v>
      </c>
      <c r="K1462" t="str">
        <f>IF(ISERROR(MATCH(WORKORDER[[#This Row],[TRAVELER]],Table1[TRAVELER],0)),K1462,"Shipped")</f>
        <v>Shipped</v>
      </c>
      <c r="L1462">
        <f>+IF(ISERROR(MATCH(WORKORDER[[#This Row],[TRAVELER]],Table1[TRAVELER],0)),L1462,'PACKING SLIP'!$F$5)</f>
        <v>30065</v>
      </c>
    </row>
    <row r="1463">
      <c r="A1463">
        <v>717289</v>
      </c>
      <c r="B1463" t="str">
        <v>11610091-MY-AK</v>
      </c>
      <c r="C1463">
        <v>908</v>
      </c>
      <c r="E1463">
        <v>1126</v>
      </c>
      <c r="F1463">
        <v>73117</v>
      </c>
      <c r="G1463">
        <v>193627</v>
      </c>
      <c r="H1463" s="1">
        <v>46265</v>
      </c>
      <c r="I1463" t="str">
        <v>6-243-39-B</v>
      </c>
      <c r="K1463" t="str">
        <f>IF(ISERROR(MATCH(WORKORDER[[#This Row],[TRAVELER]],Table1[TRAVELER],0)),K1463,"Shipped")</f>
        <v>Shipped</v>
      </c>
      <c r="L1463">
        <f>+IF(ISERROR(MATCH(WORKORDER[[#This Row],[TRAVELER]],Table1[TRAVELER],0)),L1463,'PACKING SLIP'!$F$5)</f>
        <v>30072</v>
      </c>
    </row>
    <row r="1464">
      <c r="A1464">
        <v>717291</v>
      </c>
      <c r="B1464" t="str">
        <v>11610091-MY-AK</v>
      </c>
      <c r="C1464">
        <v>1302</v>
      </c>
      <c r="E1464">
        <v>1136</v>
      </c>
      <c r="F1464">
        <v>73766</v>
      </c>
      <c r="G1464">
        <v>193627</v>
      </c>
      <c r="H1464" s="1">
        <v>46265</v>
      </c>
      <c r="I1464" t="str">
        <v>6-243-41-A</v>
      </c>
      <c r="K1464" t="str">
        <f>IF(ISERROR(MATCH(WORKORDER[[#This Row],[TRAVELER]],Table1[TRAVELER],0)),K1464,"Shipped")</f>
        <v>Shipped</v>
      </c>
      <c r="L1464">
        <f>+IF(ISERROR(MATCH(WORKORDER[[#This Row],[TRAVELER]],Table1[TRAVELER],0)),L1464,'PACKING SLIP'!$F$5)</f>
        <v>30067</v>
      </c>
    </row>
    <row r="1465">
      <c r="A1465">
        <v>717292</v>
      </c>
      <c r="B1465" t="str">
        <v>11610091-MY-AK</v>
      </c>
      <c r="C1465">
        <v>889</v>
      </c>
      <c r="E1465">
        <v>1178</v>
      </c>
      <c r="F1465">
        <v>76494</v>
      </c>
      <c r="G1465">
        <v>193627</v>
      </c>
      <c r="H1465" s="1">
        <v>46265</v>
      </c>
      <c r="I1465" t="str">
        <v>6-243-41-B</v>
      </c>
      <c r="K1465" t="str">
        <f>IF(ISERROR(MATCH(WORKORDER[[#This Row],[TRAVELER]],Table1[TRAVELER],0)),K1465,"Shipped")</f>
        <v>Shipped</v>
      </c>
      <c r="L1465">
        <f>+IF(ISERROR(MATCH(WORKORDER[[#This Row],[TRAVELER]],Table1[TRAVELER],0)),L1465,'PACKING SLIP'!$F$5)</f>
        <v>30072</v>
      </c>
    </row>
    <row r="1466">
      <c r="A1466">
        <v>717561</v>
      </c>
      <c r="B1466" t="str">
        <v>11610091-MY-AK</v>
      </c>
      <c r="C1466">
        <v>1077</v>
      </c>
      <c r="E1466">
        <v>1099</v>
      </c>
      <c r="F1466">
        <v>71364</v>
      </c>
      <c r="G1466">
        <v>193627</v>
      </c>
      <c r="H1466" s="1">
        <v>46265</v>
      </c>
      <c r="I1466" t="str">
        <v>6-243-44-B</v>
      </c>
      <c r="K1466" t="str">
        <f>IF(ISERROR(MATCH(WORKORDER[[#This Row],[TRAVELER]],Table1[TRAVELER],0)),K1466,"Shipped")</f>
        <v>Shipped</v>
      </c>
      <c r="L1466">
        <f>+IF(ISERROR(MATCH(WORKORDER[[#This Row],[TRAVELER]],Table1[TRAVELER],0)),L1466,'PACKING SLIP'!$F$5)</f>
        <v>30082</v>
      </c>
    </row>
    <row r="1467">
      <c r="A1467">
        <v>717563</v>
      </c>
      <c r="B1467" t="str">
        <v>11610091-MY-AK</v>
      </c>
      <c r="C1467">
        <v>469</v>
      </c>
      <c r="E1467">
        <v>1166</v>
      </c>
      <c r="F1467">
        <v>75714</v>
      </c>
      <c r="G1467">
        <v>193627</v>
      </c>
      <c r="H1467" s="1">
        <v>46265</v>
      </c>
      <c r="I1467" t="str">
        <v>6-243-43-A</v>
      </c>
      <c r="K1467" t="str">
        <f>IF(ISERROR(MATCH(WORKORDER[[#This Row],[TRAVELER]],Table1[TRAVELER],0)),K1467,"Shipped")</f>
        <v>Shipped</v>
      </c>
      <c r="L1467">
        <f>+IF(ISERROR(MATCH(WORKORDER[[#This Row],[TRAVELER]],Table1[TRAVELER],0)),L1467,'PACKING SLIP'!$F$5)</f>
        <v>30082</v>
      </c>
    </row>
    <row r="1468">
      <c r="A1468">
        <v>717564</v>
      </c>
      <c r="B1468" t="str">
        <v>11610091-MY-AK</v>
      </c>
      <c r="C1468">
        <v>1367</v>
      </c>
      <c r="E1468">
        <v>1214</v>
      </c>
      <c r="F1468">
        <v>78831</v>
      </c>
      <c r="G1468">
        <v>193627</v>
      </c>
      <c r="H1468" s="1">
        <v>46265</v>
      </c>
      <c r="I1468" t="str">
        <v>6-243-43-B</v>
      </c>
      <c r="K1468" t="str">
        <f>IF(ISERROR(MATCH(WORKORDER[[#This Row],[TRAVELER]],Table1[TRAVELER],0)),K1468,"Shipped")</f>
        <v>Shipped</v>
      </c>
      <c r="L1468">
        <f>+IF(ISERROR(MATCH(WORKORDER[[#This Row],[TRAVELER]],Table1[TRAVELER],0)),L1468,'PACKING SLIP'!$F$5)</f>
        <v>30061</v>
      </c>
    </row>
    <row r="1469">
      <c r="A1469">
        <v>717565</v>
      </c>
      <c r="B1469" t="str">
        <v>11610091-MY-AK</v>
      </c>
      <c r="C1469">
        <v>759</v>
      </c>
      <c r="E1469">
        <v>1217</v>
      </c>
      <c r="F1469">
        <v>79026</v>
      </c>
      <c r="G1469">
        <v>193627</v>
      </c>
      <c r="H1469" s="1">
        <v>46265</v>
      </c>
      <c r="I1469" t="str">
        <v>6-243-42-A</v>
      </c>
      <c r="K1469" t="str">
        <f>IF(ISERROR(MATCH(WORKORDER[[#This Row],[TRAVELER]],Table1[TRAVELER],0)),K1469,"Shipped")</f>
        <v>Shipped</v>
      </c>
      <c r="L1469">
        <f>+IF(ISERROR(MATCH(WORKORDER[[#This Row],[TRAVELER]],Table1[TRAVELER],0)),L1469,'PACKING SLIP'!$F$5)</f>
        <v>30061</v>
      </c>
    </row>
    <row r="1470">
      <c r="A1470">
        <v>717566</v>
      </c>
      <c r="B1470" t="str">
        <v>11610091-MY-AK</v>
      </c>
      <c r="C1470">
        <v>1806</v>
      </c>
      <c r="E1470">
        <v>1120</v>
      </c>
      <c r="F1470">
        <v>72727</v>
      </c>
      <c r="G1470">
        <v>193627</v>
      </c>
      <c r="H1470" s="1">
        <v>46265</v>
      </c>
      <c r="I1470" t="str">
        <v>6-243-42-B</v>
      </c>
      <c r="K1470" t="str">
        <f>IF(ISERROR(MATCH(WORKORDER[[#This Row],[TRAVELER]],Table1[TRAVELER],0)),K1470,"Shipped")</f>
        <v>Shipped</v>
      </c>
      <c r="L1470">
        <f>+IF(ISERROR(MATCH(WORKORDER[[#This Row],[TRAVELER]],Table1[TRAVELER],0)),L1470,'PACKING SLIP'!$F$5)</f>
        <v>30080</v>
      </c>
    </row>
    <row r="1471">
      <c r="A1471">
        <v>717969</v>
      </c>
      <c r="B1471" t="str">
        <v>NU5108-00</v>
      </c>
      <c r="C1471">
        <v>7</v>
      </c>
      <c r="E1471">
        <v>1159</v>
      </c>
      <c r="F1471">
        <v>67000</v>
      </c>
      <c r="G1471">
        <v>193627</v>
      </c>
      <c r="H1471" s="1">
        <v>46265</v>
      </c>
      <c r="I1471" t="str">
        <v>6-243-45-A</v>
      </c>
      <c r="K1471" t="str">
        <f>IF(ISERROR(MATCH(WORKORDER[[#This Row],[TRAVELER]],Table1[TRAVELER],0)),K1471,"Shipped")</f>
        <v>Shipped</v>
      </c>
      <c r="L1471">
        <f>+IF(ISERROR(MATCH(WORKORDER[[#This Row],[TRAVELER]],Table1[TRAVELER],0)),L1471,'PACKING SLIP'!$F$5)</f>
        <v>30074</v>
      </c>
    </row>
    <row r="1472">
      <c r="A1472">
        <v>717970</v>
      </c>
      <c r="B1472" t="str">
        <v>NU5108-00</v>
      </c>
      <c r="C1472">
        <v>51</v>
      </c>
      <c r="E1472">
        <v>1176</v>
      </c>
      <c r="F1472">
        <v>68000</v>
      </c>
      <c r="G1472">
        <v>193627</v>
      </c>
      <c r="H1472" s="1">
        <v>46265</v>
      </c>
      <c r="I1472" t="str">
        <v>6-243-45-B</v>
      </c>
      <c r="K1472" t="str">
        <f>IF(ISERROR(MATCH(WORKORDER[[#This Row],[TRAVELER]],Table1[TRAVELER],0)),K1472,"Shipped")</f>
        <v>Shipped</v>
      </c>
      <c r="L1472">
        <f>+IF(ISERROR(MATCH(WORKORDER[[#This Row],[TRAVELER]],Table1[TRAVELER],0)),L1472,'PACKING SLIP'!$F$5)</f>
        <v>30074</v>
      </c>
    </row>
    <row r="1473">
      <c r="A1473">
        <v>718097</v>
      </c>
      <c r="B1473" t="str">
        <v>NU1405-00</v>
      </c>
      <c r="C1473">
        <v>1411</v>
      </c>
      <c r="E1473">
        <v>1201</v>
      </c>
      <c r="F1473">
        <v>77987</v>
      </c>
      <c r="G1473">
        <v>193627</v>
      </c>
      <c r="H1473" s="1">
        <v>46265</v>
      </c>
      <c r="I1473" t="str">
        <v>6-243-47-A</v>
      </c>
      <c r="K1473" t="str">
        <f>IF(ISERROR(MATCH(WORKORDER[[#This Row],[TRAVELER]],Table1[TRAVELER],0)),K1473,"Shipped")</f>
        <v>Shipped</v>
      </c>
      <c r="L1473">
        <f>+IF(ISERROR(MATCH(WORKORDER[[#This Row],[TRAVELER]],Table1[TRAVELER],0)),L1473,'PACKING SLIP'!$F$5)</f>
        <v>30074</v>
      </c>
    </row>
    <row r="1474">
      <c r="A1474">
        <v>718098</v>
      </c>
      <c r="B1474" t="str">
        <v>NU1405-00</v>
      </c>
      <c r="C1474">
        <v>1000</v>
      </c>
      <c r="E1474">
        <v>1125</v>
      </c>
      <c r="F1474">
        <v>73052</v>
      </c>
      <c r="G1474">
        <v>193627</v>
      </c>
      <c r="H1474" s="1">
        <v>46265</v>
      </c>
      <c r="I1474" t="str">
        <v>6-243-47-B</v>
      </c>
      <c r="K1474" t="str">
        <f>IF(ISERROR(MATCH(WORKORDER[[#This Row],[TRAVELER]],Table1[TRAVELER],0)),K1474,"Shipped")</f>
        <v>Shipped</v>
      </c>
      <c r="L1474">
        <f>+IF(ISERROR(MATCH(WORKORDER[[#This Row],[TRAVELER]],Table1[TRAVELER],0)),L1474,'PACKING SLIP'!$F$5)</f>
        <v>30074</v>
      </c>
    </row>
    <row r="1475">
      <c r="A1475">
        <v>718099</v>
      </c>
      <c r="B1475" t="str">
        <v>NU1405-00</v>
      </c>
      <c r="C1475">
        <v>1564</v>
      </c>
      <c r="E1475">
        <v>1262</v>
      </c>
      <c r="F1475">
        <v>81948</v>
      </c>
      <c r="G1475">
        <v>193627</v>
      </c>
      <c r="H1475" s="1">
        <v>46265</v>
      </c>
      <c r="I1475" t="str">
        <v>6-243-46-A</v>
      </c>
      <c r="K1475" t="str">
        <f>IF(ISERROR(MATCH(WORKORDER[[#This Row],[TRAVELER]],Table1[TRAVELER],0)),K1475,"Shipped")</f>
        <v>Shipped</v>
      </c>
      <c r="L1475">
        <f>+IF(ISERROR(MATCH(WORKORDER[[#This Row],[TRAVELER]],Table1[TRAVELER],0)),L1475,'PACKING SLIP'!$F$5)</f>
        <v>30074</v>
      </c>
    </row>
    <row r="1476">
      <c r="A1476">
        <v>718100</v>
      </c>
      <c r="B1476" t="str">
        <v>NU1405-00</v>
      </c>
      <c r="C1476">
        <v>928</v>
      </c>
      <c r="E1476">
        <v>1047</v>
      </c>
      <c r="F1476">
        <v>67987</v>
      </c>
      <c r="G1476">
        <v>193627</v>
      </c>
      <c r="H1476" s="1">
        <v>46265</v>
      </c>
      <c r="I1476" t="str">
        <v>6-243-46-B</v>
      </c>
      <c r="K1476" t="str">
        <f>IF(ISERROR(MATCH(WORKORDER[[#This Row],[TRAVELER]],Table1[TRAVELER],0)),K1476,"Shipped")</f>
        <v>Shipped</v>
      </c>
      <c r="L1476">
        <f>+IF(ISERROR(MATCH(WORKORDER[[#This Row],[TRAVELER]],Table1[TRAVELER],0)),L1476,'PACKING SLIP'!$F$5)</f>
        <v>30074</v>
      </c>
    </row>
    <row r="1477">
      <c r="A1477">
        <v>718101</v>
      </c>
      <c r="B1477" t="str">
        <v>NU1405-00</v>
      </c>
      <c r="C1477">
        <v>626</v>
      </c>
      <c r="E1477">
        <v>1172</v>
      </c>
      <c r="F1477">
        <v>76104</v>
      </c>
      <c r="G1477">
        <v>193627</v>
      </c>
      <c r="H1477" s="1">
        <v>46265</v>
      </c>
      <c r="I1477" t="str">
        <v>6-243-48-A</v>
      </c>
      <c r="K1477" t="str">
        <f>IF(ISERROR(MATCH(WORKORDER[[#This Row],[TRAVELER]],Table1[TRAVELER],0)),K1477,"Shipped")</f>
        <v>Shipped</v>
      </c>
      <c r="L1477">
        <f>+IF(ISERROR(MATCH(WORKORDER[[#This Row],[TRAVELER]],Table1[TRAVELER],0)),L1477,'PACKING SLIP'!$F$5)</f>
        <v>30074</v>
      </c>
    </row>
    <row r="1478">
      <c r="A1478">
        <v>718102</v>
      </c>
      <c r="B1478" t="str">
        <v>NU1405-00</v>
      </c>
      <c r="C1478">
        <v>940</v>
      </c>
      <c r="E1478">
        <v>1152</v>
      </c>
      <c r="F1478">
        <v>74805</v>
      </c>
      <c r="G1478">
        <v>193627</v>
      </c>
      <c r="H1478" s="1">
        <v>46265</v>
      </c>
      <c r="I1478" t="str">
        <v>6-243-48-B</v>
      </c>
      <c r="K1478" t="str">
        <f>IF(ISERROR(MATCH(WORKORDER[[#This Row],[TRAVELER]],Table1[TRAVELER],0)),K1478,"Shipped")</f>
        <v>Shipped</v>
      </c>
      <c r="L1478">
        <f>+IF(ISERROR(MATCH(WORKORDER[[#This Row],[TRAVELER]],Table1[TRAVELER],0)),L1478,'PACKING SLIP'!$F$5)</f>
        <v>30074</v>
      </c>
    </row>
    <row r="1479">
      <c r="A1479">
        <v>176287</v>
      </c>
      <c r="B1479" t="str">
        <v>11546774-MY-AK</v>
      </c>
      <c r="C1479">
        <v>1346</v>
      </c>
      <c r="E1479">
        <v>993</v>
      </c>
      <c r="F1479">
        <v>13753</v>
      </c>
      <c r="G1479">
        <v>193665</v>
      </c>
      <c r="H1479" s="1">
        <v>46266</v>
      </c>
      <c r="I1479" t="str">
        <v>6-243-36-D</v>
      </c>
      <c r="K1479">
        <f>IF(ISERROR(MATCH(WORKORDER[[#This Row],[TRAVELER]],Table1[TRAVELER],0)),K1479,"Shipped")</f>
        <v>0</v>
      </c>
      <c r="L1479">
        <f>+IF(ISERROR(MATCH(WORKORDER[[#This Row],[TRAVELER]],Table1[TRAVELER],0)),L1479,'PACKING SLIP'!$F$5)</f>
        <v>0</v>
      </c>
    </row>
    <row r="1480">
      <c r="A1480">
        <v>716164</v>
      </c>
      <c r="B1480" t="str">
        <v>11546774-MY-AK</v>
      </c>
      <c r="C1480">
        <v>1311</v>
      </c>
      <c r="E1480">
        <v>890</v>
      </c>
      <c r="F1480">
        <v>12327</v>
      </c>
      <c r="G1480">
        <v>193665</v>
      </c>
      <c r="H1480" s="1">
        <v>46266</v>
      </c>
      <c r="I1480" t="str">
        <v>6-243-37-A</v>
      </c>
      <c r="K1480" t="str">
        <f>IF(ISERROR(MATCH(WORKORDER[[#This Row],[TRAVELER]],Table1[TRAVELER],0)),K1480,"Shipped")</f>
        <v>Shipped</v>
      </c>
      <c r="L1480">
        <f>+IF(ISERROR(MATCH([1]!WORKORDER[[#This Row],[TRAVELER]],[1]!Table1[TRAVELER],0)),L1480,#REF!)</f>
        <v>0</v>
      </c>
    </row>
    <row r="1481">
      <c r="A1481">
        <v>716165</v>
      </c>
      <c r="B1481" t="str">
        <v>11546774-MY-AK</v>
      </c>
      <c r="C1481">
        <v>71</v>
      </c>
      <c r="E1481">
        <v>1060</v>
      </c>
      <c r="F1481">
        <v>14681</v>
      </c>
      <c r="G1481">
        <v>193665</v>
      </c>
      <c r="H1481" s="1">
        <v>46266</v>
      </c>
      <c r="I1481" t="str">
        <v>6-243-37-B</v>
      </c>
      <c r="K1481" t="str">
        <f>IF(ISERROR(MATCH(WORKORDER[[#This Row],[TRAVELER]],Table1[TRAVELER],0)),K1481,"Shipped")</f>
        <v>Shipped</v>
      </c>
      <c r="L1481">
        <f>+IF(ISERROR(MATCH([1]!WORKORDER[[#This Row],[TRAVELER]],[1]!Table1[TRAVELER],0)),L1481,#REF!)</f>
        <v>0</v>
      </c>
    </row>
    <row r="1482">
      <c r="A1482">
        <v>716175</v>
      </c>
      <c r="B1482" t="str">
        <v>11546774-MY-AK</v>
      </c>
      <c r="C1482">
        <v>102</v>
      </c>
      <c r="E1482">
        <v>1024</v>
      </c>
      <c r="F1482">
        <v>14183</v>
      </c>
      <c r="G1482">
        <v>193665</v>
      </c>
      <c r="H1482" s="1">
        <v>46266</v>
      </c>
      <c r="I1482" t="str">
        <v>6-243-37-D</v>
      </c>
      <c r="K1482" t="str">
        <f>IF(ISERROR(MATCH(WORKORDER[[#This Row],[TRAVELER]],Table1[TRAVELER],0)),K1482,"Shipped")</f>
        <v>Shipped</v>
      </c>
      <c r="L1482">
        <f>+IF(ISERROR(MATCH([1]!WORKORDER[[#This Row],[TRAVELER]],[1]!Table1[TRAVELER],0)),L1482,#REF!)</f>
        <v>0</v>
      </c>
    </row>
    <row r="1483">
      <c r="A1483">
        <v>716284</v>
      </c>
      <c r="B1483" t="str">
        <v>11546774-MY-AK</v>
      </c>
      <c r="C1483">
        <v>1656</v>
      </c>
      <c r="E1483">
        <v>962</v>
      </c>
      <c r="F1483">
        <v>13324</v>
      </c>
      <c r="G1483">
        <v>193665</v>
      </c>
      <c r="H1483" s="1">
        <v>46266</v>
      </c>
      <c r="I1483" t="str">
        <v>6-243-36-A</v>
      </c>
      <c r="K1483" t="str">
        <f>IF(ISERROR(MATCH(WORKORDER[[#This Row],[TRAVELER]],Table1[TRAVELER],0)),K1483,"Shipped")</f>
        <v>Shipped</v>
      </c>
      <c r="L1483">
        <f>+IF(ISERROR(MATCH([1]!WORKORDER[[#This Row],[TRAVELER]],[1]!Table1[TRAVELER],0)),L1483,#REF!)</f>
        <v>0</v>
      </c>
    </row>
    <row r="1484">
      <c r="A1484">
        <v>716285</v>
      </c>
      <c r="B1484" t="str">
        <v>11546774-MY-AK</v>
      </c>
      <c r="C1484">
        <v>918</v>
      </c>
      <c r="E1484">
        <v>971</v>
      </c>
      <c r="F1484">
        <v>13449</v>
      </c>
      <c r="G1484">
        <v>193665</v>
      </c>
      <c r="H1484" s="1">
        <v>46266</v>
      </c>
      <c r="I1484" t="str">
        <v>6-243-36-B</v>
      </c>
      <c r="K1484" t="str">
        <f>IF(ISERROR(MATCH(WORKORDER[[#This Row],[TRAVELER]],Table1[TRAVELER],0)),K1484,"Shipped")</f>
        <v>Shipped</v>
      </c>
      <c r="L1484">
        <f>+IF(ISERROR(MATCH([1]!WORKORDER[[#This Row],[TRAVELER]],[1]!Table1[TRAVELER],0)),L1484,#REF!)</f>
        <v>0</v>
      </c>
    </row>
    <row r="1485">
      <c r="A1485">
        <v>716286</v>
      </c>
      <c r="B1485" t="str">
        <v>11546774-MY-AK</v>
      </c>
      <c r="C1485">
        <v>62</v>
      </c>
      <c r="E1485">
        <v>937</v>
      </c>
      <c r="F1485">
        <v>12978</v>
      </c>
      <c r="G1485">
        <v>193665</v>
      </c>
      <c r="H1485" s="1">
        <v>46266</v>
      </c>
      <c r="I1485" t="str">
        <v>6-243-36-C</v>
      </c>
      <c r="K1485" t="str">
        <f>IF(ISERROR(MATCH(WORKORDER[[#This Row],[TRAVELER]],Table1[TRAVELER],0)),K1485,"Shipped")</f>
        <v>Shipped</v>
      </c>
      <c r="L1485">
        <f>+IF(ISERROR(MATCH([1]!WORKORDER[[#This Row],[TRAVELER]],[1]!Table1[TRAVELER],0)),L1485,#REF!)</f>
        <v>0</v>
      </c>
    </row>
    <row r="1486">
      <c r="A1486">
        <v>716287</v>
      </c>
      <c r="B1486" t="str">
        <v>11546774-MY-AK</v>
      </c>
      <c r="C1486">
        <v>1346</v>
      </c>
      <c r="E1486">
        <v>993</v>
      </c>
      <c r="F1486">
        <v>13750</v>
      </c>
      <c r="G1486">
        <v>193665</v>
      </c>
      <c r="H1486" s="1">
        <v>46266</v>
      </c>
      <c r="I1486" t="str">
        <v>6-243-36-D</v>
      </c>
      <c r="K1486" t="str">
        <f>IF(ISERROR(MATCH(WORKORDER[[#This Row],[TRAVELER]],Table1[TRAVELER],0)),K1486,"Shipped")</f>
        <v>Shipped</v>
      </c>
      <c r="L1486">
        <f>+IF(ISERROR(MATCH([1]!WORKORDER[[#This Row],[TRAVELER]],[1]!Table1[TRAVELER],0)),L1486,#REF!)</f>
        <v>0</v>
      </c>
    </row>
    <row r="1487">
      <c r="A1487">
        <v>716429</v>
      </c>
      <c r="B1487">
        <v>11604820</v>
      </c>
      <c r="C1487">
        <v>671</v>
      </c>
      <c r="E1487">
        <v>411</v>
      </c>
      <c r="F1487">
        <v>4692</v>
      </c>
      <c r="G1487">
        <v>193665</v>
      </c>
      <c r="H1487" s="1">
        <v>46266</v>
      </c>
      <c r="I1487" t="str">
        <v>6-244-18-A</v>
      </c>
      <c r="K1487" t="str">
        <f>IF(ISERROR(MATCH(WORKORDER[[#This Row],[TRAVELER]],Table1[TRAVELER],0)),K1487,"Shipped")</f>
        <v>Shipped</v>
      </c>
      <c r="L1487">
        <f>+IF(ISERROR(MATCH([1]!WORKORDER[[#This Row],[TRAVELER]],[1]!Table1[TRAVELER],0)),L1487,#REF!)</f>
        <v>0</v>
      </c>
    </row>
    <row r="1488">
      <c r="A1488">
        <v>716955</v>
      </c>
      <c r="B1488" t="str">
        <v>22800396-IN-PN</v>
      </c>
      <c r="C1488">
        <v>1771</v>
      </c>
      <c r="E1488">
        <v>488</v>
      </c>
      <c r="F1488">
        <v>21883</v>
      </c>
      <c r="G1488">
        <v>193665</v>
      </c>
      <c r="H1488" s="1">
        <v>46266</v>
      </c>
      <c r="I1488" t="str">
        <v>6-243-57-A</v>
      </c>
      <c r="K1488" t="str">
        <f>IF(ISERROR(MATCH(WORKORDER[[#This Row],[TRAVELER]],Table1[TRAVELER],0)),K1488,"Shipped")</f>
        <v>Shipped</v>
      </c>
      <c r="L1488">
        <f>+IF(ISERROR(MATCH(WORKORDER[[#This Row],[TRAVELER]],Table1[TRAVELER],0)),L1488,'PACKING SLIP'!$F$5)</f>
        <v>0</v>
      </c>
    </row>
    <row r="1489">
      <c r="A1489">
        <v>716969</v>
      </c>
      <c r="B1489">
        <v>11548535</v>
      </c>
      <c r="C1489">
        <v>1330</v>
      </c>
      <c r="E1489">
        <v>1142</v>
      </c>
      <c r="F1489">
        <v>5710</v>
      </c>
      <c r="G1489">
        <v>193665</v>
      </c>
      <c r="H1489" s="1">
        <v>46266</v>
      </c>
      <c r="I1489" t="str">
        <v>6-243-35-A</v>
      </c>
      <c r="K1489" t="str">
        <f>IF(ISERROR(MATCH(WORKORDER[[#This Row],[TRAVELER]],Table1[TRAVELER],0)),K1489,"Shipped")</f>
        <v>Shipped</v>
      </c>
      <c r="L1489">
        <f>+IF(ISERROR(MATCH(WORKORDER[[#This Row],[TRAVELER]],Table1[TRAVELER],0)),L1489,'PACKING SLIP'!$F$5)</f>
        <v>0</v>
      </c>
    </row>
    <row r="1490">
      <c r="A1490">
        <v>717535</v>
      </c>
      <c r="B1490" t="str">
        <v>06512313AA</v>
      </c>
      <c r="C1490">
        <v>251</v>
      </c>
      <c r="E1490">
        <v>972</v>
      </c>
      <c r="F1490">
        <v>110455</v>
      </c>
      <c r="G1490">
        <v>193665</v>
      </c>
      <c r="H1490" s="1">
        <v>46266</v>
      </c>
      <c r="I1490" t="str">
        <v>6-243-58-A</v>
      </c>
      <c r="K1490" t="str">
        <f>IF(ISERROR(MATCH(WORKORDER[[#This Row],[TRAVELER]],Table1[TRAVELER],0)),K1490,"Shipped")</f>
        <v>Shipped</v>
      </c>
      <c r="L1490">
        <f>+IF(ISERROR(MATCH(WORKORDER[[#This Row],[TRAVELER]],Table1[TRAVELER],0)),L1490,'PACKING SLIP'!$F$5)</f>
        <v>30072</v>
      </c>
    </row>
    <row r="1491">
      <c r="A1491">
        <v>717567</v>
      </c>
      <c r="B1491" t="str">
        <v>7150-1710-03</v>
      </c>
      <c r="C1491">
        <v>1621</v>
      </c>
      <c r="E1491">
        <v>750</v>
      </c>
      <c r="F1491">
        <v>26786</v>
      </c>
      <c r="G1491">
        <v>193665</v>
      </c>
      <c r="H1491" s="1">
        <v>46266</v>
      </c>
      <c r="I1491" t="str">
        <v>6-244-13-A</v>
      </c>
      <c r="K1491" t="str">
        <f>IF(ISERROR(MATCH(WORKORDER[[#This Row],[TRAVELER]],Table1[TRAVELER],0)),K1491,"Shipped")</f>
        <v>Shipped</v>
      </c>
      <c r="L1491">
        <f>+IF(ISERROR(MATCH(WORKORDER[[#This Row],[TRAVELER]],Table1[TRAVELER],0)),L1491,'PACKING SLIP'!$F$5)</f>
        <v>30067</v>
      </c>
    </row>
    <row r="1492">
      <c r="A1492">
        <v>717852</v>
      </c>
      <c r="B1492" t="str">
        <v>W711953-S900</v>
      </c>
      <c r="C1492">
        <v>680</v>
      </c>
      <c r="E1492">
        <v>1030</v>
      </c>
      <c r="F1492">
        <v>66883</v>
      </c>
      <c r="G1492">
        <v>193665</v>
      </c>
      <c r="H1492" s="1">
        <v>46266</v>
      </c>
      <c r="I1492" t="str">
        <v>6-244-16-A</v>
      </c>
      <c r="K1492" t="str">
        <f>IF(ISERROR(MATCH(WORKORDER[[#This Row],[TRAVELER]],Table1[TRAVELER],0)),K1492,"Shipped")</f>
        <v>Shipped</v>
      </c>
      <c r="L1492">
        <f>+IF(ISERROR(MATCH(WORKORDER[[#This Row],[TRAVELER]],Table1[TRAVELER],0)),L1492,'PACKING SLIP'!$F$5)</f>
        <v>30080</v>
      </c>
    </row>
    <row r="1493">
      <c r="A1493">
        <v>717853</v>
      </c>
      <c r="B1493" t="str">
        <v>W711953-S900</v>
      </c>
      <c r="C1493">
        <v>389</v>
      </c>
      <c r="E1493">
        <v>1017</v>
      </c>
      <c r="F1493">
        <v>66039</v>
      </c>
      <c r="G1493">
        <v>193665</v>
      </c>
      <c r="H1493" s="1">
        <v>46266</v>
      </c>
      <c r="I1493" t="str">
        <v>6-244-16-B</v>
      </c>
      <c r="K1493" t="str">
        <f>IF(ISERROR(MATCH(WORKORDER[[#This Row],[TRAVELER]],Table1[TRAVELER],0)),K1493,"Shipped")</f>
        <v>Shipped</v>
      </c>
      <c r="L1493">
        <f>+IF(ISERROR(MATCH(WORKORDER[[#This Row],[TRAVELER]],Table1[TRAVELER],0)),L1493,'PACKING SLIP'!$F$5)</f>
        <v>30082</v>
      </c>
    </row>
    <row r="1494">
      <c r="A1494">
        <v>717854</v>
      </c>
      <c r="B1494" t="str">
        <v>W711953-S900</v>
      </c>
      <c r="C1494">
        <v>1821</v>
      </c>
      <c r="E1494">
        <v>1019</v>
      </c>
      <c r="F1494">
        <v>66169</v>
      </c>
      <c r="G1494">
        <v>193665</v>
      </c>
      <c r="H1494" s="1">
        <v>46266</v>
      </c>
      <c r="I1494" t="str">
        <v>6-244-17-A</v>
      </c>
      <c r="K1494" t="str">
        <f>IF(ISERROR(MATCH(WORKORDER[[#This Row],[TRAVELER]],Table1[TRAVELER],0)),K1494,"Shipped")</f>
        <v>Shipped</v>
      </c>
      <c r="L1494">
        <f>+IF(ISERROR(MATCH(WORKORDER[[#This Row],[TRAVELER]],Table1[TRAVELER],0)),L1494,'PACKING SLIP'!$F$5)</f>
        <v>30092</v>
      </c>
    </row>
    <row r="1495">
      <c r="A1495">
        <v>717855</v>
      </c>
      <c r="B1495" t="str">
        <v>W711953-S900</v>
      </c>
      <c r="C1495">
        <v>862</v>
      </c>
      <c r="E1495">
        <v>1022</v>
      </c>
      <c r="F1495">
        <v>66364</v>
      </c>
      <c r="G1495">
        <v>193665</v>
      </c>
      <c r="H1495" s="1">
        <v>46266</v>
      </c>
      <c r="I1495" t="str">
        <v>6-244-17-B</v>
      </c>
      <c r="K1495" t="str">
        <f>IF(ISERROR(MATCH(WORKORDER[[#This Row],[TRAVELER]],Table1[TRAVELER],0)),K1495,"Shipped")</f>
        <v>Shipped</v>
      </c>
      <c r="L1495">
        <f>+IF(ISERROR(MATCH(WORKORDER[[#This Row],[TRAVELER]],Table1[TRAVELER],0)),L1495,'PACKING SLIP'!$F$5)</f>
        <v>30082</v>
      </c>
    </row>
    <row r="1496">
      <c r="A1496">
        <v>717395</v>
      </c>
      <c r="B1496" t="str">
        <v>06101831-A</v>
      </c>
      <c r="C1496">
        <v>1837</v>
      </c>
      <c r="E1496">
        <v>785</v>
      </c>
      <c r="F1496">
        <v>28442</v>
      </c>
      <c r="G1496">
        <v>193696</v>
      </c>
      <c r="H1496" s="1">
        <v>46267</v>
      </c>
      <c r="I1496" t="str">
        <v>TRAVELERRECEIVED</v>
      </c>
      <c r="K1496" t="str">
        <f>IF(ISERROR(MATCH(WORKORDER[[#This Row],[TRAVELER]],Table1[TRAVELER],0)),K1496,"Shipped")</f>
        <v>Shipped</v>
      </c>
      <c r="L1496">
        <f>+IF(ISERROR(MATCH(WORKORDER[[#This Row],[TRAVELER]],Table1[TRAVELER],0)),L1496,'PACKING SLIP'!$F$5)</f>
        <v>30072</v>
      </c>
    </row>
    <row r="1497">
      <c r="A1497">
        <v>717396</v>
      </c>
      <c r="B1497" t="str">
        <v>06101831-A</v>
      </c>
      <c r="C1497">
        <v>1062</v>
      </c>
      <c r="E1497">
        <v>875</v>
      </c>
      <c r="F1497">
        <v>31703</v>
      </c>
      <c r="G1497">
        <v>193696</v>
      </c>
      <c r="H1497" s="1">
        <v>46267</v>
      </c>
      <c r="I1497" t="str">
        <v>TRAVELERRECEIVED</v>
      </c>
      <c r="K1497" t="str">
        <f>IF(ISERROR(MATCH(WORKORDER[[#This Row],[TRAVELER]],Table1[TRAVELER],0)),K1497,"Shipped")</f>
        <v>Shipped</v>
      </c>
      <c r="L1497">
        <f>+IF(ISERROR(MATCH(WORKORDER[[#This Row],[TRAVELER]],Table1[TRAVELER],0)),L1497,'PACKING SLIP'!$F$5)</f>
        <v>30072</v>
      </c>
    </row>
    <row r="1498">
      <c r="A1498">
        <v>717453</v>
      </c>
      <c r="B1498">
        <v>82246</v>
      </c>
      <c r="C1498" t="str">
        <v>KIB</v>
      </c>
      <c r="E1498">
        <v>1658</v>
      </c>
      <c r="F1498">
        <v>15000</v>
      </c>
      <c r="G1498">
        <v>193696</v>
      </c>
      <c r="H1498" s="1">
        <v>46267</v>
      </c>
      <c r="I1498" t="str">
        <v>TRAVELERRECEIVED</v>
      </c>
      <c r="K1498" t="str">
        <f>IF(ISERROR(MATCH(WORKORDER[[#This Row],[TRAVELER]],Table1[TRAVELER],0)),K1498,"Shipped")</f>
        <v>Shipped</v>
      </c>
      <c r="L1498">
        <f>+IF(ISERROR(MATCH(WORKORDER[[#This Row],[TRAVELER]],Table1[TRAVELER],0)),L1498,'PACKING SLIP'!$F$5)</f>
        <v>30072</v>
      </c>
    </row>
    <row r="1499">
      <c r="A1499">
        <v>717764</v>
      </c>
      <c r="B1499" t="str">
        <v>06101736-A</v>
      </c>
      <c r="C1499">
        <v>1594</v>
      </c>
      <c r="E1499">
        <v>1160</v>
      </c>
      <c r="F1499">
        <v>130337</v>
      </c>
      <c r="G1499">
        <v>193696</v>
      </c>
      <c r="H1499" s="1">
        <v>46267</v>
      </c>
      <c r="I1499" t="str">
        <v>TRAVELERRECEIVED</v>
      </c>
      <c r="K1499">
        <f>IF(ISERROR(MATCH(WORKORDER[[#This Row],[TRAVELER]],Table1[TRAVELER],0)),K1499,"Shipped")</f>
        <v>0</v>
      </c>
      <c r="L1499">
        <f>+IF(ISERROR(MATCH(WORKORDER[[#This Row],[TRAVELER]],Table1[TRAVELER],0)),L1499,'PACKING SLIP'!$F$5)</f>
        <v>0</v>
      </c>
    </row>
    <row r="1500">
      <c r="A1500">
        <v>717765</v>
      </c>
      <c r="B1500" t="str">
        <v>06101736-A</v>
      </c>
      <c r="C1500">
        <v>1352</v>
      </c>
      <c r="E1500">
        <v>1108</v>
      </c>
      <c r="F1500">
        <v>124494</v>
      </c>
      <c r="G1500">
        <v>193696</v>
      </c>
      <c r="H1500" s="1">
        <v>46267</v>
      </c>
      <c r="I1500" t="str">
        <v>TRAVELERRECEIVED</v>
      </c>
      <c r="K1500">
        <f>IF(ISERROR(MATCH(WORKORDER[[#This Row],[TRAVELER]],Table1[TRAVELER],0)),K1500,"Shipped")</f>
        <v>0</v>
      </c>
      <c r="L1500">
        <f>+IF(ISERROR(MATCH(WORKORDER[[#This Row],[TRAVELER]],Table1[TRAVELER],0)),L1500,'PACKING SLIP'!$F$5)</f>
        <v>0</v>
      </c>
    </row>
    <row r="1501">
      <c r="A1501">
        <v>717766</v>
      </c>
      <c r="B1501" t="str">
        <v>06101736-A</v>
      </c>
      <c r="C1501">
        <v>836</v>
      </c>
      <c r="E1501">
        <v>1050</v>
      </c>
      <c r="F1501">
        <v>117978</v>
      </c>
      <c r="G1501">
        <v>193696</v>
      </c>
      <c r="H1501" s="1">
        <v>46267</v>
      </c>
      <c r="I1501" t="str">
        <v>TRAVELERRECEIVED</v>
      </c>
      <c r="K1501" t="str">
        <f>IF(ISERROR(MATCH(WORKORDER[[#This Row],[TRAVELER]],Table1[TRAVELER],0)),K1501,"Shipped")</f>
        <v>Shipped</v>
      </c>
      <c r="L1501">
        <f>+IF(ISERROR(MATCH(WORKORDER[[#This Row],[TRAVELER]],Table1[TRAVELER],0)),L1501,'PACKING SLIP'!$F$5)</f>
        <v>30098</v>
      </c>
    </row>
    <row r="1502">
      <c r="A1502">
        <v>717767</v>
      </c>
      <c r="B1502" t="str">
        <v>06101736-A</v>
      </c>
      <c r="C1502">
        <v>108</v>
      </c>
      <c r="E1502">
        <v>1198</v>
      </c>
      <c r="F1502">
        <v>134607</v>
      </c>
      <c r="G1502">
        <v>193696</v>
      </c>
      <c r="H1502" s="1">
        <v>46267</v>
      </c>
      <c r="I1502" t="str">
        <v>TRAVELERRECEIVED</v>
      </c>
      <c r="K1502" t="str">
        <f>IF(ISERROR(MATCH(WORKORDER[[#This Row],[TRAVELER]],Table1[TRAVELER],0)),K1502,"Shipped")</f>
        <v>Shipped</v>
      </c>
      <c r="L1502">
        <f>+IF(ISERROR(MATCH(WORKORDER[[#This Row],[TRAVELER]],Table1[TRAVELER],0)),L1502,'PACKING SLIP'!$F$5)</f>
        <v>0</v>
      </c>
    </row>
    <row r="1503">
      <c r="A1503">
        <v>717912</v>
      </c>
      <c r="B1503" t="str">
        <v>06101831-A</v>
      </c>
      <c r="C1503">
        <v>1092</v>
      </c>
      <c r="E1503">
        <v>678</v>
      </c>
      <c r="F1503">
        <v>24565</v>
      </c>
      <c r="G1503">
        <v>193696</v>
      </c>
      <c r="H1503" s="1">
        <v>46267</v>
      </c>
      <c r="I1503" t="str">
        <v>TRAVELERRECEIVED</v>
      </c>
      <c r="K1503">
        <f>IF(ISERROR(MATCH(WORKORDER[[#This Row],[TRAVELER]],Table1[TRAVELER],0)),K1503,"Shipped")</f>
        <v>0</v>
      </c>
      <c r="L1503">
        <f>+IF(ISERROR(MATCH(WORKORDER[[#This Row],[TRAVELER]],Table1[TRAVELER],0)),L1503,'PACKING SLIP'!$F$5)</f>
        <v>0</v>
      </c>
    </row>
    <row r="1504">
      <c r="A1504">
        <v>717914</v>
      </c>
      <c r="B1504" t="str">
        <v>06101831-A</v>
      </c>
      <c r="C1504">
        <v>1509</v>
      </c>
      <c r="E1504">
        <v>997</v>
      </c>
      <c r="F1504">
        <v>36123</v>
      </c>
      <c r="G1504">
        <v>193696</v>
      </c>
      <c r="H1504" s="1">
        <v>46267</v>
      </c>
      <c r="I1504" t="str">
        <v>TRAVELERRECEIVED</v>
      </c>
      <c r="K1504">
        <f>IF(ISERROR(MATCH(WORKORDER[[#This Row],[TRAVELER]],Table1[TRAVELER],0)),K1504,"Shipped")</f>
        <v>0</v>
      </c>
      <c r="L1504">
        <f>+IF(ISERROR(MATCH(WORKORDER[[#This Row],[TRAVELER]],Table1[TRAVELER],0)),L1504,'PACKING SLIP'!$F$5)</f>
        <v>0</v>
      </c>
    </row>
    <row r="1505">
      <c r="A1505">
        <v>717915</v>
      </c>
      <c r="B1505" t="str">
        <v>06101831-A</v>
      </c>
      <c r="C1505">
        <v>568</v>
      </c>
      <c r="E1505">
        <v>1170</v>
      </c>
      <c r="F1505">
        <v>42391</v>
      </c>
      <c r="G1505">
        <v>193696</v>
      </c>
      <c r="H1505" s="1">
        <v>46267</v>
      </c>
      <c r="I1505" t="str">
        <v>TRAVELERRECEIVED</v>
      </c>
      <c r="K1505" t="str">
        <f>IF(ISERROR(MATCH(WORKORDER[[#This Row],[TRAVELER]],Table1[TRAVELER],0)),K1505,"Shipped")</f>
        <v>Shipped</v>
      </c>
      <c r="L1505">
        <f>+IF(ISERROR(MATCH([1]!WORKORDER[[#This Row],[TRAVELER]],[1]!Table1[TRAVELER],0)),L1505,#REF!)</f>
        <v>0</v>
      </c>
    </row>
    <row r="1506">
      <c r="A1506">
        <v>717916</v>
      </c>
      <c r="B1506" t="str">
        <v>06101831-A</v>
      </c>
      <c r="C1506">
        <v>491</v>
      </c>
      <c r="E1506">
        <v>1116</v>
      </c>
      <c r="F1506">
        <v>40435</v>
      </c>
      <c r="G1506">
        <v>193696</v>
      </c>
      <c r="H1506" s="1">
        <v>46267</v>
      </c>
      <c r="I1506" t="str">
        <v>TRAVELERRECEIVED</v>
      </c>
      <c r="K1506" t="str">
        <f>IF(ISERROR(MATCH(WORKORDER[[#This Row],[TRAVELER]],Table1[TRAVELER],0)),K1506,"Shipped")</f>
        <v>Shipped</v>
      </c>
      <c r="L1506">
        <f>+IF(ISERROR(MATCH(WORKORDER[[#This Row],[TRAVELER]],Table1[TRAVELER],0)),L1506,'PACKING SLIP'!$F$5)</f>
        <v>30092</v>
      </c>
    </row>
    <row r="1507">
      <c r="A1507">
        <v>717968</v>
      </c>
      <c r="B1507" t="str">
        <v>06101831-A</v>
      </c>
      <c r="C1507">
        <v>668</v>
      </c>
      <c r="E1507">
        <v>954</v>
      </c>
      <c r="F1507">
        <v>34565</v>
      </c>
      <c r="G1507">
        <v>193696</v>
      </c>
      <c r="H1507" s="1">
        <v>46267</v>
      </c>
      <c r="K1507" t="str">
        <f>IF(ISERROR(MATCH(WORKORDER[[#This Row],[TRAVELER]],Table1[TRAVELER],0)),K1507,"Shipped")</f>
        <v>Shipped</v>
      </c>
      <c r="L1507">
        <f>+IF(ISERROR(MATCH(WORKORDER[[#This Row],[TRAVELER]],Table1[TRAVELER],0)),L1507,'PACKING SLIP'!$F$5)</f>
        <v>30080</v>
      </c>
    </row>
    <row r="1508">
      <c r="A1508">
        <v>718120</v>
      </c>
      <c r="B1508" t="str">
        <v>11546377-PH-RO</v>
      </c>
      <c r="C1508">
        <v>1343</v>
      </c>
      <c r="E1508">
        <v>833</v>
      </c>
      <c r="F1508">
        <v>54091</v>
      </c>
      <c r="G1508">
        <v>193696</v>
      </c>
      <c r="H1508" s="1">
        <v>46267</v>
      </c>
      <c r="I1508" t="str">
        <v>TRAVELERRECEIVED</v>
      </c>
      <c r="K1508" t="str">
        <f>IF(ISERROR(MATCH(WORKORDER[[#This Row],[TRAVELER]],Table1[TRAVELER],0)),K1508,"Shipped")</f>
        <v>Shipped</v>
      </c>
      <c r="L1508">
        <f>+IF(ISERROR(MATCH(WORKORDER[[#This Row],[TRAVELER]],Table1[TRAVELER],0)),L1508,'PACKING SLIP'!$F$5)</f>
        <v>30082</v>
      </c>
    </row>
    <row r="1509">
      <c r="A1509">
        <v>718121</v>
      </c>
      <c r="B1509" t="str">
        <v>11546377-PH-RO</v>
      </c>
      <c r="C1509">
        <v>186</v>
      </c>
      <c r="E1509">
        <v>1110</v>
      </c>
      <c r="F1509">
        <v>72078</v>
      </c>
      <c r="G1509">
        <v>193696</v>
      </c>
      <c r="H1509" s="1">
        <v>46267</v>
      </c>
      <c r="I1509" t="str">
        <v>TRAVELERRECEIVED</v>
      </c>
      <c r="K1509" t="str">
        <f>IF(ISERROR(MATCH(WORKORDER[[#This Row],[TRAVELER]],Table1[TRAVELER],0)),K1509,"Shipped")</f>
        <v>Shipped</v>
      </c>
      <c r="L1509">
        <f>+IF(ISERROR(MATCH(WORKORDER[[#This Row],[TRAVELER]],Table1[TRAVELER],0)),L1509,'PACKING SLIP'!$F$5)</f>
        <v>30092</v>
      </c>
    </row>
    <row r="1510">
      <c r="A1510">
        <v>718123</v>
      </c>
      <c r="B1510" t="str">
        <v>11546377-PH-RO</v>
      </c>
      <c r="C1510">
        <v>1528</v>
      </c>
      <c r="E1510">
        <v>1012</v>
      </c>
      <c r="F1510">
        <v>65714</v>
      </c>
      <c r="G1510">
        <v>193696</v>
      </c>
      <c r="H1510" s="1">
        <v>46267</v>
      </c>
      <c r="I1510" t="str">
        <v>TRAVELERRECEIVED</v>
      </c>
      <c r="K1510" t="str">
        <f>IF(ISERROR(MATCH(WORKORDER[[#This Row],[TRAVELER]],Table1[TRAVELER],0)),K1510,"Shipped")</f>
        <v>Shipped</v>
      </c>
      <c r="L1510">
        <f>+IF(ISERROR(MATCH(WORKORDER[[#This Row],[TRAVELER]],Table1[TRAVELER],0)),L1510,'PACKING SLIP'!$F$5)</f>
        <v>30082</v>
      </c>
    </row>
    <row r="1511">
      <c r="A1511">
        <v>718124</v>
      </c>
      <c r="B1511" t="str">
        <v>11546377-PH-RO</v>
      </c>
      <c r="C1511">
        <v>1011</v>
      </c>
      <c r="E1511">
        <v>982</v>
      </c>
      <c r="F1511">
        <v>63766</v>
      </c>
      <c r="G1511">
        <v>193696</v>
      </c>
      <c r="H1511" s="1">
        <v>46267</v>
      </c>
      <c r="I1511" t="str">
        <v>TRAVELERRECEIVED</v>
      </c>
      <c r="K1511" t="str">
        <f>IF(ISERROR(MATCH(WORKORDER[[#This Row],[TRAVELER]],Table1[TRAVELER],0)),K1511,"Shipped")</f>
        <v>Shipped</v>
      </c>
      <c r="L1511">
        <f>+IF(ISERROR(MATCH(WORKORDER[[#This Row],[TRAVELER]],Table1[TRAVELER],0)),L1511,'PACKING SLIP'!$F$5)</f>
        <v>30080</v>
      </c>
    </row>
    <row r="1512">
      <c r="A1512">
        <v>718131</v>
      </c>
      <c r="B1512">
        <v>11546377</v>
      </c>
      <c r="C1512">
        <v>1363</v>
      </c>
      <c r="E1512">
        <v>1025</v>
      </c>
      <c r="F1512">
        <v>66558</v>
      </c>
      <c r="G1512">
        <v>193696</v>
      </c>
      <c r="H1512" s="1">
        <v>46267</v>
      </c>
      <c r="I1512" t="str">
        <v>TRAVELERRECEIVED</v>
      </c>
      <c r="K1512" t="str">
        <f>IF(ISERROR(MATCH(WORKORDER[[#This Row],[TRAVELER]],Table1[TRAVELER],0)),K1512,"Shipped")</f>
        <v>Shipped</v>
      </c>
      <c r="L1512">
        <f>+IF(ISERROR(MATCH(WORKORDER[[#This Row],[TRAVELER]],Table1[TRAVELER],0)),L1512,'PACKING SLIP'!$F$5)</f>
        <v>30101</v>
      </c>
    </row>
    <row r="1513">
      <c r="A1513">
        <v>718132</v>
      </c>
      <c r="B1513">
        <v>11546377</v>
      </c>
      <c r="C1513">
        <v>1526</v>
      </c>
      <c r="E1513">
        <v>1079</v>
      </c>
      <c r="F1513">
        <v>70065</v>
      </c>
      <c r="G1513">
        <v>193696</v>
      </c>
      <c r="H1513" s="1">
        <v>46267</v>
      </c>
      <c r="I1513" t="str">
        <v>TRAVELERRECEIVED</v>
      </c>
      <c r="K1513" t="str">
        <f>IF(ISERROR(MATCH(WORKORDER[[#This Row],[TRAVELER]],Table1[TRAVELER],0)),K1513,"Shipped")</f>
        <v>Shipped</v>
      </c>
      <c r="L1513">
        <f>+IF(ISERROR(MATCH(WORKORDER[[#This Row],[TRAVELER]],Table1[TRAVELER],0)),L1513,'PACKING SLIP'!$F$5)</f>
        <v>30080</v>
      </c>
    </row>
    <row r="1514">
      <c r="A1514">
        <v>718133</v>
      </c>
      <c r="B1514">
        <v>11546377</v>
      </c>
      <c r="C1514">
        <v>1773</v>
      </c>
      <c r="E1514">
        <v>1212</v>
      </c>
      <c r="F1514">
        <v>78701</v>
      </c>
      <c r="G1514">
        <v>193696</v>
      </c>
      <c r="H1514" s="1">
        <v>46267</v>
      </c>
      <c r="I1514" t="str">
        <v>TRAVELERRECEIVED</v>
      </c>
      <c r="K1514" t="str">
        <f>IF(ISERROR(MATCH(WORKORDER[[#This Row],[TRAVELER]],Table1[TRAVELER],0)),K1514,"Shipped")</f>
        <v>Shipped</v>
      </c>
      <c r="L1514">
        <f>+IF(ISERROR(MATCH(WORKORDER[[#This Row],[TRAVELER]],Table1[TRAVELER],0)),L1514,'PACKING SLIP'!$F$5)</f>
        <v>30082</v>
      </c>
    </row>
    <row r="1515">
      <c r="A1515">
        <v>718134</v>
      </c>
      <c r="B1515">
        <v>11546377</v>
      </c>
      <c r="C1515">
        <v>85</v>
      </c>
      <c r="E1515">
        <v>893</v>
      </c>
      <c r="F1515">
        <v>57987</v>
      </c>
      <c r="G1515">
        <v>193696</v>
      </c>
      <c r="H1515" s="1">
        <v>46267</v>
      </c>
      <c r="I1515" t="str">
        <v>TRAVELERRECEIVED</v>
      </c>
      <c r="K1515" t="str">
        <f>IF(ISERROR(MATCH(WORKORDER[[#This Row],[TRAVELER]],Table1[TRAVELER],0)),K1515,"Shipped")</f>
        <v>Shipped</v>
      </c>
      <c r="L1515">
        <f>+IF(ISERROR(MATCH(WORKORDER[[#This Row],[TRAVELER]],Table1[TRAVELER],0)),L1515,'PACKING SLIP'!$F$5)</f>
        <v>30101</v>
      </c>
    </row>
    <row r="1516">
      <c r="A1516">
        <v>718135</v>
      </c>
      <c r="B1516">
        <v>11546377</v>
      </c>
      <c r="C1516">
        <v>798</v>
      </c>
      <c r="E1516">
        <v>1029</v>
      </c>
      <c r="F1516">
        <v>66818</v>
      </c>
      <c r="G1516">
        <v>193696</v>
      </c>
      <c r="H1516" s="1">
        <v>46267</v>
      </c>
      <c r="I1516" t="str">
        <v>TRAVELERRECEIVED</v>
      </c>
      <c r="K1516" t="str">
        <f>IF(ISERROR(MATCH(WORKORDER[[#This Row],[TRAVELER]],Table1[TRAVELER],0)),K1516,"Shipped")</f>
        <v>Shipped</v>
      </c>
      <c r="L1516">
        <f>+IF(ISERROR(MATCH(WORKORDER[[#This Row],[TRAVELER]],Table1[TRAVELER],0)),L1516,'PACKING SLIP'!$F$5)</f>
        <v>30082</v>
      </c>
    </row>
    <row r="1517">
      <c r="A1517">
        <v>718136</v>
      </c>
      <c r="B1517">
        <v>11546377</v>
      </c>
      <c r="C1517">
        <v>1544</v>
      </c>
      <c r="E1517">
        <v>1072</v>
      </c>
      <c r="F1517">
        <v>69610</v>
      </c>
      <c r="G1517">
        <v>193696</v>
      </c>
      <c r="H1517" s="1">
        <v>46267</v>
      </c>
      <c r="I1517" t="str">
        <v>TRAVELERRECEIVED</v>
      </c>
      <c r="K1517" t="str">
        <f>IF(ISERROR(MATCH(WORKORDER[[#This Row],[TRAVELER]],Table1[TRAVELER],0)),K1517,"Shipped")</f>
        <v>Shipped</v>
      </c>
      <c r="L1517">
        <f>+IF(ISERROR(MATCH(WORKORDER[[#This Row],[TRAVELER]],Table1[TRAVELER],0)),L1517,'PACKING SLIP'!$F$5)</f>
        <v>30082</v>
      </c>
    </row>
    <row r="1518">
      <c r="A1518">
        <v>718137</v>
      </c>
      <c r="B1518">
        <v>11546377</v>
      </c>
      <c r="C1518">
        <v>148</v>
      </c>
      <c r="E1518">
        <v>1004</v>
      </c>
      <c r="F1518">
        <v>65195</v>
      </c>
      <c r="G1518">
        <v>193696</v>
      </c>
      <c r="H1518" s="1">
        <v>46267</v>
      </c>
      <c r="I1518" t="str">
        <v>TRAVELERRECEIVED</v>
      </c>
      <c r="K1518" t="str">
        <f>IF(ISERROR(MATCH(WORKORDER[[#This Row],[TRAVELER]],Table1[TRAVELER],0)),K1518,"Shipped")</f>
        <v>Shipped</v>
      </c>
      <c r="L1518">
        <f>+IF(ISERROR(MATCH(WORKORDER[[#This Row],[TRAVELER]],Table1[TRAVELER],0)),L1518,'PACKING SLIP'!$F$5)</f>
        <v>30101</v>
      </c>
    </row>
    <row r="1519">
      <c r="A1519">
        <v>718138</v>
      </c>
      <c r="B1519">
        <v>11546377</v>
      </c>
      <c r="C1519">
        <v>1668</v>
      </c>
      <c r="E1519">
        <v>1079</v>
      </c>
      <c r="F1519">
        <v>70065</v>
      </c>
      <c r="G1519">
        <v>193696</v>
      </c>
      <c r="H1519" s="1">
        <v>46267</v>
      </c>
      <c r="I1519" t="str">
        <v>TRAVELERRECEIVED</v>
      </c>
      <c r="K1519">
        <f>IF(ISERROR(MATCH(WORKORDER[[#This Row],[TRAVELER]],Table1[TRAVELER],0)),K1519,"Shipped")</f>
        <v>0</v>
      </c>
      <c r="L1519">
        <f>+IF(ISERROR(MATCH(WORKORDER[[#This Row],[TRAVELER]],Table1[TRAVELER],0)),L1519,'PACKING SLIP'!$F$5)</f>
        <v>0</v>
      </c>
    </row>
    <row r="1520">
      <c r="A1520">
        <v>718139</v>
      </c>
      <c r="B1520">
        <v>11546377</v>
      </c>
      <c r="C1520">
        <v>1836</v>
      </c>
      <c r="E1520">
        <v>1130</v>
      </c>
      <c r="F1520">
        <v>73377</v>
      </c>
      <c r="G1520">
        <v>193696</v>
      </c>
      <c r="H1520" s="1">
        <v>46267</v>
      </c>
      <c r="I1520" t="str">
        <v>TRAVELERRECEIVED</v>
      </c>
      <c r="K1520" t="str">
        <f>IF(ISERROR(MATCH(WORKORDER[[#This Row],[TRAVELER]],Table1[TRAVELER],0)),K1520,"Shipped")</f>
        <v>Shipped</v>
      </c>
      <c r="L1520">
        <f>+IF(ISERROR(MATCH(WORKORDER[[#This Row],[TRAVELER]],Table1[TRAVELER],0)),L1520,'PACKING SLIP'!$F$5)</f>
        <v>30082</v>
      </c>
    </row>
    <row r="1521">
      <c r="A1521">
        <v>718140</v>
      </c>
      <c r="B1521">
        <v>11546377</v>
      </c>
      <c r="C1521">
        <v>401</v>
      </c>
      <c r="E1521">
        <v>997</v>
      </c>
      <c r="F1521">
        <v>64740</v>
      </c>
      <c r="G1521">
        <v>193696</v>
      </c>
      <c r="H1521" s="1">
        <v>46267</v>
      </c>
      <c r="I1521" t="str">
        <v>TRAVELERRECEIVED</v>
      </c>
      <c r="K1521" t="str">
        <f>IF(ISERROR(MATCH(WORKORDER[[#This Row],[TRAVELER]],Table1[TRAVELER],0)),K1521,"Shipped")</f>
        <v>Shipped</v>
      </c>
      <c r="L1521">
        <f>+IF(ISERROR(MATCH(WORKORDER[[#This Row],[TRAVELER]],Table1[TRAVELER],0)),L1521,'PACKING SLIP'!$F$5)</f>
        <v>30080</v>
      </c>
    </row>
    <row r="1522">
      <c r="A1522">
        <v>718141</v>
      </c>
      <c r="B1522">
        <v>11546377</v>
      </c>
      <c r="C1522">
        <v>1551</v>
      </c>
      <c r="E1522">
        <v>1074</v>
      </c>
      <c r="F1522">
        <v>69740</v>
      </c>
      <c r="G1522">
        <v>193696</v>
      </c>
      <c r="H1522" s="1">
        <v>46267</v>
      </c>
      <c r="I1522" t="str">
        <v>TRAVELERRECEIVED</v>
      </c>
      <c r="K1522" t="str">
        <f>IF(ISERROR(MATCH(WORKORDER[[#This Row],[TRAVELER]],Table1[TRAVELER],0)),K1522,"Shipped")</f>
        <v>Shipped</v>
      </c>
      <c r="L1522">
        <f>+IF(ISERROR(MATCH(WORKORDER[[#This Row],[TRAVELER]],Table1[TRAVELER],0)),L1522,'PACKING SLIP'!$F$5)</f>
        <v>30101</v>
      </c>
    </row>
    <row r="1523">
      <c r="A1523">
        <v>718142</v>
      </c>
      <c r="B1523">
        <v>11546377</v>
      </c>
      <c r="C1523">
        <v>473</v>
      </c>
      <c r="E1523">
        <v>1044</v>
      </c>
      <c r="F1523">
        <v>67792</v>
      </c>
      <c r="G1523">
        <v>193696</v>
      </c>
      <c r="H1523" s="1">
        <v>46267</v>
      </c>
      <c r="I1523" t="str">
        <v>TRAVELERRECEIVED</v>
      </c>
      <c r="K1523" t="str">
        <f>IF(ISERROR(MATCH(WORKORDER[[#This Row],[TRAVELER]],Table1[TRAVELER],0)),K1523,"Shipped")</f>
        <v>Shipped</v>
      </c>
      <c r="L1523">
        <f>+IF(ISERROR(MATCH(WORKORDER[[#This Row],[TRAVELER]],Table1[TRAVELER],0)),L1523,'PACKING SLIP'!$F$5)</f>
        <v>30082</v>
      </c>
    </row>
    <row r="1524">
      <c r="A1524">
        <v>717543</v>
      </c>
      <c r="B1524" t="str">
        <v>11502717-TN-TC</v>
      </c>
      <c r="C1524">
        <v>1635</v>
      </c>
      <c r="E1524">
        <v>1252</v>
      </c>
      <c r="F1524">
        <v>47969</v>
      </c>
      <c r="G1524">
        <v>193708</v>
      </c>
      <c r="H1524" s="1">
        <v>46267</v>
      </c>
      <c r="I1524" t="str">
        <v>6-245-03-A</v>
      </c>
      <c r="K1524" t="str">
        <f>IF(ISERROR(MATCH(WORKORDER[[#This Row],[TRAVELER]],Table1[TRAVELER],0)),K1524,"Shipped")</f>
        <v>Shipped</v>
      </c>
      <c r="L1524">
        <f>+IF(ISERROR(MATCH([1]!WORKORDER[[#This Row],[TRAVELER]],[1]!Table1[TRAVELER],0)),L1524,#REF!)</f>
        <v>0</v>
      </c>
    </row>
    <row r="1525">
      <c r="A1525">
        <v>711385</v>
      </c>
      <c r="B1525" t="str">
        <v>P7241950-IN-PN</v>
      </c>
      <c r="C1525">
        <v>133</v>
      </c>
      <c r="E1525">
        <v>321</v>
      </c>
      <c r="F1525">
        <v>2084</v>
      </c>
      <c r="G1525">
        <v>193709</v>
      </c>
      <c r="H1525" s="1">
        <v>46267</v>
      </c>
      <c r="I1525" t="str">
        <v>6-244-0-A</v>
      </c>
      <c r="K1525" t="str">
        <f>IF(ISERROR(MATCH(WORKORDER[[#This Row],[TRAVELER]],Table1[TRAVELER],0)),K1525,"Shipped")</f>
        <v>Shipped</v>
      </c>
      <c r="L1525">
        <f>+IF(ISERROR(MATCH(WORKORDER[[#This Row],[TRAVELER]],Table1[TRAVELER],0)),L1525,'PACKING SLIP'!$F$5)</f>
        <v>0</v>
      </c>
    </row>
    <row r="1526">
      <c r="A1526">
        <v>711386</v>
      </c>
      <c r="B1526" t="str">
        <v>P7241950-IN-PN</v>
      </c>
      <c r="C1526">
        <v>1356</v>
      </c>
      <c r="E1526">
        <v>442</v>
      </c>
      <c r="F1526">
        <v>2870</v>
      </c>
      <c r="G1526">
        <v>193709</v>
      </c>
      <c r="H1526" s="1">
        <v>46267</v>
      </c>
      <c r="I1526" t="str">
        <v>6-243-14-A</v>
      </c>
      <c r="K1526" t="str">
        <f>IF(ISERROR(MATCH(WORKORDER[[#This Row],[TRAVELER]],Table1[TRAVELER],0)),K1526,"Shipped")</f>
        <v>Shipped</v>
      </c>
      <c r="L1526">
        <f>+IF(ISERROR(MATCH(WORKORDER[[#This Row],[TRAVELER]],Table1[TRAVELER],0)),L1526,'PACKING SLIP'!$F$5)</f>
        <v>30082</v>
      </c>
    </row>
    <row r="1527">
      <c r="A1527">
        <v>712883</v>
      </c>
      <c r="B1527">
        <v>11612078</v>
      </c>
      <c r="C1527">
        <v>1448</v>
      </c>
      <c r="E1527">
        <v>1232</v>
      </c>
      <c r="F1527">
        <v>70000</v>
      </c>
      <c r="G1527">
        <v>193709</v>
      </c>
      <c r="H1527" s="1">
        <v>46267</v>
      </c>
      <c r="I1527" t="str">
        <v>6-244-20-B</v>
      </c>
      <c r="K1527">
        <f>IF(ISERROR(MATCH(WORKORDER[[#This Row],[TRAVELER]],Table1[TRAVELER],0)),K1527,"Shipped")</f>
        <v>0</v>
      </c>
      <c r="L1527">
        <f>+IF(ISERROR(MATCH(WORKORDER[[#This Row],[TRAVELER]],Table1[TRAVELER],0)),L1527,'PACKING SLIP'!$F$5)</f>
        <v>0</v>
      </c>
    </row>
    <row r="1528">
      <c r="A1528">
        <v>712885</v>
      </c>
      <c r="B1528">
        <v>11612078</v>
      </c>
      <c r="C1528">
        <v>190</v>
      </c>
      <c r="E1528">
        <v>1179</v>
      </c>
      <c r="F1528">
        <v>67000</v>
      </c>
      <c r="G1528">
        <v>193709</v>
      </c>
      <c r="H1528" s="1">
        <v>46267</v>
      </c>
      <c r="I1528" t="str">
        <v>6-244-20-C</v>
      </c>
      <c r="K1528">
        <f>IF(ISERROR(MATCH(WORKORDER[[#This Row],[TRAVELER]],Table1[TRAVELER],0)),K1528,"Shipped")</f>
        <v>0</v>
      </c>
      <c r="L1528">
        <f>+IF(ISERROR(MATCH(WORKORDER[[#This Row],[TRAVELER]],Table1[TRAVELER],0)),L1528,'PACKING SLIP'!$F$5)</f>
        <v>0</v>
      </c>
    </row>
    <row r="1529">
      <c r="A1529">
        <v>713307</v>
      </c>
      <c r="B1529" t="str">
        <v>NU3516-00</v>
      </c>
      <c r="C1529">
        <v>265</v>
      </c>
      <c r="E1529">
        <v>1146</v>
      </c>
      <c r="F1529">
        <v>12000</v>
      </c>
      <c r="G1529">
        <v>193709</v>
      </c>
      <c r="H1529" s="1">
        <v>46267</v>
      </c>
      <c r="I1529" t="str">
        <v>6-239-14-A</v>
      </c>
      <c r="K1529" t="str">
        <f>IF(ISERROR(MATCH(WORKORDER[[#This Row],[TRAVELER]],Table1[TRAVELER],0)),K1529,"Shipped")</f>
        <v>Shipped</v>
      </c>
      <c r="L1529">
        <f>+IF(ISERROR(MATCH([1]!WORKORDER[[#This Row],[TRAVELER]],[1]!Table1[TRAVELER],0)),L1529,#REF!)</f>
        <v>0</v>
      </c>
    </row>
    <row r="1530">
      <c r="A1530">
        <v>714057</v>
      </c>
      <c r="B1530">
        <v>11612078</v>
      </c>
      <c r="C1530">
        <v>723</v>
      </c>
      <c r="E1530">
        <v>1232</v>
      </c>
      <c r="F1530">
        <v>70000</v>
      </c>
      <c r="G1530">
        <v>193709</v>
      </c>
      <c r="H1530" s="1">
        <v>46267</v>
      </c>
      <c r="I1530" t="str">
        <v>6-244-19-C</v>
      </c>
      <c r="K1530">
        <f>IF(ISERROR(MATCH(WORKORDER[[#This Row],[TRAVELER]],Table1[TRAVELER],0)),K1530,"Shipped")</f>
        <v>0</v>
      </c>
      <c r="L1530">
        <f>+IF(ISERROR(MATCH(WORKORDER[[#This Row],[TRAVELER]],Table1[TRAVELER],0)),L1530,'PACKING SLIP'!$F$5)</f>
        <v>0</v>
      </c>
    </row>
    <row r="1531">
      <c r="A1531">
        <v>714675</v>
      </c>
      <c r="B1531" t="str">
        <v>P7241250</v>
      </c>
      <c r="C1531">
        <v>1701</v>
      </c>
      <c r="E1531">
        <v>948</v>
      </c>
      <c r="F1531">
        <v>61558</v>
      </c>
      <c r="G1531">
        <v>193709</v>
      </c>
      <c r="H1531" s="1">
        <v>46267</v>
      </c>
      <c r="I1531" t="str">
        <v>6-245-19-A</v>
      </c>
      <c r="K1531" t="str">
        <f>IF(ISERROR(MATCH(WORKORDER[[#This Row],[TRAVELER]],Table1[TRAVELER],0)),K1531,"Shipped")</f>
        <v>Shipped</v>
      </c>
      <c r="L1531">
        <f>+IF(ISERROR(MATCH([1]!WORKORDER[[#This Row],[TRAVELER]],[1]!Table1[TRAVELER],0)),L1531,#REF!)</f>
        <v>0</v>
      </c>
    </row>
    <row r="1532">
      <c r="A1532">
        <v>716052</v>
      </c>
      <c r="B1532" t="str">
        <v>11611122-BR-HA</v>
      </c>
      <c r="C1532">
        <v>942</v>
      </c>
      <c r="E1532">
        <v>169</v>
      </c>
      <c r="F1532">
        <v>11250</v>
      </c>
      <c r="G1532">
        <v>193709</v>
      </c>
      <c r="H1532" s="1">
        <v>46267</v>
      </c>
      <c r="I1532" t="str">
        <v>6-244-02-A</v>
      </c>
      <c r="K1532" t="str">
        <f>IF(ISERROR(MATCH(WORKORDER[[#This Row],[TRAVELER]],Table1[TRAVELER],0)),K1532,"Shipped")</f>
        <v>Shipped</v>
      </c>
      <c r="L1532">
        <f>+IF(ISERROR(MATCH(WORKORDER[[#This Row],[TRAVELER]],Table1[TRAVELER],0)),L1532,'PACKING SLIP'!$F$5)</f>
        <v>0</v>
      </c>
    </row>
    <row r="1533">
      <c r="A1533">
        <v>716237</v>
      </c>
      <c r="B1533" t="str">
        <v>W520101-S450</v>
      </c>
      <c r="C1533">
        <v>206</v>
      </c>
      <c r="E1533">
        <v>1087</v>
      </c>
      <c r="F1533">
        <v>123523</v>
      </c>
      <c r="G1533">
        <v>193709</v>
      </c>
      <c r="H1533" s="1">
        <v>46267</v>
      </c>
      <c r="I1533" t="str">
        <v>6-245-18-A</v>
      </c>
      <c r="K1533" t="str">
        <f>IF(ISERROR(MATCH(WORKORDER[[#This Row],[TRAVELER]],Table1[TRAVELER],0)),K1533,"Shipped")</f>
        <v>Shipped</v>
      </c>
      <c r="L1533">
        <f>+IF(ISERROR(MATCH([1]!WORKORDER[[#This Row],[TRAVELER]],[1]!Table1[TRAVELER],0)),L1533,#REF!)</f>
        <v>0</v>
      </c>
    </row>
    <row r="1534">
      <c r="A1534">
        <v>716858</v>
      </c>
      <c r="B1534" t="str">
        <v>06514085AA</v>
      </c>
      <c r="C1534">
        <v>919</v>
      </c>
      <c r="E1534">
        <v>1018</v>
      </c>
      <c r="F1534">
        <v>28757</v>
      </c>
      <c r="G1534">
        <v>193709</v>
      </c>
      <c r="H1534" s="1">
        <v>46267</v>
      </c>
      <c r="I1534" t="str">
        <v>6-233-10-A</v>
      </c>
      <c r="K1534" t="str">
        <f>IF(ISERROR(MATCH(WORKORDER[[#This Row],[TRAVELER]],Table1[TRAVELER],0)),K1534,"Shipped")</f>
        <v>Shipped</v>
      </c>
      <c r="L1534">
        <f>+IF(ISERROR(MATCH(WORKORDER[[#This Row],[TRAVELER]],Table1[TRAVELER],0)),L1534,'PACKING SLIP'!$F$5)</f>
        <v>0</v>
      </c>
    </row>
    <row r="1535">
      <c r="A1535">
        <v>716970</v>
      </c>
      <c r="B1535">
        <v>11548535</v>
      </c>
      <c r="C1535">
        <v>1763</v>
      </c>
      <c r="E1535">
        <v>1100</v>
      </c>
      <c r="F1535">
        <v>5500</v>
      </c>
      <c r="G1535">
        <v>193709</v>
      </c>
      <c r="H1535" s="1">
        <v>46267</v>
      </c>
      <c r="I1535" t="str">
        <v>6-243-35-B</v>
      </c>
      <c r="K1535" t="str">
        <f>IF(ISERROR(MATCH(WORKORDER[[#This Row],[TRAVELER]],Table1[TRAVELER],0)),K1535,"Shipped")</f>
        <v>Shipped</v>
      </c>
      <c r="L1535">
        <f>+IF(ISERROR(MATCH(WORKORDER[[#This Row],[TRAVELER]],Table1[TRAVELER],0)),L1535,'PACKING SLIP'!$F$5)</f>
        <v>30082</v>
      </c>
    </row>
    <row r="1536">
      <c r="A1536">
        <v>716993</v>
      </c>
      <c r="B1536" t="str">
        <v>06512834AA</v>
      </c>
      <c r="C1536">
        <v>56</v>
      </c>
      <c r="E1536">
        <v>1245</v>
      </c>
      <c r="F1536">
        <v>12302</v>
      </c>
      <c r="G1536">
        <v>193709</v>
      </c>
      <c r="H1536" s="1">
        <v>46267</v>
      </c>
      <c r="I1536" t="str">
        <v>6-243-60-A</v>
      </c>
      <c r="K1536" t="str">
        <f>IF(ISERROR(MATCH(WORKORDER[[#This Row],[TRAVELER]],Table1[TRAVELER],0)),K1536,"Shipped")</f>
        <v>Shipped</v>
      </c>
      <c r="L1536">
        <f>+IF(ISERROR(MATCH(WORKORDER[[#This Row],[TRAVELER]],Table1[TRAVELER],0)),L1536,'PACKING SLIP'!$F$5)</f>
        <v>30082</v>
      </c>
    </row>
    <row r="1537">
      <c r="A1537">
        <v>716995</v>
      </c>
      <c r="B1537" t="str">
        <v>06512834AA</v>
      </c>
      <c r="C1537">
        <v>931</v>
      </c>
      <c r="E1537">
        <v>1245</v>
      </c>
      <c r="F1537">
        <v>12302</v>
      </c>
      <c r="G1537">
        <v>193709</v>
      </c>
      <c r="H1537" s="1">
        <v>46267</v>
      </c>
      <c r="I1537" t="str">
        <v>6-243-60-B</v>
      </c>
      <c r="K1537" t="str">
        <f>IF(ISERROR(MATCH(WORKORDER[[#This Row],[TRAVELER]],Table1[TRAVELER],0)),K1537,"Shipped")</f>
        <v>Shipped</v>
      </c>
      <c r="L1537">
        <f>+IF(ISERROR(MATCH(WORKORDER[[#This Row],[TRAVELER]],Table1[TRAVELER],0)),L1537,'PACKING SLIP'!$F$5)</f>
        <v>30082</v>
      </c>
    </row>
    <row r="1538">
      <c r="A1538">
        <v>716996</v>
      </c>
      <c r="B1538" t="str">
        <v>06512834AA</v>
      </c>
      <c r="C1538">
        <v>788</v>
      </c>
      <c r="E1538">
        <v>1269</v>
      </c>
      <c r="F1538">
        <v>12540</v>
      </c>
      <c r="G1538">
        <v>193709</v>
      </c>
      <c r="H1538" s="1">
        <v>46267</v>
      </c>
      <c r="I1538" t="str">
        <v>6-243-60-C</v>
      </c>
      <c r="K1538" t="str">
        <f>IF(ISERROR(MATCH(WORKORDER[[#This Row],[TRAVELER]],Table1[TRAVELER],0)),K1538,"Shipped")</f>
        <v>Shipped</v>
      </c>
      <c r="L1538">
        <f>+IF(ISERROR(MATCH(WORKORDER[[#This Row],[TRAVELER]],Table1[TRAVELER],0)),L1538,'PACKING SLIP'!$F$5)</f>
        <v>0</v>
      </c>
    </row>
    <row r="1539">
      <c r="A1539">
        <v>717005</v>
      </c>
      <c r="B1539" t="str">
        <v>06105051AA</v>
      </c>
      <c r="C1539">
        <v>1345</v>
      </c>
      <c r="E1539">
        <v>772</v>
      </c>
      <c r="F1539">
        <v>16496</v>
      </c>
      <c r="G1539">
        <v>193709</v>
      </c>
      <c r="H1539" s="1">
        <v>46267</v>
      </c>
      <c r="I1539" t="str">
        <v>6-243-56-A</v>
      </c>
      <c r="K1539" t="str">
        <f>IF(ISERROR(MATCH(WORKORDER[[#This Row],[TRAVELER]],Table1[TRAVELER],0)),K1539,"Shipped")</f>
        <v>Shipped</v>
      </c>
      <c r="L1539">
        <f>+IF(ISERROR(MATCH(WORKORDER[[#This Row],[TRAVELER]],Table1[TRAVELER],0)),L1539,'PACKING SLIP'!$F$5)</f>
        <v>0</v>
      </c>
    </row>
    <row r="1540">
      <c r="A1540">
        <v>717006</v>
      </c>
      <c r="B1540" t="str">
        <v>06105051AA</v>
      </c>
      <c r="C1540">
        <v>747</v>
      </c>
      <c r="E1540">
        <v>721</v>
      </c>
      <c r="F1540">
        <v>15406</v>
      </c>
      <c r="G1540">
        <v>193709</v>
      </c>
      <c r="H1540" s="1">
        <v>46267</v>
      </c>
      <c r="I1540" t="str">
        <v>6-243-56-B</v>
      </c>
      <c r="K1540" t="str">
        <f>IF(ISERROR(MATCH(WORKORDER[[#This Row],[TRAVELER]],Table1[TRAVELER],0)),K1540,"Shipped")</f>
        <v>Shipped</v>
      </c>
      <c r="L1540">
        <f>+IF(ISERROR(MATCH(WORKORDER[[#This Row],[TRAVELER]],Table1[TRAVELER],0)),L1540,'PACKING SLIP'!$F$5)</f>
        <v>0</v>
      </c>
    </row>
    <row r="1541">
      <c r="A1541">
        <v>717107</v>
      </c>
      <c r="B1541" t="str">
        <v>06514720AA</v>
      </c>
      <c r="C1541">
        <v>1627</v>
      </c>
      <c r="E1541">
        <v>830</v>
      </c>
      <c r="F1541">
        <v>37557</v>
      </c>
      <c r="G1541">
        <v>193709</v>
      </c>
      <c r="H1541" s="1">
        <v>46267</v>
      </c>
      <c r="I1541" t="str">
        <v>6-245-20-A</v>
      </c>
      <c r="K1541" t="str">
        <f>IF(ISERROR(MATCH(WORKORDER[[#This Row],[TRAVELER]],Table1[TRAVELER],0)),K1541,"Shipped")</f>
        <v>Shipped</v>
      </c>
      <c r="L1541">
        <f>+IF(ISERROR(MATCH(WORKORDER[[#This Row],[TRAVELER]],Table1[TRAVELER],0)),L1541,'PACKING SLIP'!$F$5)</f>
        <v>0</v>
      </c>
    </row>
    <row r="1542">
      <c r="A1542">
        <v>717108</v>
      </c>
      <c r="B1542" t="str">
        <v>06514720AA</v>
      </c>
      <c r="C1542">
        <v>1686</v>
      </c>
      <c r="E1542">
        <v>901</v>
      </c>
      <c r="F1542">
        <v>40769</v>
      </c>
      <c r="G1542">
        <v>193709</v>
      </c>
      <c r="H1542" s="1">
        <v>46267</v>
      </c>
      <c r="I1542" t="str">
        <v>6-245-20-B</v>
      </c>
      <c r="K1542" t="str">
        <f>IF(ISERROR(MATCH(WORKORDER[[#This Row],[TRAVELER]],Table1[TRAVELER],0)),K1542,"Shipped")</f>
        <v>Shipped</v>
      </c>
      <c r="L1542">
        <f>+IF(ISERROR(MATCH([1]!WORKORDER[[#This Row],[TRAVELER]],[1]!Table1[TRAVELER],0)),L1542,#REF!)</f>
        <v>0</v>
      </c>
    </row>
    <row r="1543">
      <c r="A1543">
        <v>717109</v>
      </c>
      <c r="B1543" t="str">
        <v>06514720AA</v>
      </c>
      <c r="C1543">
        <v>1685</v>
      </c>
      <c r="E1543">
        <v>868</v>
      </c>
      <c r="F1543">
        <v>39276</v>
      </c>
      <c r="G1543">
        <v>193709</v>
      </c>
      <c r="H1543" s="1">
        <v>46267</v>
      </c>
      <c r="I1543" t="str">
        <v>6-245-20-C</v>
      </c>
      <c r="K1543" t="str">
        <f>IF(ISERROR(MATCH(WORKORDER[[#This Row],[TRAVELER]],Table1[TRAVELER],0)),K1543,"Shipped")</f>
        <v>Shipped</v>
      </c>
      <c r="L1543">
        <f>+IF(ISERROR(MATCH(WORKORDER[[#This Row],[TRAVELER]],Table1[TRAVELER],0)),L1543,'PACKING SLIP'!$F$5)</f>
        <v>0</v>
      </c>
    </row>
    <row r="1544">
      <c r="A1544">
        <v>717533</v>
      </c>
      <c r="B1544" t="str">
        <v>06512278AA</v>
      </c>
      <c r="C1544">
        <v>898</v>
      </c>
      <c r="E1544">
        <v>900</v>
      </c>
      <c r="F1544">
        <v>56250</v>
      </c>
      <c r="G1544">
        <v>193709</v>
      </c>
      <c r="H1544" s="1">
        <v>46267</v>
      </c>
      <c r="I1544" t="str">
        <v>6-245-21-A</v>
      </c>
      <c r="K1544" t="str">
        <f>IF(ISERROR(MATCH(WORKORDER[[#This Row],[TRAVELER]],Table1[TRAVELER],0)),K1544,"Shipped")</f>
        <v>Shipped</v>
      </c>
      <c r="L1544">
        <f>+IF(ISERROR(MATCH(WORKORDER[[#This Row],[TRAVELER]],Table1[TRAVELER],0)),L1544,'PACKING SLIP'!$F$5)</f>
        <v>30092</v>
      </c>
    </row>
    <row r="1545">
      <c r="A1545">
        <v>717534</v>
      </c>
      <c r="B1545" t="str">
        <v>06512278AA</v>
      </c>
      <c r="C1545">
        <v>551</v>
      </c>
      <c r="E1545">
        <v>710</v>
      </c>
      <c r="F1545">
        <v>44375</v>
      </c>
      <c r="G1545">
        <v>193709</v>
      </c>
      <c r="H1545" s="1">
        <v>46267</v>
      </c>
      <c r="I1545" t="str">
        <v>6-245-21-B</v>
      </c>
      <c r="K1545" t="str">
        <f>IF(ISERROR(MATCH(WORKORDER[[#This Row],[TRAVELER]],Table1[TRAVELER],0)),K1545,"Shipped")</f>
        <v>Shipped</v>
      </c>
      <c r="L1545">
        <f>+IF(ISERROR(MATCH(WORKORDER[[#This Row],[TRAVELER]],Table1[TRAVELER],0)),L1545,'PACKING SLIP'!$F$5)</f>
        <v>0</v>
      </c>
    </row>
    <row r="1546">
      <c r="A1546">
        <v>717975</v>
      </c>
      <c r="B1546" t="str">
        <v>W20203-S440-PA</v>
      </c>
      <c r="C1546" t="str">
        <v>KIB</v>
      </c>
      <c r="E1546">
        <v>1794</v>
      </c>
      <c r="F1546">
        <v>60000</v>
      </c>
      <c r="G1546">
        <v>193709</v>
      </c>
      <c r="H1546" s="1">
        <v>46267</v>
      </c>
      <c r="I1546" t="str">
        <v>6-244-21-A</v>
      </c>
      <c r="K1546" t="str">
        <f>IF(ISERROR(MATCH(WORKORDER[[#This Row],[TRAVELER]],Table1[TRAVELER],0)),K1546,"Shipped")</f>
        <v>Shipped</v>
      </c>
      <c r="L1546">
        <f>+IF(ISERROR(MATCH(WORKORDER[[#This Row],[TRAVELER]],Table1[TRAVELER],0)),L1546,'PACKING SLIP'!$F$5)</f>
        <v>0</v>
      </c>
    </row>
    <row r="1547">
      <c r="A1547">
        <v>717976</v>
      </c>
      <c r="B1547" t="str">
        <v>W20203-S440-PA</v>
      </c>
      <c r="C1547" t="str">
        <v>KIB</v>
      </c>
      <c r="E1547">
        <v>1794</v>
      </c>
      <c r="F1547">
        <v>60000</v>
      </c>
      <c r="G1547">
        <v>193709</v>
      </c>
      <c r="H1547" s="1">
        <v>46267</v>
      </c>
      <c r="I1547" t="str">
        <v>SPLIT FROM 717975</v>
      </c>
      <c r="K1547" t="str">
        <f>IF(ISERROR(MATCH(WORKORDER[[#This Row],[TRAVELER]],Table1[TRAVELER],0)),K1547,"Shipped")</f>
        <v>Shipped</v>
      </c>
      <c r="L1547">
        <f>+IF(ISERROR(MATCH(WORKORDER[[#This Row],[TRAVELER]],Table1[TRAVELER],0)),L1547,'PACKING SLIP'!$F$5)</f>
        <v>30082</v>
      </c>
    </row>
    <row r="1548">
      <c r="A1548">
        <v>717985</v>
      </c>
      <c r="B1548" t="str">
        <v>W520203-S450B</v>
      </c>
      <c r="C1548" t="str">
        <v>KIB</v>
      </c>
      <c r="E1548">
        <v>1530</v>
      </c>
      <c r="F1548">
        <v>50000</v>
      </c>
      <c r="G1548">
        <v>193709</v>
      </c>
      <c r="H1548" s="1">
        <v>46267</v>
      </c>
      <c r="I1548" t="str">
        <v>6-244-22-A</v>
      </c>
      <c r="K1548" t="str">
        <f>IF(ISERROR(MATCH(WORKORDER[[#This Row],[TRAVELER]],Table1[TRAVELER],0)),K1548,"Shipped")</f>
        <v>Shipped</v>
      </c>
      <c r="L1548">
        <f>+IF(ISERROR(MATCH(WORKORDER[[#This Row],[TRAVELER]],Table1[TRAVELER],0)),L1548,'PACKING SLIP'!$F$5)</f>
        <v>0</v>
      </c>
    </row>
    <row r="1549">
      <c r="A1549">
        <v>717986</v>
      </c>
      <c r="B1549" t="str">
        <v>W520203-S450B</v>
      </c>
      <c r="C1549" t="str">
        <v>KIB</v>
      </c>
      <c r="E1549">
        <v>1530</v>
      </c>
      <c r="F1549">
        <v>50000</v>
      </c>
      <c r="G1549">
        <v>193709</v>
      </c>
      <c r="H1549" s="1">
        <v>46267</v>
      </c>
      <c r="I1549" t="str">
        <v>SPLIT FROM 717985</v>
      </c>
      <c r="K1549" t="str">
        <f>IF(ISERROR(MATCH(WORKORDER[[#This Row],[TRAVELER]],Table1[TRAVELER],0)),K1549,"Shipped")</f>
        <v>Shipped</v>
      </c>
      <c r="L1549">
        <f>+IF(ISERROR(MATCH(WORKORDER[[#This Row],[TRAVELER]],Table1[TRAVELER],0)),L1549,'PACKING SLIP'!$F$5)</f>
        <v>0</v>
      </c>
    </row>
    <row r="1550">
      <c r="A1550">
        <v>717987</v>
      </c>
      <c r="B1550">
        <v>11518428</v>
      </c>
      <c r="C1550" t="str">
        <v>KIB</v>
      </c>
      <c r="E1550">
        <v>1940</v>
      </c>
      <c r="F1550">
        <v>61000</v>
      </c>
      <c r="G1550">
        <v>193709</v>
      </c>
      <c r="H1550" s="1">
        <v>46267</v>
      </c>
      <c r="I1550" t="str">
        <v>6-244-23-A</v>
      </c>
      <c r="K1550" t="str">
        <f>IF(ISERROR(MATCH(WORKORDER[[#This Row],[TRAVELER]],Table1[TRAVELER],0)),K1550,"Shipped")</f>
        <v>Shipped</v>
      </c>
      <c r="L1550">
        <f>+IF(ISERROR(MATCH(WORKORDER[[#This Row],[TRAVELER]],Table1[TRAVELER],0)),L1550,'PACKING SLIP'!$F$5)</f>
        <v>0</v>
      </c>
    </row>
    <row r="1551">
      <c r="A1551">
        <v>717988</v>
      </c>
      <c r="B1551">
        <v>11518428</v>
      </c>
      <c r="C1551" t="str">
        <v>KIB</v>
      </c>
      <c r="E1551">
        <v>1940</v>
      </c>
      <c r="F1551">
        <v>61000</v>
      </c>
      <c r="G1551">
        <v>193709</v>
      </c>
      <c r="H1551" s="1">
        <v>46267</v>
      </c>
      <c r="I1551" t="str">
        <v>6-244-23-A</v>
      </c>
      <c r="K1551" t="str">
        <f>IF(ISERROR(MATCH(WORKORDER[[#This Row],[TRAVELER]],Table1[TRAVELER],0)),K1551,"Shipped")</f>
        <v>Shipped</v>
      </c>
      <c r="L1551">
        <f>+IF(ISERROR(MATCH(WORKORDER[[#This Row],[TRAVELER]],Table1[TRAVELER],0)),L1551,'PACKING SLIP'!$F$5)</f>
        <v>30082</v>
      </c>
    </row>
    <row r="1552">
      <c r="A1552">
        <v>717822</v>
      </c>
      <c r="B1552" t="str">
        <v>NU3019-00</v>
      </c>
      <c r="C1552">
        <v>1019</v>
      </c>
      <c r="E1552">
        <v>1041</v>
      </c>
      <c r="F1552">
        <v>4986</v>
      </c>
      <c r="G1552">
        <v>193778</v>
      </c>
      <c r="H1552" s="1">
        <v>46269</v>
      </c>
      <c r="I1552" t="str">
        <v>6-247-01-A</v>
      </c>
      <c r="K1552" t="str">
        <f>IF(ISERROR(MATCH(WORKORDER[[#This Row],[TRAVELER]],Table1[TRAVELER],0)),K1552,"Shipped")</f>
        <v>Shipped</v>
      </c>
      <c r="L1552">
        <f>+IF(ISERROR(MATCH(WORKORDER[[#This Row],[TRAVELER]],Table1[TRAVELER],0)),L1552,'PACKING SLIP'!$F$5)</f>
        <v>30080</v>
      </c>
    </row>
    <row r="1553">
      <c r="A1553">
        <v>717823</v>
      </c>
      <c r="B1553" t="str">
        <v>NU3019-00</v>
      </c>
      <c r="C1553">
        <v>322</v>
      </c>
      <c r="E1553">
        <v>1042</v>
      </c>
      <c r="F1553">
        <v>4990</v>
      </c>
      <c r="G1553">
        <v>193778</v>
      </c>
      <c r="H1553" s="1">
        <v>46269</v>
      </c>
      <c r="I1553" t="str">
        <v>6-247-01-B</v>
      </c>
      <c r="K1553">
        <f>IF(ISERROR(MATCH(WORKORDER[[#This Row],[TRAVELER]],Table1[TRAVELER],0)),K1553,"Shipped")</f>
        <v>0</v>
      </c>
      <c r="L1553">
        <f>+IF(ISERROR(MATCH(WORKORDER[[#This Row],[TRAVELER]],Table1[TRAVELER],0)),L1553,'PACKING SLIP'!$F$5)</f>
        <v>0</v>
      </c>
    </row>
    <row r="1554">
      <c r="A1554">
        <v>717824</v>
      </c>
      <c r="B1554" t="str">
        <v>NU3019-00</v>
      </c>
      <c r="C1554">
        <v>1408</v>
      </c>
      <c r="E1554">
        <v>1028</v>
      </c>
      <c r="F1554">
        <v>4923</v>
      </c>
      <c r="G1554">
        <v>193778</v>
      </c>
      <c r="H1554" s="1">
        <v>46269</v>
      </c>
      <c r="I1554" t="str">
        <v>6-247-01-C</v>
      </c>
      <c r="K1554" t="str">
        <f>IF(ISERROR(MATCH(WORKORDER[[#This Row],[TRAVELER]],Table1[TRAVELER],0)),K1554,"Shipped")</f>
        <v>Shipped</v>
      </c>
      <c r="L1554">
        <f>+IF(ISERROR(MATCH(WORKORDER[[#This Row],[TRAVELER]],Table1[TRAVELER],0)),L1554,'PACKING SLIP'!$F$5)</f>
        <v>30080</v>
      </c>
    </row>
    <row r="1555">
      <c r="A1555">
        <v>717825</v>
      </c>
      <c r="B1555" t="str">
        <v>NU3019-00</v>
      </c>
      <c r="C1555">
        <v>426</v>
      </c>
      <c r="E1555">
        <v>1082</v>
      </c>
      <c r="F1555">
        <v>5182</v>
      </c>
      <c r="G1555">
        <v>193778</v>
      </c>
      <c r="H1555" s="1">
        <v>46269</v>
      </c>
      <c r="I1555" t="str">
        <v>6-247-01-D</v>
      </c>
      <c r="K1555" t="str">
        <f>IF(ISERROR(MATCH(WORKORDER[[#This Row],[TRAVELER]],Table1[TRAVELER],0)),K1555,"Shipped")</f>
        <v>Shipped</v>
      </c>
      <c r="L1555">
        <f>+IF(ISERROR(MATCH(WORKORDER[[#This Row],[TRAVELER]],Table1[TRAVELER],0)),L1555,'PACKING SLIP'!$F$5)</f>
        <v>30080</v>
      </c>
    </row>
    <row r="1556">
      <c r="A1556">
        <v>717826</v>
      </c>
      <c r="B1556" t="str">
        <v>NU3019-00</v>
      </c>
      <c r="C1556">
        <v>760</v>
      </c>
      <c r="E1556">
        <v>1029</v>
      </c>
      <c r="F1556">
        <v>4928</v>
      </c>
      <c r="G1556">
        <v>193778</v>
      </c>
      <c r="H1556" s="1">
        <v>46269</v>
      </c>
      <c r="I1556" t="str">
        <v>6-247-01-E</v>
      </c>
      <c r="K1556" t="str">
        <f>IF(ISERROR(MATCH(WORKORDER[[#This Row],[TRAVELER]],Table1[TRAVELER],0)),K1556,"Shipped")</f>
        <v>Shipped</v>
      </c>
      <c r="L1556">
        <f>+IF(ISERROR(MATCH(WORKORDER[[#This Row],[TRAVELER]],Table1[TRAVELER],0)),L1556,'PACKING SLIP'!$F$5)</f>
        <v>30080</v>
      </c>
    </row>
    <row r="1557">
      <c r="A1557">
        <v>717827</v>
      </c>
      <c r="B1557" t="str">
        <v>NU3019-00</v>
      </c>
      <c r="C1557">
        <v>935</v>
      </c>
      <c r="E1557">
        <v>1071</v>
      </c>
      <c r="F1557">
        <v>5129</v>
      </c>
      <c r="G1557">
        <v>193778</v>
      </c>
      <c r="H1557" s="1">
        <v>46269</v>
      </c>
      <c r="I1557" t="str">
        <v>6-247-01-F</v>
      </c>
      <c r="K1557" t="str">
        <f>IF(ISERROR(MATCH(WORKORDER[[#This Row],[TRAVELER]],Table1[TRAVELER],0)),K1557,"Shipped")</f>
        <v>Shipped</v>
      </c>
      <c r="L1557">
        <f>+IF(ISERROR(MATCH(WORKORDER[[#This Row],[TRAVELER]],Table1[TRAVELER],0)),L1557,'PACKING SLIP'!$F$5)</f>
        <v>30080</v>
      </c>
    </row>
    <row r="1558">
      <c r="A1558">
        <v>717828</v>
      </c>
      <c r="B1558" t="str">
        <v>NU3019-00</v>
      </c>
      <c r="C1558">
        <v>1536</v>
      </c>
      <c r="E1558">
        <v>1011</v>
      </c>
      <c r="F1558">
        <v>4842</v>
      </c>
      <c r="G1558">
        <v>193778</v>
      </c>
      <c r="H1558" s="1">
        <v>46269</v>
      </c>
      <c r="I1558" t="str">
        <v>6-247-01-G</v>
      </c>
      <c r="K1558" t="str">
        <f>IF(ISERROR(MATCH(WORKORDER[[#This Row],[TRAVELER]],Table1[TRAVELER],0)),K1558,"Shipped")</f>
        <v>Shipped</v>
      </c>
      <c r="L1558">
        <f>+IF(ISERROR(MATCH(WORKORDER[[#This Row],[TRAVELER]],Table1[TRAVELER],0)),L1558,'PACKING SLIP'!$F$5)</f>
        <v>30080</v>
      </c>
    </row>
    <row r="1559">
      <c r="A1559">
        <v>717829</v>
      </c>
      <c r="B1559" t="str">
        <v>NU3019-00</v>
      </c>
      <c r="C1559">
        <v>466</v>
      </c>
      <c r="E1559">
        <v>1109</v>
      </c>
      <c r="F1559">
        <v>5311</v>
      </c>
      <c r="G1559">
        <v>193778</v>
      </c>
      <c r="H1559" s="1">
        <v>46269</v>
      </c>
      <c r="I1559" t="str">
        <v>6-247-01-H</v>
      </c>
      <c r="K1559" t="str">
        <f>IF(ISERROR(MATCH(WORKORDER[[#This Row],[TRAVELER]],Table1[TRAVELER],0)),K1559,"Shipped")</f>
        <v>Shipped</v>
      </c>
      <c r="L1559">
        <f>+IF(ISERROR(MATCH(WORKORDER[[#This Row],[TRAVELER]],Table1[TRAVELER],0)),L1559,'PACKING SLIP'!$F$5)</f>
        <v>30080</v>
      </c>
    </row>
    <row r="1560">
      <c r="A1560">
        <v>717830</v>
      </c>
      <c r="B1560" t="str">
        <v>NU3019-00</v>
      </c>
      <c r="C1560">
        <v>1690</v>
      </c>
      <c r="E1560">
        <v>980</v>
      </c>
      <c r="F1560">
        <v>4693</v>
      </c>
      <c r="G1560">
        <v>193778</v>
      </c>
      <c r="H1560" s="1">
        <v>46269</v>
      </c>
      <c r="I1560" t="str">
        <v>6-247-01-I</v>
      </c>
      <c r="K1560" t="str">
        <f>IF(ISERROR(MATCH(WORKORDER[[#This Row],[TRAVELER]],Table1[TRAVELER],0)),K1560,"Shipped")</f>
        <v>Shipped</v>
      </c>
      <c r="L1560">
        <f>+IF(ISERROR(MATCH(WORKORDER[[#This Row],[TRAVELER]],Table1[TRAVELER],0)),L1560,'PACKING SLIP'!$F$5)</f>
        <v>30080</v>
      </c>
    </row>
    <row r="1561">
      <c r="A1561">
        <v>717831</v>
      </c>
      <c r="B1561" t="str">
        <v>NU3019-00</v>
      </c>
      <c r="C1561">
        <v>1357</v>
      </c>
      <c r="E1561">
        <v>1113</v>
      </c>
      <c r="F1561">
        <v>5330</v>
      </c>
      <c r="G1561">
        <v>193778</v>
      </c>
      <c r="H1561" s="1">
        <v>46269</v>
      </c>
      <c r="I1561" t="str">
        <v>6-247-01-J</v>
      </c>
      <c r="K1561" t="str">
        <f>IF(ISERROR(MATCH(WORKORDER[[#This Row],[TRAVELER]],Table1[TRAVELER],0)),K1561,"Shipped")</f>
        <v>Shipped</v>
      </c>
      <c r="L1561">
        <f>+IF(ISERROR(MATCH(WORKORDER[[#This Row],[TRAVELER]],Table1[TRAVELER],0)),L1561,'PACKING SLIP'!$F$5)</f>
        <v>30080</v>
      </c>
    </row>
    <row r="1562">
      <c r="A1562">
        <v>713802</v>
      </c>
      <c r="B1562" t="str">
        <v>11546378-CA</v>
      </c>
      <c r="C1562">
        <v>1746</v>
      </c>
      <c r="E1562">
        <v>1290</v>
      </c>
      <c r="F1562">
        <v>51600</v>
      </c>
      <c r="G1562">
        <v>193783</v>
      </c>
      <c r="H1562" s="1">
        <v>46269</v>
      </c>
      <c r="I1562" t="str">
        <v>TRAVELERRECEIVED</v>
      </c>
      <c r="K1562" t="str">
        <f>IF(ISERROR(MATCH(WORKORDER[[#This Row],[TRAVELER]],Table1[TRAVELER],0)),K1562,"Shipped")</f>
        <v>Shipped</v>
      </c>
      <c r="L1562">
        <f>+IF(ISERROR(MATCH(WORKORDER[[#This Row],[TRAVELER]],Table1[TRAVELER],0)),L1562,'PACKING SLIP'!$F$5)</f>
        <v>0</v>
      </c>
    </row>
    <row r="1563">
      <c r="A1563">
        <v>713803</v>
      </c>
      <c r="B1563">
        <v>11546378</v>
      </c>
      <c r="C1563">
        <v>1081</v>
      </c>
      <c r="E1563">
        <v>1092</v>
      </c>
      <c r="F1563">
        <v>43680</v>
      </c>
      <c r="G1563">
        <v>193783</v>
      </c>
      <c r="H1563" s="1">
        <v>46269</v>
      </c>
      <c r="I1563" t="str">
        <v>TRAVELERRECEIVED</v>
      </c>
      <c r="K1563">
        <f>IF(ISERROR(MATCH(WORKORDER[[#This Row],[TRAVELER]],Table1[TRAVELER],0)),K1563,"Shipped")</f>
        <v>0</v>
      </c>
      <c r="L1563">
        <f>+IF(ISERROR(MATCH(WORKORDER[[#This Row],[TRAVELER]],Table1[TRAVELER],0)),L1563,'PACKING SLIP'!$F$5)</f>
        <v>0</v>
      </c>
    </row>
    <row r="1564">
      <c r="A1564">
        <v>713804</v>
      </c>
      <c r="B1564">
        <v>11546378</v>
      </c>
      <c r="C1564">
        <v>1561</v>
      </c>
      <c r="E1564">
        <v>1008</v>
      </c>
      <c r="F1564">
        <v>40320</v>
      </c>
      <c r="G1564">
        <v>193783</v>
      </c>
      <c r="H1564" s="1">
        <v>46269</v>
      </c>
      <c r="I1564" t="str">
        <v>TRAVELERRECEIVED</v>
      </c>
      <c r="K1564" t="str">
        <f>IF(ISERROR(MATCH(WORKORDER[[#This Row],[TRAVELER]],Table1[TRAVELER],0)),K1564,"Shipped")</f>
        <v>Shipped</v>
      </c>
      <c r="L1564">
        <f>+IF(ISERROR(MATCH(WORKORDER[[#This Row],[TRAVELER]],Table1[TRAVELER],0)),L1564,'PACKING SLIP'!$F$5)</f>
        <v>0</v>
      </c>
    </row>
    <row r="1565">
      <c r="A1565">
        <v>713805</v>
      </c>
      <c r="B1565">
        <v>11546378</v>
      </c>
      <c r="C1565">
        <v>160</v>
      </c>
      <c r="E1565">
        <v>965</v>
      </c>
      <c r="F1565">
        <v>38600</v>
      </c>
      <c r="G1565">
        <v>193783</v>
      </c>
      <c r="H1565" s="1">
        <v>46269</v>
      </c>
      <c r="I1565" t="str">
        <v>TRAVELERRECEIVED</v>
      </c>
      <c r="K1565" t="str">
        <f>IF(ISERROR(MATCH(WORKORDER[[#This Row],[TRAVELER]],Table1[TRAVELER],0)),K1565,"Shipped")</f>
        <v>Shipped</v>
      </c>
      <c r="L1565">
        <f>+IF(ISERROR(MATCH(WORKORDER[[#This Row],[TRAVELER]],Table1[TRAVELER],0)),L1565,'PACKING SLIP'!$F$5)</f>
        <v>30101</v>
      </c>
    </row>
    <row r="1566">
      <c r="A1566">
        <v>716603</v>
      </c>
      <c r="B1566">
        <v>11546378</v>
      </c>
      <c r="C1566">
        <v>586</v>
      </c>
      <c r="E1566">
        <v>1013</v>
      </c>
      <c r="F1566">
        <v>40520</v>
      </c>
      <c r="G1566">
        <v>193783</v>
      </c>
      <c r="H1566" s="1">
        <v>46269</v>
      </c>
      <c r="I1566" t="str">
        <v>TRAVELERRECEIVED</v>
      </c>
      <c r="K1566" t="str">
        <f>IF(ISERROR(MATCH(WORKORDER[[#This Row],[TRAVELER]],Table1[TRAVELER],0)),K1566,"Shipped")</f>
        <v>Shipped</v>
      </c>
      <c r="L1566">
        <f>+IF(ISERROR(MATCH(WORKORDER[[#This Row],[TRAVELER]],Table1[TRAVELER],0)),L1566,'PACKING SLIP'!$F$5)</f>
        <v>0</v>
      </c>
    </row>
    <row r="1567">
      <c r="A1567">
        <v>716604</v>
      </c>
      <c r="B1567">
        <v>11546378</v>
      </c>
      <c r="C1567">
        <v>830</v>
      </c>
      <c r="E1567">
        <v>1169</v>
      </c>
      <c r="F1567">
        <v>46760</v>
      </c>
      <c r="G1567">
        <v>193783</v>
      </c>
      <c r="H1567" s="1">
        <v>46269</v>
      </c>
      <c r="I1567" t="str">
        <v>TRAVELERRECEIVED</v>
      </c>
      <c r="K1567" t="str">
        <f>IF(ISERROR(MATCH(WORKORDER[[#This Row],[TRAVELER]],Table1[TRAVELER],0)),K1567,"Shipped")</f>
        <v>Shipped</v>
      </c>
      <c r="L1567">
        <f>+IF(ISERROR(MATCH(WORKORDER[[#This Row],[TRAVELER]],Table1[TRAVELER],0)),L1567,'PACKING SLIP'!$F$5)</f>
        <v>0</v>
      </c>
    </row>
    <row r="1568">
      <c r="A1568">
        <v>716605</v>
      </c>
      <c r="B1568">
        <v>11546378</v>
      </c>
      <c r="C1568">
        <v>475</v>
      </c>
      <c r="E1568">
        <v>1276</v>
      </c>
      <c r="F1568">
        <v>51040</v>
      </c>
      <c r="G1568">
        <v>193783</v>
      </c>
      <c r="H1568" s="1">
        <v>46269</v>
      </c>
      <c r="I1568" t="str">
        <v>TRAVELERRECEIVED</v>
      </c>
      <c r="K1568" t="str">
        <f>IF(ISERROR(MATCH(WORKORDER[[#This Row],[TRAVELER]],Table1[TRAVELER],0)),K1568,"Shipped")</f>
        <v>Shipped</v>
      </c>
      <c r="L1568">
        <f>+IF(ISERROR(MATCH(WORKORDER[[#This Row],[TRAVELER]],Table1[TRAVELER],0)),L1568,'PACKING SLIP'!$F$5)</f>
        <v>0</v>
      </c>
    </row>
    <row r="1569">
      <c r="A1569">
        <v>716606</v>
      </c>
      <c r="B1569">
        <v>11546378</v>
      </c>
      <c r="C1569">
        <v>1339</v>
      </c>
      <c r="E1569">
        <v>1077</v>
      </c>
      <c r="F1569">
        <v>43080</v>
      </c>
      <c r="G1569">
        <v>193783</v>
      </c>
      <c r="H1569" s="1">
        <v>46269</v>
      </c>
      <c r="I1569" t="str">
        <v>TRAVELERRECEIVED</v>
      </c>
      <c r="K1569" t="str">
        <f>IF(ISERROR(MATCH(WORKORDER[[#This Row],[TRAVELER]],Table1[TRAVELER],0)),K1569,"Shipped")</f>
        <v>Shipped</v>
      </c>
      <c r="L1569">
        <f>+IF(ISERROR(MATCH(WORKORDER[[#This Row],[TRAVELER]],Table1[TRAVELER],0)),L1569,'PACKING SLIP'!$F$5)</f>
        <v>0</v>
      </c>
    </row>
    <row r="1570">
      <c r="A1570">
        <v>716940</v>
      </c>
      <c r="B1570">
        <v>11549204</v>
      </c>
      <c r="C1570">
        <v>444</v>
      </c>
      <c r="E1570">
        <v>1217</v>
      </c>
      <c r="F1570">
        <v>8000</v>
      </c>
      <c r="G1570">
        <v>193783</v>
      </c>
      <c r="H1570" s="1">
        <v>46269</v>
      </c>
      <c r="I1570" t="str">
        <v>TRAVELERRECEIVED</v>
      </c>
      <c r="K1570" t="str">
        <f>IF(ISERROR(MATCH(WORKORDER[[#This Row],[TRAVELER]],Table1[TRAVELER],0)),K1570,"Shipped")</f>
        <v>Shipped</v>
      </c>
      <c r="L1570">
        <f>+IF(ISERROR(MATCH(WORKORDER[[#This Row],[TRAVELER]],Table1[TRAVELER],0)),L1570,'PACKING SLIP'!$F$5)</f>
        <v>30082</v>
      </c>
    </row>
    <row r="1571">
      <c r="A1571">
        <v>716941</v>
      </c>
      <c r="B1571">
        <v>11549204</v>
      </c>
      <c r="C1571">
        <v>552</v>
      </c>
      <c r="E1571">
        <v>1217</v>
      </c>
      <c r="F1571">
        <v>8000</v>
      </c>
      <c r="G1571">
        <v>193783</v>
      </c>
      <c r="H1571" s="1">
        <v>46269</v>
      </c>
      <c r="I1571" t="str">
        <v>TRAVELERRECEIVED</v>
      </c>
      <c r="K1571" t="str">
        <f>IF(ISERROR(MATCH(WORKORDER[[#This Row],[TRAVELER]],Table1[TRAVELER],0)),K1571,"Shipped")</f>
        <v>Shipped</v>
      </c>
      <c r="L1571">
        <f>+IF(ISERROR(MATCH(WORKORDER[[#This Row],[TRAVELER]],Table1[TRAVELER],0)),L1571,'PACKING SLIP'!$F$5)</f>
        <v>30082</v>
      </c>
    </row>
    <row r="1572">
      <c r="A1572">
        <v>716942</v>
      </c>
      <c r="B1572">
        <v>11549204</v>
      </c>
      <c r="C1572">
        <v>1601</v>
      </c>
      <c r="E1572">
        <v>1217</v>
      </c>
      <c r="F1572">
        <v>8000</v>
      </c>
      <c r="G1572">
        <v>193783</v>
      </c>
      <c r="H1572" s="1">
        <v>46269</v>
      </c>
      <c r="I1572" t="str">
        <v>TRAVELERRECEIVED</v>
      </c>
      <c r="K1572" t="str">
        <f>IF(ISERROR(MATCH(WORKORDER[[#This Row],[TRAVELER]],Table1[TRAVELER],0)),K1572,"Shipped")</f>
        <v>Shipped</v>
      </c>
      <c r="L1572">
        <f>+IF(ISERROR(MATCH(WORKORDER[[#This Row],[TRAVELER]],Table1[TRAVELER],0)),L1572,'PACKING SLIP'!$F$5)</f>
        <v>30092</v>
      </c>
    </row>
    <row r="1573">
      <c r="A1573">
        <v>716944</v>
      </c>
      <c r="B1573">
        <v>11549204</v>
      </c>
      <c r="C1573">
        <v>1826</v>
      </c>
      <c r="E1573">
        <v>1217</v>
      </c>
      <c r="F1573">
        <v>8000</v>
      </c>
      <c r="G1573">
        <v>193783</v>
      </c>
      <c r="H1573" s="1">
        <v>46269</v>
      </c>
      <c r="I1573" t="str">
        <v>TRAVELERRECEIVED</v>
      </c>
      <c r="K1573" t="str">
        <f>IF(ISERROR(MATCH(WORKORDER[[#This Row],[TRAVELER]],Table1[TRAVELER],0)),K1573,"Shipped")</f>
        <v>Shipped</v>
      </c>
      <c r="L1573">
        <f>+IF(ISERROR(MATCH(WORKORDER[[#This Row],[TRAVELER]],Table1[TRAVELER],0)),L1573,'PACKING SLIP'!$F$5)</f>
        <v>30098</v>
      </c>
    </row>
    <row r="1574">
      <c r="A1574">
        <v>716950</v>
      </c>
      <c r="B1574" t="str">
        <v>11546369-IN-PN</v>
      </c>
      <c r="C1574">
        <v>892</v>
      </c>
      <c r="E1574">
        <v>1107</v>
      </c>
      <c r="F1574">
        <v>9866</v>
      </c>
      <c r="G1574">
        <v>193783</v>
      </c>
      <c r="H1574" s="1">
        <v>46269</v>
      </c>
      <c r="I1574" t="str">
        <v>TRAVELERRECEIVED</v>
      </c>
      <c r="K1574" t="str">
        <f>IF(ISERROR(MATCH(WORKORDER[[#This Row],[TRAVELER]],Table1[TRAVELER],0)),K1574,"Shipped")</f>
        <v>Shipped</v>
      </c>
      <c r="L1574">
        <f>+IF(ISERROR(MATCH(WORKORDER[[#This Row],[TRAVELER]],Table1[TRAVELER],0)),L1574,'PACKING SLIP'!$F$5)</f>
        <v>0</v>
      </c>
    </row>
    <row r="1575">
      <c r="A1575">
        <v>716953</v>
      </c>
      <c r="B1575" t="str">
        <v>11546369-IN-PN</v>
      </c>
      <c r="C1575">
        <v>1781</v>
      </c>
      <c r="E1575">
        <v>1132</v>
      </c>
      <c r="F1575">
        <v>10089</v>
      </c>
      <c r="G1575">
        <v>193783</v>
      </c>
      <c r="H1575" s="1">
        <v>46269</v>
      </c>
      <c r="I1575" t="str">
        <v>TRAVELERRECEIVED</v>
      </c>
      <c r="K1575" t="str">
        <f>IF(ISERROR(MATCH(WORKORDER[[#This Row],[TRAVELER]],Table1[TRAVELER],0)),K1575,"Shipped")</f>
        <v>Shipped</v>
      </c>
      <c r="L1575">
        <f>+IF(ISERROR(MATCH(WORKORDER[[#This Row],[TRAVELER]],Table1[TRAVELER],0)),L1575,'PACKING SLIP'!$F$5)</f>
        <v>30098</v>
      </c>
    </row>
    <row r="1576">
      <c r="A1576">
        <v>716973</v>
      </c>
      <c r="B1576" t="str">
        <v>11546369-IN-PN</v>
      </c>
      <c r="C1576">
        <v>709</v>
      </c>
      <c r="E1576">
        <v>1033</v>
      </c>
      <c r="F1576">
        <v>9207</v>
      </c>
      <c r="G1576">
        <v>193783</v>
      </c>
      <c r="H1576" s="1">
        <v>46269</v>
      </c>
      <c r="I1576" t="str">
        <v>TRAVELERRECEIVED</v>
      </c>
      <c r="K1576" t="str">
        <f>IF(ISERROR(MATCH(WORKORDER[[#This Row],[TRAVELER]],Table1[TRAVELER],0)),K1576,"Shipped")</f>
        <v>Shipped</v>
      </c>
      <c r="L1576">
        <f>+IF(ISERROR(MATCH(WORKORDER[[#This Row],[TRAVELER]],Table1[TRAVELER],0)),L1576,'PACKING SLIP'!$F$5)</f>
        <v>0</v>
      </c>
    </row>
    <row r="1577">
      <c r="A1577">
        <v>716975</v>
      </c>
      <c r="B1577" t="str">
        <v>11546369-IN-PN</v>
      </c>
      <c r="C1577">
        <v>205</v>
      </c>
      <c r="E1577">
        <v>1147</v>
      </c>
      <c r="F1577">
        <v>10223</v>
      </c>
      <c r="G1577">
        <v>193783</v>
      </c>
      <c r="H1577" s="1">
        <v>46269</v>
      </c>
      <c r="I1577" t="str">
        <v>TRAVELERRECEIVED</v>
      </c>
      <c r="K1577" t="str">
        <f>IF(ISERROR(MATCH(WORKORDER[[#This Row],[TRAVELER]],Table1[TRAVELER],0)),K1577,"Shipped")</f>
        <v>Shipped</v>
      </c>
      <c r="L1577">
        <f>+IF(ISERROR(MATCH(WORKORDER[[#This Row],[TRAVELER]],Table1[TRAVELER],0)),L1577,'PACKING SLIP'!$F$5)</f>
        <v>30092</v>
      </c>
    </row>
    <row r="1578">
      <c r="A1578">
        <v>716979</v>
      </c>
      <c r="B1578" t="str">
        <v>11546369-IN-PN</v>
      </c>
      <c r="C1578">
        <v>530</v>
      </c>
      <c r="E1578">
        <v>1214</v>
      </c>
      <c r="F1578">
        <v>10820</v>
      </c>
      <c r="G1578">
        <v>193783</v>
      </c>
      <c r="H1578" s="1">
        <v>46269</v>
      </c>
      <c r="I1578" t="str">
        <v>TRAVELERRECEIVED</v>
      </c>
      <c r="K1578" t="str">
        <f>IF(ISERROR(MATCH(WORKORDER[[#This Row],[TRAVELER]],Table1[TRAVELER],0)),K1578,"Shipped")</f>
        <v>Shipped</v>
      </c>
      <c r="L1578">
        <f>+IF(ISERROR(MATCH(WORKORDER[[#This Row],[TRAVELER]],Table1[TRAVELER],0)),L1578,'PACKING SLIP'!$F$5)</f>
        <v>30092</v>
      </c>
    </row>
    <row r="1579">
      <c r="A1579">
        <v>716981</v>
      </c>
      <c r="B1579" t="str">
        <v>11546369-IN-PN</v>
      </c>
      <c r="C1579">
        <v>911</v>
      </c>
      <c r="E1579">
        <v>1268</v>
      </c>
      <c r="F1579">
        <v>11301</v>
      </c>
      <c r="G1579">
        <v>193783</v>
      </c>
      <c r="H1579" s="1">
        <v>46269</v>
      </c>
      <c r="I1579" t="str">
        <v>TRAVELERRECEIVED</v>
      </c>
      <c r="K1579" t="str">
        <f>IF(ISERROR(MATCH(WORKORDER[[#This Row],[TRAVELER]],Table1[TRAVELER],0)),K1579,"Shipped")</f>
        <v>Shipped</v>
      </c>
      <c r="L1579">
        <f>+IF(ISERROR(MATCH(WORKORDER[[#This Row],[TRAVELER]],Table1[TRAVELER],0)),L1579,'PACKING SLIP'!$F$5)</f>
        <v>30092</v>
      </c>
    </row>
    <row r="1580">
      <c r="A1580">
        <v>717478</v>
      </c>
      <c r="B1580">
        <v>11549204</v>
      </c>
      <c r="C1580">
        <v>1030</v>
      </c>
      <c r="E1580">
        <v>1217</v>
      </c>
      <c r="F1580">
        <v>8000</v>
      </c>
      <c r="G1580">
        <v>193783</v>
      </c>
      <c r="H1580" s="1">
        <v>46269</v>
      </c>
      <c r="I1580" t="str">
        <v>TRAVELERRECEIVED</v>
      </c>
      <c r="K1580" t="str">
        <f>IF(ISERROR(MATCH(WORKORDER[[#This Row],[TRAVELER]],Table1[TRAVELER],0)),K1580,"Shipped")</f>
        <v>Shipped</v>
      </c>
      <c r="L1580">
        <f>+IF(ISERROR(MATCH(WORKORDER[[#This Row],[TRAVELER]],Table1[TRAVELER],0)),L1580,'PACKING SLIP'!$F$5)</f>
        <v>30098</v>
      </c>
    </row>
    <row r="1581">
      <c r="A1581">
        <v>717552</v>
      </c>
      <c r="B1581">
        <v>11549204</v>
      </c>
      <c r="C1581">
        <v>1512</v>
      </c>
      <c r="E1581">
        <v>1065</v>
      </c>
      <c r="F1581">
        <v>7000</v>
      </c>
      <c r="G1581">
        <v>193783</v>
      </c>
      <c r="H1581" s="1">
        <v>46269</v>
      </c>
      <c r="I1581" t="str">
        <v>TRAVELERRECEIVED</v>
      </c>
      <c r="K1581" t="str">
        <f>IF(ISERROR(MATCH(WORKORDER[[#This Row],[TRAVELER]],Table1[TRAVELER],0)),K1581,"Shipped")</f>
        <v>Shipped</v>
      </c>
      <c r="L1581">
        <f>+IF(ISERROR(MATCH(WORKORDER[[#This Row],[TRAVELER]],Table1[TRAVELER],0)),L1581,'PACKING SLIP'!$F$5)</f>
        <v>30092</v>
      </c>
    </row>
    <row r="1582">
      <c r="A1582">
        <v>718222</v>
      </c>
      <c r="B1582">
        <v>11546462</v>
      </c>
      <c r="C1582">
        <v>704</v>
      </c>
      <c r="E1582">
        <v>873</v>
      </c>
      <c r="F1582">
        <v>21825</v>
      </c>
      <c r="G1582">
        <v>193783</v>
      </c>
      <c r="H1582" s="1">
        <v>46269</v>
      </c>
      <c r="I1582" t="str">
        <v>TRAVELERRECEIVED</v>
      </c>
      <c r="K1582" t="str">
        <f>IF(ISERROR(MATCH(WORKORDER[[#This Row],[TRAVELER]],Table1[TRAVELER],0)),K1582,"Shipped")</f>
        <v>Shipped</v>
      </c>
      <c r="L1582">
        <f>+IF(ISERROR(MATCH(WORKORDER[[#This Row],[TRAVELER]],Table1[TRAVELER],0)),L1582,'PACKING SLIP'!$F$5)</f>
        <v>0</v>
      </c>
    </row>
    <row r="1583">
      <c r="A1583">
        <v>718223</v>
      </c>
      <c r="B1583">
        <v>11546462</v>
      </c>
      <c r="C1583">
        <v>1758</v>
      </c>
      <c r="E1583">
        <v>990</v>
      </c>
      <c r="F1583">
        <v>24750</v>
      </c>
      <c r="G1583">
        <v>193783</v>
      </c>
      <c r="H1583" s="1">
        <v>46269</v>
      </c>
      <c r="I1583" t="str">
        <v>TRAVELERRECEIVED</v>
      </c>
      <c r="K1583" t="str">
        <f>IF(ISERROR(MATCH(WORKORDER[[#This Row],[TRAVELER]],Table1[TRAVELER],0)),K1583,"Shipped")</f>
        <v>Shipped</v>
      </c>
      <c r="L1583">
        <f>+IF(ISERROR(MATCH(WORKORDER[[#This Row],[TRAVELER]],Table1[TRAVELER],0)),L1583,'PACKING SLIP'!$F$5)</f>
        <v>30098</v>
      </c>
    </row>
    <row r="1584">
      <c r="A1584">
        <v>718224</v>
      </c>
      <c r="B1584">
        <v>11546462</v>
      </c>
      <c r="C1584">
        <v>1316</v>
      </c>
      <c r="E1584">
        <v>840</v>
      </c>
      <c r="F1584">
        <v>21000</v>
      </c>
      <c r="G1584">
        <v>193783</v>
      </c>
      <c r="H1584" s="1">
        <v>46269</v>
      </c>
      <c r="I1584" t="str">
        <v>TRAVELERRECEIVED</v>
      </c>
      <c r="K1584" t="str">
        <f>IF(ISERROR(MATCH(WORKORDER[[#This Row],[TRAVELER]],Table1[TRAVELER],0)),K1584,"Shipped")</f>
        <v>Shipped</v>
      </c>
      <c r="L1584">
        <f>+IF(ISERROR(MATCH(WORKORDER[[#This Row],[TRAVELER]],Table1[TRAVELER],0)),L1584,'PACKING SLIP'!$F$5)</f>
        <v>0</v>
      </c>
    </row>
    <row r="1585">
      <c r="A1585">
        <v>718225</v>
      </c>
      <c r="B1585">
        <v>11546462</v>
      </c>
      <c r="C1585">
        <v>847</v>
      </c>
      <c r="E1585">
        <v>983</v>
      </c>
      <c r="F1585">
        <v>24575</v>
      </c>
      <c r="G1585">
        <v>193783</v>
      </c>
      <c r="H1585" s="1">
        <v>46269</v>
      </c>
      <c r="I1585" t="str">
        <v>TRAVELERRECEIVED</v>
      </c>
      <c r="K1585" t="str">
        <f>IF(ISERROR(MATCH(WORKORDER[[#This Row],[TRAVELER]],Table1[TRAVELER],0)),K1585,"Shipped")</f>
        <v>Shipped</v>
      </c>
      <c r="L1585">
        <f>+IF(ISERROR(MATCH(WORKORDER[[#This Row],[TRAVELER]],Table1[TRAVELER],0)),L1585,'PACKING SLIP'!$F$5)</f>
        <v>0</v>
      </c>
    </row>
    <row r="1586">
      <c r="A1586">
        <v>718226</v>
      </c>
      <c r="B1586">
        <v>11546462</v>
      </c>
      <c r="C1586">
        <v>93</v>
      </c>
      <c r="E1586">
        <v>753</v>
      </c>
      <c r="F1586">
        <v>18825</v>
      </c>
      <c r="G1586">
        <v>193783</v>
      </c>
      <c r="H1586" s="1">
        <v>46269</v>
      </c>
      <c r="I1586" t="str">
        <v>TRAVELERRECEIVED</v>
      </c>
      <c r="K1586" t="str">
        <f>IF(ISERROR(MATCH(WORKORDER[[#This Row],[TRAVELER]],Table1[TRAVELER],0)),K1586,"Shipped")</f>
        <v>Shipped</v>
      </c>
      <c r="L1586">
        <f>+IF(ISERROR(MATCH(WORKORDER[[#This Row],[TRAVELER]],Table1[TRAVELER],0)),L1586,'PACKING SLIP'!$F$5)</f>
        <v>30092</v>
      </c>
    </row>
    <row r="1587">
      <c r="A1587">
        <v>718227</v>
      </c>
      <c r="B1587">
        <v>11546462</v>
      </c>
      <c r="C1587">
        <v>1619</v>
      </c>
      <c r="E1587">
        <v>1041</v>
      </c>
      <c r="F1587">
        <v>26025</v>
      </c>
      <c r="G1587">
        <v>193783</v>
      </c>
      <c r="H1587" s="1">
        <v>46269</v>
      </c>
      <c r="I1587" t="str">
        <v>TRAVELERRECEIVED</v>
      </c>
      <c r="K1587" t="str">
        <f>IF(ISERROR(MATCH(WORKORDER[[#This Row],[TRAVELER]],Table1[TRAVELER],0)),K1587,"Shipped")</f>
        <v>Shipped</v>
      </c>
      <c r="L1587">
        <f>+IF(ISERROR(MATCH(WORKORDER[[#This Row],[TRAVELER]],Table1[TRAVELER],0)),L1587,'PACKING SLIP'!$F$5)</f>
        <v>0</v>
      </c>
    </row>
    <row r="1588">
      <c r="A1588">
        <v>718228</v>
      </c>
      <c r="B1588">
        <v>11546462</v>
      </c>
      <c r="C1588">
        <v>1436</v>
      </c>
      <c r="E1588">
        <v>895</v>
      </c>
      <c r="F1588">
        <v>22375</v>
      </c>
      <c r="G1588">
        <v>193783</v>
      </c>
      <c r="H1588" s="1">
        <v>46269</v>
      </c>
      <c r="I1588" t="str">
        <v>TRAVELERRECEIVED</v>
      </c>
      <c r="K1588" t="str">
        <f>IF(ISERROR(MATCH(WORKORDER[[#This Row],[TRAVELER]],Table1[TRAVELER],0)),K1588,"Shipped")</f>
        <v>Shipped</v>
      </c>
      <c r="L1588">
        <f>+IF(ISERROR(MATCH(WORKORDER[[#This Row],[TRAVELER]],Table1[TRAVELER],0)),L1588,'PACKING SLIP'!$F$5)</f>
        <v>30092</v>
      </c>
    </row>
    <row r="1589">
      <c r="A1589">
        <v>718229</v>
      </c>
      <c r="B1589">
        <v>11546462</v>
      </c>
      <c r="C1589">
        <v>455</v>
      </c>
      <c r="E1589">
        <v>906</v>
      </c>
      <c r="F1589">
        <v>22650</v>
      </c>
      <c r="G1589">
        <v>193783</v>
      </c>
      <c r="H1589" s="1">
        <v>46269</v>
      </c>
      <c r="I1589" t="str">
        <v>TRAVELERRECEIVED</v>
      </c>
      <c r="K1589" t="str">
        <f>IF(ISERROR(MATCH(WORKORDER[[#This Row],[TRAVELER]],Table1[TRAVELER],0)),K1589,"Shipped")</f>
        <v>Shipped</v>
      </c>
      <c r="L1589">
        <f>+IF(ISERROR(MATCH(WORKORDER[[#This Row],[TRAVELER]],Table1[TRAVELER],0)),L1589,'PACKING SLIP'!$F$5)</f>
        <v>30098</v>
      </c>
    </row>
    <row r="1590">
      <c r="A1590">
        <v>718230</v>
      </c>
      <c r="B1590">
        <v>11546545</v>
      </c>
      <c r="C1590">
        <v>224</v>
      </c>
      <c r="E1590">
        <v>1044</v>
      </c>
      <c r="F1590">
        <v>87000</v>
      </c>
      <c r="G1590">
        <v>193783</v>
      </c>
      <c r="H1590" s="1">
        <v>46269</v>
      </c>
      <c r="I1590" t="str">
        <v>TRAVELERRECEIVED</v>
      </c>
      <c r="K1590" t="str">
        <f>IF(ISERROR(MATCH(WORKORDER[[#This Row],[TRAVELER]],Table1[TRAVELER],0)),K1590,"Shipped")</f>
        <v>Shipped</v>
      </c>
      <c r="L1590">
        <f>+IF(ISERROR(MATCH(WORKORDER[[#This Row],[TRAVELER]],Table1[TRAVELER],0)),L1590,'PACKING SLIP'!$F$5)</f>
        <v>30101</v>
      </c>
    </row>
    <row r="1591">
      <c r="A1591">
        <v>718231</v>
      </c>
      <c r="B1591">
        <v>11546545</v>
      </c>
      <c r="C1591">
        <v>264</v>
      </c>
      <c r="E1591">
        <v>1101</v>
      </c>
      <c r="F1591">
        <v>91750</v>
      </c>
      <c r="G1591">
        <v>193783</v>
      </c>
      <c r="H1591" s="1">
        <v>46269</v>
      </c>
      <c r="I1591" t="str">
        <v>TRAVELERRECEIVED</v>
      </c>
      <c r="K1591" t="str">
        <f>IF(ISERROR(MATCH(WORKORDER[[#This Row],[TRAVELER]],Table1[TRAVELER],0)),K1591,"Shipped")</f>
        <v>Shipped</v>
      </c>
      <c r="L1591">
        <f>+IF(ISERROR(MATCH(WORKORDER[[#This Row],[TRAVELER]],Table1[TRAVELER],0)),L1591,'PACKING SLIP'!$F$5)</f>
        <v>30101</v>
      </c>
    </row>
    <row r="1592">
      <c r="A1592">
        <v>718232</v>
      </c>
      <c r="B1592">
        <v>11546545</v>
      </c>
      <c r="C1592">
        <v>495</v>
      </c>
      <c r="E1592">
        <v>1126</v>
      </c>
      <c r="F1592">
        <v>93833</v>
      </c>
      <c r="G1592">
        <v>193783</v>
      </c>
      <c r="H1592" s="1">
        <v>46269</v>
      </c>
      <c r="I1592" t="str">
        <v>TRAVELERRECEIVED</v>
      </c>
      <c r="K1592">
        <f>IF(ISERROR(MATCH(WORKORDER[[#This Row],[TRAVELER]],Table1[TRAVELER],0)),K1592,"Shipped")</f>
        <v>0</v>
      </c>
      <c r="L1592">
        <f>+IF(ISERROR(MATCH(WORKORDER[[#This Row],[TRAVELER]],Table1[TRAVELER],0)),L1592,'PACKING SLIP'!$F$5)</f>
        <v>0</v>
      </c>
    </row>
    <row r="1593">
      <c r="A1593">
        <v>718233</v>
      </c>
      <c r="B1593">
        <v>11546545</v>
      </c>
      <c r="C1593">
        <v>585</v>
      </c>
      <c r="E1593">
        <v>1028</v>
      </c>
      <c r="F1593">
        <v>85667</v>
      </c>
      <c r="G1593">
        <v>193783</v>
      </c>
      <c r="H1593" s="1">
        <v>46269</v>
      </c>
      <c r="I1593" t="str">
        <v>TRAVELERRECEIVED</v>
      </c>
      <c r="K1593" t="str">
        <f>IF(ISERROR(MATCH(WORKORDER[[#This Row],[TRAVELER]],Table1[TRAVELER],0)),K1593,"Shipped")</f>
        <v>Shipped</v>
      </c>
      <c r="L1593">
        <f>+IF(ISERROR(MATCH(WORKORDER[[#This Row],[TRAVELER]],Table1[TRAVELER],0)),L1593,'PACKING SLIP'!$F$5)</f>
        <v>30101</v>
      </c>
    </row>
    <row r="1594">
      <c r="A1594">
        <v>718234</v>
      </c>
      <c r="B1594">
        <v>11546545</v>
      </c>
      <c r="C1594">
        <v>1439</v>
      </c>
      <c r="E1594">
        <v>1148</v>
      </c>
      <c r="F1594">
        <v>95667</v>
      </c>
      <c r="G1594">
        <v>193783</v>
      </c>
      <c r="H1594" s="1">
        <v>46269</v>
      </c>
      <c r="I1594" t="str">
        <v>TRAVELERRECEIVED</v>
      </c>
      <c r="K1594" t="str">
        <f>IF(ISERROR(MATCH(WORKORDER[[#This Row],[TRAVELER]],Table1[TRAVELER],0)),K1594,"Shipped")</f>
        <v>Shipped</v>
      </c>
      <c r="L1594">
        <f>+IF(ISERROR(MATCH(WORKORDER[[#This Row],[TRAVELER]],Table1[TRAVELER],0)),L1594,'PACKING SLIP'!$F$5)</f>
        <v>30101</v>
      </c>
    </row>
    <row r="1595">
      <c r="A1595">
        <v>718235</v>
      </c>
      <c r="B1595">
        <v>11546545</v>
      </c>
      <c r="C1595">
        <v>793</v>
      </c>
      <c r="E1595">
        <v>997</v>
      </c>
      <c r="F1595">
        <v>83083</v>
      </c>
      <c r="G1595">
        <v>193783</v>
      </c>
      <c r="H1595" s="1">
        <v>46269</v>
      </c>
      <c r="I1595" t="str">
        <v>TRAVELERRECEIVED</v>
      </c>
      <c r="K1595" t="str">
        <f>IF(ISERROR(MATCH(WORKORDER[[#This Row],[TRAVELER]],Table1[TRAVELER],0)),K1595,"Shipped")</f>
        <v>Shipped</v>
      </c>
      <c r="L1595">
        <f>+IF(ISERROR(MATCH(WORKORDER[[#This Row],[TRAVELER]],Table1[TRAVELER],0)),L1595,'PACKING SLIP'!$F$5)</f>
        <v>30101</v>
      </c>
    </row>
    <row r="1596">
      <c r="A1596">
        <v>704977</v>
      </c>
      <c r="B1596" t="str">
        <v>11549168-CA-IN</v>
      </c>
      <c r="C1596">
        <v>920</v>
      </c>
      <c r="E1596">
        <v>1179</v>
      </c>
      <c r="F1596">
        <v>44000</v>
      </c>
      <c r="G1596">
        <v>193793</v>
      </c>
      <c r="H1596" s="1">
        <v>46269</v>
      </c>
      <c r="I1596" t="str">
        <v>TRAVELERRECEIVED</v>
      </c>
      <c r="K1596">
        <f>IF(ISERROR(MATCH(WORKORDER[[#This Row],[TRAVELER]],Table1[TRAVELER],0)),K1596,"Shipped")</f>
        <v>0</v>
      </c>
      <c r="L1596">
        <f>+IF(ISERROR(MATCH(WORKORDER[[#This Row],[TRAVELER]],Table1[TRAVELER],0)),L1596,'PACKING SLIP'!$F$5)</f>
        <v>0</v>
      </c>
    </row>
    <row r="1597">
      <c r="A1597">
        <v>707552</v>
      </c>
      <c r="B1597" t="str">
        <v>11549168-CA-IN</v>
      </c>
      <c r="C1597">
        <v>1754</v>
      </c>
      <c r="E1597">
        <v>1286</v>
      </c>
      <c r="F1597">
        <v>48000</v>
      </c>
      <c r="G1597">
        <v>193793</v>
      </c>
      <c r="H1597" s="1">
        <v>46269</v>
      </c>
      <c r="I1597" t="str">
        <v>TRAVELERRECEIVED</v>
      </c>
      <c r="K1597">
        <f>IF(ISERROR(MATCH(WORKORDER[[#This Row],[TRAVELER]],Table1[TRAVELER],0)),K1597,"Shipped")</f>
        <v>0</v>
      </c>
      <c r="L1597">
        <f>+IF(ISERROR(MATCH(WORKORDER[[#This Row],[TRAVELER]],Table1[TRAVELER],0)),L1597,'PACKING SLIP'!$F$5)</f>
        <v>0</v>
      </c>
    </row>
    <row r="1598">
      <c r="A1598">
        <v>707554</v>
      </c>
      <c r="B1598" t="str">
        <v>11549168-CA-IN</v>
      </c>
      <c r="C1598">
        <v>1109</v>
      </c>
      <c r="E1598">
        <v>1072</v>
      </c>
      <c r="F1598">
        <v>40000</v>
      </c>
      <c r="G1598">
        <v>193793</v>
      </c>
      <c r="H1598" s="1">
        <v>46269</v>
      </c>
      <c r="I1598" t="str">
        <v>TRAVELERRECEIVED</v>
      </c>
      <c r="K1598">
        <f>IF(ISERROR(MATCH(WORKORDER[[#This Row],[TRAVELER]],Table1[TRAVELER],0)),K1598,"Shipped")</f>
        <v>0</v>
      </c>
      <c r="L1598">
        <f>+IF(ISERROR(MATCH(WORKORDER[[#This Row],[TRAVELER]],Table1[TRAVELER],0)),L1598,'PACKING SLIP'!$F$5)</f>
        <v>0</v>
      </c>
    </row>
    <row r="1599">
      <c r="A1599">
        <v>708638</v>
      </c>
      <c r="B1599" t="str">
        <v>11549168-CA-IN</v>
      </c>
      <c r="C1599">
        <v>1398</v>
      </c>
      <c r="E1599">
        <v>1126</v>
      </c>
      <c r="F1599">
        <v>42000</v>
      </c>
      <c r="G1599">
        <v>193793</v>
      </c>
      <c r="H1599" s="1">
        <v>46269</v>
      </c>
      <c r="I1599" t="str">
        <v>TRAVELERRECEIVED</v>
      </c>
      <c r="K1599">
        <f>IF(ISERROR(MATCH(WORKORDER[[#This Row],[TRAVELER]],Table1[TRAVELER],0)),K1599,"Shipped")</f>
        <v>0</v>
      </c>
      <c r="L1599">
        <f>+IF(ISERROR(MATCH(WORKORDER[[#This Row],[TRAVELER]],Table1[TRAVELER],0)),L1599,'PACKING SLIP'!$F$5)</f>
        <v>0</v>
      </c>
    </row>
    <row r="1600">
      <c r="A1600">
        <v>708640</v>
      </c>
      <c r="B1600" t="str">
        <v>11549168-CA-IN</v>
      </c>
      <c r="C1600">
        <v>192</v>
      </c>
      <c r="E1600">
        <v>1233</v>
      </c>
      <c r="F1600">
        <v>46000</v>
      </c>
      <c r="G1600">
        <v>193793</v>
      </c>
      <c r="H1600" s="1">
        <v>46269</v>
      </c>
      <c r="I1600" t="str">
        <v>TRAVELERRECEIVED</v>
      </c>
      <c r="K1600">
        <f>IF(ISERROR(MATCH(WORKORDER[[#This Row],[TRAVELER]],Table1[TRAVELER],0)),K1600,"Shipped")</f>
        <v>0</v>
      </c>
      <c r="L1600">
        <f>+IF(ISERROR(MATCH(WORKORDER[[#This Row],[TRAVELER]],Table1[TRAVELER],0)),L1600,'PACKING SLIP'!$F$5)</f>
        <v>0</v>
      </c>
    </row>
    <row r="1601">
      <c r="A1601">
        <v>716394</v>
      </c>
      <c r="B1601">
        <v>11549204</v>
      </c>
      <c r="C1601">
        <v>164</v>
      </c>
      <c r="E1601">
        <v>1217</v>
      </c>
      <c r="F1601">
        <v>8000</v>
      </c>
      <c r="G1601">
        <v>193793</v>
      </c>
      <c r="H1601" s="1">
        <v>46269</v>
      </c>
      <c r="I1601" t="str">
        <v>TRAVELERRECEIVED</v>
      </c>
      <c r="K1601" t="str">
        <f>IF(ISERROR(MATCH(WORKORDER[[#This Row],[TRAVELER]],Table1[TRAVELER],0)),K1601,"Shipped")</f>
        <v>Shipped</v>
      </c>
      <c r="L1601">
        <f>+IF(ISERROR(MATCH(WORKORDER[[#This Row],[TRAVELER]],Table1[TRAVELER],0)),L1601,'PACKING SLIP'!$F$5)</f>
        <v>30098</v>
      </c>
    </row>
    <row r="1602">
      <c r="A1602">
        <v>716395</v>
      </c>
      <c r="B1602">
        <v>11549204</v>
      </c>
      <c r="C1602">
        <v>137</v>
      </c>
      <c r="E1602">
        <v>1217</v>
      </c>
      <c r="F1602">
        <v>8000</v>
      </c>
      <c r="G1602">
        <v>193793</v>
      </c>
      <c r="H1602" s="1">
        <v>46269</v>
      </c>
      <c r="I1602" t="str">
        <v>TRAVELERRECEIVED</v>
      </c>
      <c r="K1602">
        <f>IF(ISERROR(MATCH(WORKORDER[[#This Row],[TRAVELER]],Table1[TRAVELER],0)),K1602,"Shipped")</f>
        <v>0</v>
      </c>
      <c r="L1602">
        <f>+IF(ISERROR(MATCH(WORKORDER[[#This Row],[TRAVELER]],Table1[TRAVELER],0)),L1602,'PACKING SLIP'!$F$5)</f>
        <v>0</v>
      </c>
    </row>
    <row r="1603">
      <c r="A1603">
        <v>716397</v>
      </c>
      <c r="B1603">
        <v>11549204</v>
      </c>
      <c r="C1603">
        <v>361</v>
      </c>
      <c r="E1603">
        <v>1217</v>
      </c>
      <c r="F1603">
        <v>8000</v>
      </c>
      <c r="G1603">
        <v>193793</v>
      </c>
      <c r="H1603" s="1">
        <v>46269</v>
      </c>
      <c r="I1603" t="str">
        <v>TRAVELERRECEIVED</v>
      </c>
      <c r="K1603" t="str">
        <f>IF(ISERROR(MATCH(WORKORDER[[#This Row],[TRAVELER]],Table1[TRAVELER],0)),K1603,"Shipped")</f>
        <v>Shipped</v>
      </c>
      <c r="L1603">
        <f>+IF(ISERROR(MATCH(WORKORDER[[#This Row],[TRAVELER]],Table1[TRAVELER],0)),L1603,'PACKING SLIP'!$F$5)</f>
        <v>0</v>
      </c>
    </row>
    <row r="1604">
      <c r="A1604">
        <v>716398</v>
      </c>
      <c r="B1604">
        <v>11549204</v>
      </c>
      <c r="C1604">
        <v>838</v>
      </c>
      <c r="E1604">
        <v>1217</v>
      </c>
      <c r="F1604">
        <v>8000</v>
      </c>
      <c r="G1604">
        <v>193793</v>
      </c>
      <c r="H1604" s="1">
        <v>46269</v>
      </c>
      <c r="I1604" t="str">
        <v>TRAVELERRECEIVED</v>
      </c>
      <c r="K1604" t="str">
        <f>IF(ISERROR(MATCH(WORKORDER[[#This Row],[TRAVELER]],Table1[TRAVELER],0)),K1604,"Shipped")</f>
        <v>Shipped</v>
      </c>
      <c r="L1604">
        <f>+IF(ISERROR(MATCH(WORKORDER[[#This Row],[TRAVELER]],Table1[TRAVELER],0)),L1604,'PACKING SLIP'!$F$5)</f>
        <v>0</v>
      </c>
    </row>
    <row r="1605">
      <c r="A1605">
        <v>716943</v>
      </c>
      <c r="B1605">
        <v>11549204</v>
      </c>
      <c r="C1605">
        <v>960</v>
      </c>
      <c r="E1605">
        <v>1217</v>
      </c>
      <c r="F1605">
        <v>8000</v>
      </c>
      <c r="G1605">
        <v>193793</v>
      </c>
      <c r="H1605" s="1">
        <v>46269</v>
      </c>
      <c r="I1605" t="str">
        <v>TRAVELERRECEIVED</v>
      </c>
      <c r="K1605" t="str">
        <f>IF(ISERROR(MATCH(WORKORDER[[#This Row],[TRAVELER]],Table1[TRAVELER],0)),K1605,"Shipped")</f>
        <v>Shipped</v>
      </c>
      <c r="L1605">
        <f>+IF(ISERROR(MATCH(WORKORDER[[#This Row],[TRAVELER]],Table1[TRAVELER],0)),L1605,'PACKING SLIP'!$F$5)</f>
        <v>30098</v>
      </c>
    </row>
    <row r="1606">
      <c r="A1606">
        <v>716946</v>
      </c>
      <c r="B1606">
        <v>11549204</v>
      </c>
      <c r="C1606">
        <v>1581</v>
      </c>
      <c r="E1606">
        <v>1217</v>
      </c>
      <c r="F1606">
        <v>8000</v>
      </c>
      <c r="G1606">
        <v>193793</v>
      </c>
      <c r="H1606" s="1">
        <v>46269</v>
      </c>
      <c r="I1606" t="str">
        <v>TRAVELERRECEIVED</v>
      </c>
      <c r="K1606" t="str">
        <f>IF(ISERROR(MATCH(WORKORDER[[#This Row],[TRAVELER]],Table1[TRAVELER],0)),K1606,"Shipped")</f>
        <v>Shipped</v>
      </c>
      <c r="L1606">
        <f>+IF(ISERROR(MATCH(WORKORDER[[#This Row],[TRAVELER]],Table1[TRAVELER],0)),L1606,'PACKING SLIP'!$F$5)</f>
        <v>30098</v>
      </c>
    </row>
    <row r="1607">
      <c r="A1607">
        <v>717244</v>
      </c>
      <c r="B1607" t="str">
        <v>E6267AB</v>
      </c>
      <c r="C1607">
        <v>566</v>
      </c>
      <c r="E1607">
        <v>1194</v>
      </c>
      <c r="F1607">
        <v>25350</v>
      </c>
      <c r="G1607">
        <v>193793</v>
      </c>
      <c r="H1607" s="1">
        <v>46269</v>
      </c>
      <c r="I1607" t="str">
        <v>TRAVELERRECEIVED</v>
      </c>
      <c r="K1607">
        <f>IF(ISERROR(MATCH(WORKORDER[[#This Row],[TRAVELER]],Table1[TRAVELER],0)),K1607,"Shipped")</f>
        <v>0</v>
      </c>
      <c r="L1607">
        <f>+IF(ISERROR(MATCH(WORKORDER[[#This Row],[TRAVELER]],Table1[TRAVELER],0)),L1607,'PACKING SLIP'!$F$5)</f>
        <v>0</v>
      </c>
    </row>
    <row r="1608">
      <c r="A1608">
        <v>717245</v>
      </c>
      <c r="B1608" t="str">
        <v>E6267AB</v>
      </c>
      <c r="C1608">
        <v>1757</v>
      </c>
      <c r="E1608">
        <v>1135</v>
      </c>
      <c r="F1608">
        <v>24098</v>
      </c>
      <c r="G1608">
        <v>193793</v>
      </c>
      <c r="H1608" s="1">
        <v>46269</v>
      </c>
      <c r="I1608" t="str">
        <v>TRAVELERRECEIVED</v>
      </c>
      <c r="K1608">
        <f>IF(ISERROR(MATCH(WORKORDER[[#This Row],[TRAVELER]],Table1[TRAVELER],0)),K1608,"Shipped")</f>
        <v>0</v>
      </c>
      <c r="L1608">
        <f>+IF(ISERROR(MATCH(WORKORDER[[#This Row],[TRAVELER]],Table1[TRAVELER],0)),L1608,'PACKING SLIP'!$F$5)</f>
        <v>0</v>
      </c>
    </row>
    <row r="1609">
      <c r="A1609">
        <v>717246</v>
      </c>
      <c r="B1609" t="str">
        <v>E6267AB</v>
      </c>
      <c r="C1609">
        <v>97</v>
      </c>
      <c r="E1609">
        <v>1155</v>
      </c>
      <c r="F1609">
        <v>24522</v>
      </c>
      <c r="G1609">
        <v>193793</v>
      </c>
      <c r="H1609" s="1">
        <v>46269</v>
      </c>
      <c r="I1609" t="str">
        <v>TRAVELERRECEIVED</v>
      </c>
      <c r="K1609" t="str">
        <f>IF(ISERROR(MATCH(WORKORDER[[#This Row],[TRAVELER]],Table1[TRAVELER],0)),K1609,"Shipped")</f>
        <v>Shipped</v>
      </c>
      <c r="L1609">
        <f>+IF(ISERROR(MATCH(WORKORDER[[#This Row],[TRAVELER]],Table1[TRAVELER],0)),L1609,'PACKING SLIP'!$F$5)</f>
        <v>0</v>
      </c>
    </row>
    <row r="1610">
      <c r="A1610">
        <v>717247</v>
      </c>
      <c r="B1610" t="str">
        <v>E6267AB</v>
      </c>
      <c r="C1610">
        <v>443</v>
      </c>
      <c r="E1610">
        <v>1133</v>
      </c>
      <c r="F1610">
        <v>24055</v>
      </c>
      <c r="G1610">
        <v>193793</v>
      </c>
      <c r="H1610" s="1">
        <v>46269</v>
      </c>
      <c r="I1610" t="str">
        <v>TRAVELERRECEIVED</v>
      </c>
      <c r="K1610" t="str">
        <f>IF(ISERROR(MATCH(WORKORDER[[#This Row],[TRAVELER]],Table1[TRAVELER],0)),K1610,"Shipped")</f>
        <v>Shipped</v>
      </c>
      <c r="L1610">
        <f>+IF(ISERROR(MATCH(WORKORDER[[#This Row],[TRAVELER]],Table1[TRAVELER],0)),L1610,'PACKING SLIP'!$F$5)</f>
        <v>0</v>
      </c>
    </row>
    <row r="1611">
      <c r="A1611">
        <v>717431</v>
      </c>
      <c r="B1611">
        <v>11549168</v>
      </c>
      <c r="C1611">
        <v>408</v>
      </c>
      <c r="E1611">
        <v>1363</v>
      </c>
      <c r="F1611">
        <v>48000</v>
      </c>
      <c r="G1611">
        <v>193793</v>
      </c>
      <c r="H1611" s="1">
        <v>46269</v>
      </c>
      <c r="I1611" t="str">
        <v>TRAVELERRECEIVED</v>
      </c>
      <c r="K1611" t="str">
        <f>IF(ISERROR(MATCH(WORKORDER[[#This Row],[TRAVELER]],Table1[TRAVELER],0)),K1611,"Shipped")</f>
        <v>Shipped</v>
      </c>
      <c r="L1611">
        <f>+IF(ISERROR(MATCH(WORKORDER[[#This Row],[TRAVELER]],Table1[TRAVELER],0)),L1611,'PACKING SLIP'!$F$5)</f>
        <v>0</v>
      </c>
    </row>
    <row r="1612">
      <c r="A1612">
        <v>717433</v>
      </c>
      <c r="B1612">
        <v>11549168</v>
      </c>
      <c r="C1612">
        <v>712</v>
      </c>
      <c r="E1612">
        <v>1250</v>
      </c>
      <c r="F1612">
        <v>44000</v>
      </c>
      <c r="G1612">
        <v>193793</v>
      </c>
      <c r="H1612" s="1">
        <v>46269</v>
      </c>
      <c r="I1612" t="str">
        <v>TRAVELERRECEIVED</v>
      </c>
      <c r="K1612" t="str">
        <f>IF(ISERROR(MATCH(WORKORDER[[#This Row],[TRAVELER]],Table1[TRAVELER],0)),K1612,"Shipped")</f>
        <v>Shipped</v>
      </c>
      <c r="L1612">
        <f>+IF(ISERROR(MATCH(WORKORDER[[#This Row],[TRAVELER]],Table1[TRAVELER],0)),L1612,'PACKING SLIP'!$F$5)</f>
        <v>0</v>
      </c>
    </row>
    <row r="1613">
      <c r="A1613">
        <v>717477</v>
      </c>
      <c r="B1613">
        <v>11549204</v>
      </c>
      <c r="C1613">
        <v>1374</v>
      </c>
      <c r="E1613">
        <v>1217</v>
      </c>
      <c r="F1613">
        <v>8000</v>
      </c>
      <c r="G1613">
        <v>193793</v>
      </c>
      <c r="H1613" s="1">
        <v>46269</v>
      </c>
      <c r="I1613" t="str">
        <v>TRAVELERRECEIVED</v>
      </c>
      <c r="K1613" t="str">
        <f>IF(ISERROR(MATCH(WORKORDER[[#This Row],[TRAVELER]],Table1[TRAVELER],0)),K1613,"Shipped")</f>
        <v>Shipped</v>
      </c>
      <c r="L1613">
        <f>+IF(ISERROR(MATCH(WORKORDER[[#This Row],[TRAVELER]],Table1[TRAVELER],0)),L1613,'PACKING SLIP'!$F$5)</f>
        <v>30101</v>
      </c>
    </row>
    <row r="1614">
      <c r="A1614">
        <v>717756</v>
      </c>
      <c r="B1614">
        <v>11546545</v>
      </c>
      <c r="C1614">
        <v>68</v>
      </c>
      <c r="E1614">
        <v>1071</v>
      </c>
      <c r="F1614">
        <v>89250</v>
      </c>
      <c r="G1614">
        <v>193793</v>
      </c>
      <c r="H1614" s="1">
        <v>46269</v>
      </c>
      <c r="I1614" t="str">
        <v>TRAVELERRECEIVED</v>
      </c>
      <c r="K1614">
        <f>IF(ISERROR(MATCH(WORKORDER[[#This Row],[TRAVELER]],Table1[TRAVELER],0)),K1614,"Shipped")</f>
        <v>0</v>
      </c>
      <c r="L1614">
        <f>+IF(ISERROR(MATCH(WORKORDER[[#This Row],[TRAVELER]],Table1[TRAVELER],0)),L1614,'PACKING SLIP'!$F$5)</f>
        <v>0</v>
      </c>
    </row>
    <row r="1615">
      <c r="A1615">
        <v>717757</v>
      </c>
      <c r="B1615">
        <v>11546545</v>
      </c>
      <c r="C1615">
        <v>2</v>
      </c>
      <c r="E1615">
        <v>1102</v>
      </c>
      <c r="F1615">
        <v>91833</v>
      </c>
      <c r="G1615">
        <v>193793</v>
      </c>
      <c r="H1615" s="1">
        <v>46269</v>
      </c>
      <c r="I1615" t="str">
        <v>TRAVELERRECEIVED</v>
      </c>
      <c r="K1615">
        <f>IF(ISERROR(MATCH(WORKORDER[[#This Row],[TRAVELER]],Table1[TRAVELER],0)),K1615,"Shipped")</f>
        <v>0</v>
      </c>
      <c r="L1615">
        <f>+IF(ISERROR(MATCH(WORKORDER[[#This Row],[TRAVELER]],Table1[TRAVELER],0)),L1615,'PACKING SLIP'!$F$5)</f>
        <v>0</v>
      </c>
    </row>
    <row r="1616">
      <c r="A1616">
        <v>717758</v>
      </c>
      <c r="B1616">
        <v>11546545</v>
      </c>
      <c r="C1616">
        <v>252</v>
      </c>
      <c r="E1616">
        <v>1138</v>
      </c>
      <c r="F1616">
        <v>94833</v>
      </c>
      <c r="G1616">
        <v>193793</v>
      </c>
      <c r="H1616" s="1">
        <v>46269</v>
      </c>
      <c r="I1616" t="str">
        <v>TRAVELERRECEIVED</v>
      </c>
      <c r="K1616" t="str">
        <f>IF(ISERROR(MATCH(WORKORDER[[#This Row],[TRAVELER]],Table1[TRAVELER],0)),K1616,"Shipped")</f>
        <v>Shipped</v>
      </c>
      <c r="L1616">
        <f>+IF(ISERROR(MATCH(WORKORDER[[#This Row],[TRAVELER]],Table1[TRAVELER],0)),L1616,'PACKING SLIP'!$F$5)</f>
        <v>30101</v>
      </c>
    </row>
    <row r="1617">
      <c r="A1617">
        <v>717759</v>
      </c>
      <c r="B1617">
        <v>11546545</v>
      </c>
      <c r="C1617">
        <v>795</v>
      </c>
      <c r="E1617">
        <v>1016</v>
      </c>
      <c r="F1617">
        <v>84667</v>
      </c>
      <c r="G1617">
        <v>193793</v>
      </c>
      <c r="H1617" s="1">
        <v>46269</v>
      </c>
      <c r="I1617" t="str">
        <v>TRAVELERRECEIVED</v>
      </c>
      <c r="K1617">
        <f>IF(ISERROR(MATCH(WORKORDER[[#This Row],[TRAVELER]],Table1[TRAVELER],0)),K1617,"Shipped")</f>
        <v>0</v>
      </c>
      <c r="L1617">
        <f>+IF(ISERROR(MATCH(WORKORDER[[#This Row],[TRAVELER]],Table1[TRAVELER],0)),L1617,'PACKING SLIP'!$F$5)</f>
        <v>0</v>
      </c>
    </row>
    <row r="1618">
      <c r="A1618">
        <v>717760</v>
      </c>
      <c r="B1618">
        <v>11546545</v>
      </c>
      <c r="C1618">
        <v>823</v>
      </c>
      <c r="E1618">
        <v>1107</v>
      </c>
      <c r="F1618">
        <v>92250</v>
      </c>
      <c r="G1618">
        <v>193793</v>
      </c>
      <c r="H1618" s="1">
        <v>46269</v>
      </c>
      <c r="I1618" t="str">
        <v>TRAVELERRECEIVED</v>
      </c>
      <c r="K1618">
        <f>IF(ISERROR(MATCH(WORKORDER[[#This Row],[TRAVELER]],Table1[TRAVELER],0)),K1618,"Shipped")</f>
        <v>0</v>
      </c>
      <c r="L1618">
        <f>+IF(ISERROR(MATCH(WORKORDER[[#This Row],[TRAVELER]],Table1[TRAVELER],0)),L1618,'PACKING SLIP'!$F$5)</f>
        <v>0</v>
      </c>
    </row>
    <row r="1619">
      <c r="A1619">
        <v>717761</v>
      </c>
      <c r="B1619">
        <v>11546545</v>
      </c>
      <c r="C1619">
        <v>1095</v>
      </c>
      <c r="E1619">
        <v>1077</v>
      </c>
      <c r="F1619">
        <v>89750</v>
      </c>
      <c r="G1619">
        <v>193793</v>
      </c>
      <c r="H1619" s="1">
        <v>46269</v>
      </c>
      <c r="I1619" t="str">
        <v>TRAVELERRECEIVED</v>
      </c>
      <c r="K1619">
        <f>IF(ISERROR(MATCH(WORKORDER[[#This Row],[TRAVELER]],Table1[TRAVELER],0)),K1619,"Shipped")</f>
        <v>0</v>
      </c>
      <c r="L1619">
        <f>+IF(ISERROR(MATCH(WORKORDER[[#This Row],[TRAVELER]],Table1[TRAVELER],0)),L1619,'PACKING SLIP'!$F$5)</f>
        <v>0</v>
      </c>
    </row>
    <row r="1620">
      <c r="A1620">
        <v>717762</v>
      </c>
      <c r="B1620">
        <v>11546545</v>
      </c>
      <c r="C1620">
        <v>654</v>
      </c>
      <c r="E1620">
        <v>1076</v>
      </c>
      <c r="F1620">
        <v>89667</v>
      </c>
      <c r="G1620">
        <v>193793</v>
      </c>
      <c r="H1620" s="1">
        <v>46269</v>
      </c>
      <c r="I1620" t="str">
        <v>TRAVELERRECEIVED</v>
      </c>
      <c r="K1620" t="str">
        <f>IF(ISERROR(MATCH(WORKORDER[[#This Row],[TRAVELER]],Table1[TRAVELER],0)),K1620,"Shipped")</f>
        <v>Shipped</v>
      </c>
      <c r="L1620">
        <f>+IF(ISERROR(MATCH(WORKORDER[[#This Row],[TRAVELER]],Table1[TRAVELER],0)),L1620,'PACKING SLIP'!$F$5)</f>
        <v>0</v>
      </c>
    </row>
    <row r="1621">
      <c r="A1621">
        <v>717763</v>
      </c>
      <c r="B1621">
        <v>11546545</v>
      </c>
      <c r="C1621">
        <v>814</v>
      </c>
      <c r="E1621">
        <v>1081</v>
      </c>
      <c r="F1621">
        <v>90083</v>
      </c>
      <c r="G1621">
        <v>193793</v>
      </c>
      <c r="H1621" s="1">
        <v>46269</v>
      </c>
      <c r="I1621" t="str">
        <v>TRAVELERRECEIVED</v>
      </c>
      <c r="K1621" t="str">
        <f>IF(ISERROR(MATCH(WORKORDER[[#This Row],[TRAVELER]],Table1[TRAVELER],0)),K1621,"Shipped")</f>
        <v>Shipped</v>
      </c>
      <c r="L1621">
        <f>+IF(ISERROR(MATCH(WORKORDER[[#This Row],[TRAVELER]],Table1[TRAVELER],0)),L1621,'PACKING SLIP'!$F$5)</f>
        <v>0</v>
      </c>
    </row>
    <row r="1622">
      <c r="A1622">
        <v>718236</v>
      </c>
      <c r="B1622">
        <v>11546545</v>
      </c>
      <c r="C1622" t="str">
        <v>A</v>
      </c>
      <c r="E1622">
        <v>1112</v>
      </c>
      <c r="F1622">
        <v>83667</v>
      </c>
      <c r="G1622">
        <v>193793</v>
      </c>
      <c r="H1622" s="1">
        <v>46269</v>
      </c>
      <c r="I1622" t="str">
        <v>TRAVELERRECEIVED</v>
      </c>
      <c r="K1622" t="str">
        <f>IF(ISERROR(MATCH(WORKORDER[[#This Row],[TRAVELER]],Table1[TRAVELER],0)),K1622,"Shipped")</f>
        <v>Shipped</v>
      </c>
      <c r="L1622">
        <f>+IF(ISERROR(MATCH(WORKORDER[[#This Row],[TRAVELER]],Table1[TRAVELER],0)),L1622,'PACKING SLIP'!$F$5)</f>
        <v>30101</v>
      </c>
    </row>
    <row r="1623">
      <c r="A1623">
        <v>718237</v>
      </c>
      <c r="B1623">
        <v>11546545</v>
      </c>
      <c r="C1623">
        <v>129</v>
      </c>
      <c r="E1623">
        <v>1023</v>
      </c>
      <c r="F1623">
        <v>85250</v>
      </c>
      <c r="G1623">
        <v>193793</v>
      </c>
      <c r="H1623" s="1">
        <v>46269</v>
      </c>
      <c r="I1623" t="str">
        <v>TRAVELERRECEIVED</v>
      </c>
      <c r="K1623" t="str">
        <f>IF(ISERROR(MATCH(WORKORDER[[#This Row],[TRAVELER]],Table1[TRAVELER],0)),K1623,"Shipped")</f>
        <v>Shipped</v>
      </c>
      <c r="L1623">
        <f>+IF(ISERROR(MATCH(WORKORDER[[#This Row],[TRAVELER]],Table1[TRAVELER],0)),L1623,'PACKING SLIP'!$F$5)</f>
        <v>30098</v>
      </c>
    </row>
    <row r="1624">
      <c r="A1624">
        <v>718238</v>
      </c>
      <c r="B1624">
        <v>11546545</v>
      </c>
      <c r="C1624">
        <v>790</v>
      </c>
      <c r="E1624">
        <v>987</v>
      </c>
      <c r="F1624">
        <v>82250</v>
      </c>
      <c r="G1624">
        <v>193793</v>
      </c>
      <c r="H1624" s="1">
        <v>46269</v>
      </c>
      <c r="I1624" t="str">
        <v>TRAVELERRECEIVED</v>
      </c>
      <c r="K1624" t="str">
        <f>IF(ISERROR(MATCH(WORKORDER[[#This Row],[TRAVELER]],Table1[TRAVELER],0)),K1624,"Shipped")</f>
        <v>Shipped</v>
      </c>
      <c r="L1624">
        <f>+IF(ISERROR(MATCH(WORKORDER[[#This Row],[TRAVELER]],Table1[TRAVELER],0)),L1624,'PACKING SLIP'!$F$5)</f>
        <v>30098</v>
      </c>
    </row>
    <row r="1625">
      <c r="A1625">
        <v>718239</v>
      </c>
      <c r="B1625">
        <v>11546545</v>
      </c>
      <c r="C1625">
        <v>1033</v>
      </c>
      <c r="E1625">
        <v>1186</v>
      </c>
      <c r="F1625">
        <v>98833</v>
      </c>
      <c r="G1625">
        <v>193793</v>
      </c>
      <c r="H1625" s="1">
        <v>46269</v>
      </c>
      <c r="I1625" t="str">
        <v>TRAVELERRECEIVED</v>
      </c>
      <c r="K1625" t="str">
        <f>IF(ISERROR(MATCH(WORKORDER[[#This Row],[TRAVELER]],Table1[TRAVELER],0)),K1625,"Shipped")</f>
        <v>Shipped</v>
      </c>
      <c r="L1625">
        <f>+IF(ISERROR(MATCH(WORKORDER[[#This Row],[TRAVELER]],Table1[TRAVELER],0)),L1625,'PACKING SLIP'!$F$5)</f>
        <v>30098</v>
      </c>
    </row>
    <row r="1626">
      <c r="A1626">
        <v>712880</v>
      </c>
      <c r="B1626">
        <v>11612078</v>
      </c>
      <c r="C1626">
        <v>1359</v>
      </c>
      <c r="E1626">
        <v>1267</v>
      </c>
      <c r="F1626">
        <v>72000</v>
      </c>
      <c r="G1626">
        <v>193803</v>
      </c>
      <c r="H1626" s="1">
        <v>46269</v>
      </c>
      <c r="I1626" t="str">
        <v>6-244-20-A</v>
      </c>
      <c r="K1626" t="str">
        <f>IF(ISERROR(MATCH(WORKORDER[[#This Row],[TRAVELER]],Table1[TRAVELER],0)),K1626,"Shipped")</f>
        <v>Shipped</v>
      </c>
      <c r="L1626">
        <f>+IF(ISERROR(MATCH(WORKORDER[[#This Row],[TRAVELER]],Table1[TRAVELER],0)),L1626,'PACKING SLIP'!$F$5)</f>
        <v>30101</v>
      </c>
    </row>
    <row r="1627">
      <c r="A1627">
        <v>716782</v>
      </c>
      <c r="B1627" t="str">
        <v>11514596-CA-IN</v>
      </c>
      <c r="C1627">
        <v>479</v>
      </c>
      <c r="E1627">
        <v>1153</v>
      </c>
      <c r="F1627">
        <v>74870</v>
      </c>
      <c r="G1627">
        <v>193827</v>
      </c>
      <c r="H1627" s="1">
        <v>46273</v>
      </c>
      <c r="I1627" t="str">
        <v>TRAVELERRECEIVED</v>
      </c>
      <c r="K1627" t="str">
        <f>IF(ISERROR(MATCH(WORKORDER[[#This Row],[TRAVELER]],Table1[TRAVELER],0)),K1627,"Shipped")</f>
        <v>Shipped</v>
      </c>
      <c r="L1627">
        <f>+IF(ISERROR(MATCH(WORKORDER[[#This Row],[TRAVELER]],Table1[TRAVELER],0)),L1627,'PACKING SLIP'!$F$5)</f>
        <v>30098</v>
      </c>
    </row>
    <row r="1628">
      <c r="A1628">
        <v>716783</v>
      </c>
      <c r="B1628" t="str">
        <v>11514596-CA-IN</v>
      </c>
      <c r="C1628">
        <v>183</v>
      </c>
      <c r="E1628">
        <v>1217</v>
      </c>
      <c r="F1628">
        <v>79026</v>
      </c>
      <c r="G1628">
        <v>193827</v>
      </c>
      <c r="H1628" s="1">
        <v>46273</v>
      </c>
      <c r="I1628" t="str">
        <v>TRAVELERRECEIVED</v>
      </c>
      <c r="K1628" t="str">
        <f>IF(ISERROR(MATCH(WORKORDER[[#This Row],[TRAVELER]],Table1[TRAVELER],0)),K1628,"Shipped")</f>
        <v>Shipped</v>
      </c>
      <c r="L1628">
        <f>+IF(ISERROR(MATCH(WORKORDER[[#This Row],[TRAVELER]],Table1[TRAVELER],0)),L1628,'PACKING SLIP'!$F$5)</f>
        <v>30101</v>
      </c>
    </row>
    <row r="1629">
      <c r="A1629">
        <v>716823</v>
      </c>
      <c r="B1629">
        <v>11609826</v>
      </c>
      <c r="C1629">
        <v>1037</v>
      </c>
      <c r="E1629">
        <v>1082</v>
      </c>
      <c r="F1629">
        <v>6402</v>
      </c>
      <c r="G1629">
        <v>193827</v>
      </c>
      <c r="H1629" s="1">
        <v>46273</v>
      </c>
      <c r="K1629" t="str">
        <f>IF(ISERROR(MATCH(WORKORDER[[#This Row],[TRAVELER]],Table1[TRAVELER],0)),K1629,"Shipped")</f>
        <v>Shipped</v>
      </c>
      <c r="L1629">
        <f>+IF(ISERROR(MATCH(WORKORDER[[#This Row],[TRAVELER]],Table1[TRAVELER],0)),L1629,'PACKING SLIP'!$F$5)</f>
        <v>0</v>
      </c>
    </row>
    <row r="1630">
      <c r="A1630">
        <v>716824</v>
      </c>
      <c r="B1630">
        <v>11609826</v>
      </c>
      <c r="C1630">
        <v>1790</v>
      </c>
      <c r="E1630">
        <v>1106</v>
      </c>
      <c r="F1630">
        <v>6544</v>
      </c>
      <c r="G1630">
        <v>193827</v>
      </c>
      <c r="H1630" s="1">
        <v>46273</v>
      </c>
      <c r="K1630" t="str">
        <f>IF(ISERROR(MATCH(WORKORDER[[#This Row],[TRAVELER]],Table1[TRAVELER],0)),K1630,"Shipped")</f>
        <v>Shipped</v>
      </c>
      <c r="L1630">
        <f>+IF(ISERROR(MATCH(WORKORDER[[#This Row],[TRAVELER]],Table1[TRAVELER],0)),L1630,'PACKING SLIP'!$F$5)</f>
        <v>0</v>
      </c>
    </row>
    <row r="1631">
      <c r="A1631">
        <v>716837</v>
      </c>
      <c r="B1631">
        <v>11609826</v>
      </c>
      <c r="C1631">
        <v>1515</v>
      </c>
      <c r="E1631">
        <v>1100</v>
      </c>
      <c r="F1631">
        <v>6509</v>
      </c>
      <c r="G1631">
        <v>193827</v>
      </c>
      <c r="H1631" s="1">
        <v>46273</v>
      </c>
      <c r="K1631" t="str">
        <f>IF(ISERROR(MATCH(WORKORDER[[#This Row],[TRAVELER]],Table1[TRAVELER],0)),K1631,"Shipped")</f>
        <v>Shipped</v>
      </c>
      <c r="L1631">
        <f>+IF(ISERROR(MATCH(WORKORDER[[#This Row],[TRAVELER]],Table1[TRAVELER],0)),L1631,'PACKING SLIP'!$F$5)</f>
        <v>0</v>
      </c>
    </row>
    <row r="1632">
      <c r="A1632">
        <v>716838</v>
      </c>
      <c r="B1632">
        <v>11609826</v>
      </c>
      <c r="C1632">
        <v>154</v>
      </c>
      <c r="E1632">
        <v>1060</v>
      </c>
      <c r="F1632">
        <v>6272</v>
      </c>
      <c r="G1632">
        <v>193827</v>
      </c>
      <c r="H1632" s="1">
        <v>46273</v>
      </c>
      <c r="K1632" t="str">
        <f>IF(ISERROR(MATCH(WORKORDER[[#This Row],[TRAVELER]],Table1[TRAVELER],0)),K1632,"Shipped")</f>
        <v>Shipped</v>
      </c>
      <c r="L1632">
        <f>+IF(ISERROR(MATCH(WORKORDER[[#This Row],[TRAVELER]],Table1[TRAVELER],0)),L1632,'PACKING SLIP'!$F$5)</f>
        <v>0</v>
      </c>
    </row>
    <row r="1633">
      <c r="A1633">
        <v>717234</v>
      </c>
      <c r="B1633" t="str">
        <v>W520113-S441</v>
      </c>
      <c r="C1633">
        <v>279</v>
      </c>
      <c r="E1633">
        <v>1102</v>
      </c>
      <c r="F1633">
        <v>41119</v>
      </c>
      <c r="G1633">
        <v>193827</v>
      </c>
      <c r="H1633" s="1">
        <v>46273</v>
      </c>
      <c r="K1633">
        <f>IF(ISERROR(MATCH(WORKORDER[[#This Row],[TRAVELER]],Table1[TRAVELER],0)),K1633,"Shipped")</f>
        <v>0</v>
      </c>
      <c r="L1633">
        <f>+IF(ISERROR(MATCH(WORKORDER[[#This Row],[TRAVELER]],Table1[TRAVELER],0)),L1633,'PACKING SLIP'!$F$5)</f>
        <v>0</v>
      </c>
    </row>
    <row r="1634">
      <c r="A1634">
        <v>717235</v>
      </c>
      <c r="B1634" t="str">
        <v>W520113-S441</v>
      </c>
      <c r="C1634">
        <v>1318</v>
      </c>
      <c r="E1634">
        <v>1162</v>
      </c>
      <c r="F1634">
        <v>43358</v>
      </c>
      <c r="G1634">
        <v>193827</v>
      </c>
      <c r="H1634" s="1">
        <v>46273</v>
      </c>
      <c r="K1634">
        <f>IF(ISERROR(MATCH(WORKORDER[[#This Row],[TRAVELER]],Table1[TRAVELER],0)),K1634,"Shipped")</f>
        <v>0</v>
      </c>
      <c r="L1634">
        <f>+IF(ISERROR(MATCH(WORKORDER[[#This Row],[TRAVELER]],Table1[TRAVELER],0)),L1634,'PACKING SLIP'!$F$5)</f>
        <v>0</v>
      </c>
    </row>
    <row r="1635">
      <c r="A1635">
        <v>717393</v>
      </c>
      <c r="B1635" t="str">
        <v>06101831-A</v>
      </c>
      <c r="C1635">
        <v>1372</v>
      </c>
      <c r="E1635">
        <v>1134</v>
      </c>
      <c r="F1635">
        <v>41087</v>
      </c>
      <c r="G1635">
        <v>193827</v>
      </c>
      <c r="H1635" s="1">
        <v>46273</v>
      </c>
      <c r="I1635" t="str">
        <v>TRAVELERRECEIVED</v>
      </c>
      <c r="K1635">
        <f>IF(ISERROR(MATCH(WORKORDER[[#This Row],[TRAVELER]],Table1[TRAVELER],0)),K1635,"Shipped")</f>
        <v>0</v>
      </c>
      <c r="L1635">
        <f>+IF(ISERROR(MATCH(WORKORDER[[#This Row],[TRAVELER]],Table1[TRAVELER],0)),L1635,'PACKING SLIP'!$F$5)</f>
        <v>0</v>
      </c>
    </row>
    <row r="1636">
      <c r="A1636">
        <v>717397</v>
      </c>
      <c r="B1636" t="str">
        <v>06101831-A</v>
      </c>
      <c r="C1636">
        <v>702</v>
      </c>
      <c r="E1636">
        <v>1209</v>
      </c>
      <c r="F1636">
        <v>43804</v>
      </c>
      <c r="G1636">
        <v>193827</v>
      </c>
      <c r="H1636" s="1">
        <v>46273</v>
      </c>
      <c r="I1636" t="str">
        <v>TRAVELERRECEIVED</v>
      </c>
      <c r="K1636" t="str">
        <f>IF(ISERROR(MATCH(WORKORDER[[#This Row],[TRAVELER]],Table1[TRAVELER],0)),K1636,"Shipped")</f>
        <v>Shipped</v>
      </c>
      <c r="L1636">
        <f>+IF(ISERROR(MATCH(WORKORDER[[#This Row],[TRAVELER]],Table1[TRAVELER],0)),L1636,'PACKING SLIP'!$F$5)</f>
        <v>30101</v>
      </c>
    </row>
    <row r="1637">
      <c r="A1637">
        <v>717399</v>
      </c>
      <c r="B1637" t="str">
        <v>06101831-A</v>
      </c>
      <c r="C1637">
        <v>679</v>
      </c>
      <c r="E1637">
        <v>951</v>
      </c>
      <c r="F1637">
        <v>34457</v>
      </c>
      <c r="G1637">
        <v>193827</v>
      </c>
      <c r="H1637" s="1">
        <v>46273</v>
      </c>
      <c r="I1637" t="str">
        <v>TRAVELERRECEIVED</v>
      </c>
      <c r="K1637">
        <f>IF(ISERROR(MATCH(WORKORDER[[#This Row],[TRAVELER]],Table1[TRAVELER],0)),K1637,"Shipped")</f>
        <v>0</v>
      </c>
      <c r="L1637">
        <f>+IF(ISERROR(MATCH(WORKORDER[[#This Row],[TRAVELER]],Table1[TRAVELER],0)),L1637,'PACKING SLIP'!$F$5)</f>
        <v>0</v>
      </c>
    </row>
    <row r="1638">
      <c r="A1638">
        <v>717400</v>
      </c>
      <c r="B1638" t="str">
        <v>06101831-A</v>
      </c>
      <c r="C1638">
        <v>127</v>
      </c>
      <c r="E1638">
        <v>1086</v>
      </c>
      <c r="F1638">
        <v>39348</v>
      </c>
      <c r="G1638">
        <v>193827</v>
      </c>
      <c r="H1638" s="1">
        <v>46273</v>
      </c>
      <c r="I1638" t="str">
        <v>TRAVELERRECEIVED</v>
      </c>
      <c r="K1638" t="str">
        <f>IF(ISERROR(MATCH(WORKORDER[[#This Row],[TRAVELER]],Table1[TRAVELER],0)),K1638,"Shipped")</f>
        <v>Shipped</v>
      </c>
      <c r="L1638">
        <f>+IF(ISERROR(MATCH(WORKORDER[[#This Row],[TRAVELER]],Table1[TRAVELER],0)),L1638,'PACKING SLIP'!$F$5)</f>
        <v>30098</v>
      </c>
    </row>
    <row r="1639">
      <c r="A1639">
        <v>717401</v>
      </c>
      <c r="B1639" t="str">
        <v>06101831-A</v>
      </c>
      <c r="C1639">
        <v>212</v>
      </c>
      <c r="E1639">
        <v>743</v>
      </c>
      <c r="F1639">
        <v>26920</v>
      </c>
      <c r="G1639">
        <v>193827</v>
      </c>
      <c r="H1639" s="1">
        <v>46273</v>
      </c>
      <c r="I1639" t="str">
        <v>TRAVELERRECEIVED</v>
      </c>
      <c r="K1639">
        <f>IF(ISERROR(MATCH(WORKORDER[[#This Row],[TRAVELER]],Table1[TRAVELER],0)),K1639,"Shipped")</f>
        <v>0</v>
      </c>
      <c r="L1639">
        <f>+IF(ISERROR(MATCH(WORKORDER[[#This Row],[TRAVELER]],Table1[TRAVELER],0)),L1639,'PACKING SLIP'!$F$5)</f>
        <v>0</v>
      </c>
    </row>
    <row r="1640">
      <c r="A1640">
        <v>717675</v>
      </c>
      <c r="B1640" t="str">
        <v>06104388AA</v>
      </c>
      <c r="C1640">
        <v>1336</v>
      </c>
      <c r="E1640">
        <v>876</v>
      </c>
      <c r="F1640">
        <v>21211</v>
      </c>
      <c r="G1640">
        <v>193827</v>
      </c>
      <c r="H1640" s="1">
        <v>46273</v>
      </c>
      <c r="I1640" t="str">
        <v>TRAVELERRECEIVED</v>
      </c>
      <c r="K1640" t="str">
        <f>IF(ISERROR(MATCH(WORKORDER[[#This Row],[TRAVELER]],Table1[TRAVELER],0)),K1640,"Shipped")</f>
        <v>Shipped</v>
      </c>
      <c r="L1640">
        <f>+IF(ISERROR(MATCH(WORKORDER[[#This Row],[TRAVELER]],Table1[TRAVELER],0)),L1640,'PACKING SLIP'!$F$5)</f>
        <v>0</v>
      </c>
    </row>
    <row r="1641">
      <c r="A1641">
        <v>717676</v>
      </c>
      <c r="B1641" t="str">
        <v>06104388A</v>
      </c>
      <c r="C1641">
        <v>217</v>
      </c>
      <c r="E1641">
        <v>792</v>
      </c>
      <c r="F1641">
        <v>19177</v>
      </c>
      <c r="G1641">
        <v>193827</v>
      </c>
      <c r="H1641" s="1">
        <v>46273</v>
      </c>
      <c r="I1641" t="str">
        <v>TRAVELERRECEIVED</v>
      </c>
      <c r="K1641">
        <f>IF(ISERROR(MATCH(WORKORDER[[#This Row],[TRAVELER]],Table1[TRAVELER],0)),K1641,"Shipped")</f>
        <v>0</v>
      </c>
      <c r="L1641">
        <f>+IF(ISERROR(MATCH(WORKORDER[[#This Row],[TRAVELER]],Table1[TRAVELER],0)),L1641,'PACKING SLIP'!$F$5)</f>
        <v>0</v>
      </c>
    </row>
    <row r="1642">
      <c r="A1642">
        <v>717677</v>
      </c>
      <c r="B1642" t="str">
        <v>06104388AA</v>
      </c>
      <c r="C1642">
        <v>525</v>
      </c>
      <c r="E1642">
        <v>816</v>
      </c>
      <c r="F1642">
        <v>19758</v>
      </c>
      <c r="G1642">
        <v>193827</v>
      </c>
      <c r="H1642" s="1">
        <v>46273</v>
      </c>
      <c r="I1642" t="str">
        <v>TRAVELERRECEIVED</v>
      </c>
      <c r="K1642" t="str">
        <f>IF(ISERROR(MATCH(WORKORDER[[#This Row],[TRAVELER]],Table1[TRAVELER],0)),K1642,"Shipped")</f>
        <v>Shipped</v>
      </c>
      <c r="L1642">
        <f>+IF(ISERROR(MATCH(WORKORDER[[#This Row],[TRAVELER]],Table1[TRAVELER],0)),L1642,'PACKING SLIP'!$F$5)</f>
        <v>30098</v>
      </c>
    </row>
    <row r="1643">
      <c r="A1643">
        <v>717678</v>
      </c>
      <c r="B1643" t="str">
        <v>06104388AA</v>
      </c>
      <c r="C1643">
        <v>462</v>
      </c>
      <c r="E1643">
        <v>836</v>
      </c>
      <c r="F1643">
        <v>20242</v>
      </c>
      <c r="G1643">
        <v>193827</v>
      </c>
      <c r="H1643" s="1">
        <v>46273</v>
      </c>
      <c r="I1643" t="str">
        <v>TRAVELERRECEIVED</v>
      </c>
      <c r="K1643">
        <f>IF(ISERROR(MATCH(WORKORDER[[#This Row],[TRAVELER]],Table1[TRAVELER],0)),K1643,"Shipped")</f>
        <v>0</v>
      </c>
      <c r="L1643">
        <f>+IF(ISERROR(MATCH(WORKORDER[[#This Row],[TRAVELER]],Table1[TRAVELER],0)),L1643,'PACKING SLIP'!$F$5)</f>
        <v>0</v>
      </c>
    </row>
    <row r="1644">
      <c r="A1644">
        <v>717707</v>
      </c>
      <c r="B1644">
        <v>40161567</v>
      </c>
      <c r="C1644">
        <v>301</v>
      </c>
      <c r="E1644">
        <v>772</v>
      </c>
      <c r="F1644">
        <v>4795</v>
      </c>
      <c r="G1644">
        <v>193827</v>
      </c>
      <c r="H1644" s="1">
        <v>46273</v>
      </c>
      <c r="I1644" t="str">
        <v>TRAVELERRECEIVED</v>
      </c>
      <c r="K1644" t="str">
        <f>IF(ISERROR(MATCH(WORKORDER[[#This Row],[TRAVELER]],Table1[TRAVELER],0)),K1644,"Shipped")</f>
        <v>Shipped</v>
      </c>
      <c r="L1644">
        <f>+IF(ISERROR(MATCH(WORKORDER[[#This Row],[TRAVELER]],Table1[TRAVELER],0)),L1644,'PACKING SLIP'!$F$5)</f>
        <v>30098</v>
      </c>
    </row>
    <row r="1645">
      <c r="A1645">
        <v>717708</v>
      </c>
      <c r="B1645">
        <v>40161567</v>
      </c>
      <c r="C1645">
        <v>241</v>
      </c>
      <c r="E1645">
        <v>856</v>
      </c>
      <c r="F1645">
        <v>5317</v>
      </c>
      <c r="G1645">
        <v>193827</v>
      </c>
      <c r="H1645" s="1">
        <v>46273</v>
      </c>
      <c r="I1645" t="str">
        <v>TRAVELERRECEIVED</v>
      </c>
      <c r="K1645" t="str">
        <f>IF(ISERROR(MATCH(WORKORDER[[#This Row],[TRAVELER]],Table1[TRAVELER],0)),K1645,"Shipped")</f>
        <v>Shipped</v>
      </c>
      <c r="L1645">
        <f>+IF(ISERROR(MATCH(WORKORDER[[#This Row],[TRAVELER]],Table1[TRAVELER],0)),L1645,'PACKING SLIP'!$F$5)</f>
        <v>30098</v>
      </c>
    </row>
    <row r="1646">
      <c r="A1646">
        <v>717772</v>
      </c>
      <c r="B1646">
        <v>11546437</v>
      </c>
      <c r="C1646" t="str">
        <v>039</v>
      </c>
      <c r="E1646">
        <v>1123</v>
      </c>
      <c r="F1646">
        <v>86385</v>
      </c>
      <c r="G1646">
        <v>193827</v>
      </c>
      <c r="H1646" s="1">
        <v>46273</v>
      </c>
      <c r="I1646" t="str">
        <v>TRAVELERRECEIVED</v>
      </c>
      <c r="K1646">
        <f>IF(ISERROR(MATCH(WORKORDER[[#This Row],[TRAVELER]],Table1[TRAVELER],0)),K1646,"Shipped")</f>
        <v>0</v>
      </c>
      <c r="L1646">
        <f>+IF(ISERROR(MATCH(WORKORDER[[#This Row],[TRAVELER]],Table1[TRAVELER],0)),L1646,'PACKING SLIP'!$F$5)</f>
        <v>0</v>
      </c>
    </row>
    <row r="1647">
      <c r="A1647">
        <v>717773</v>
      </c>
      <c r="B1647">
        <v>11546437</v>
      </c>
      <c r="C1647">
        <v>1538</v>
      </c>
      <c r="E1647">
        <v>1097</v>
      </c>
      <c r="F1647">
        <v>84385</v>
      </c>
      <c r="G1647">
        <v>193827</v>
      </c>
      <c r="H1647" s="1">
        <v>46273</v>
      </c>
      <c r="I1647" t="str">
        <v>TRAVELERRECEIVED</v>
      </c>
      <c r="K1647">
        <f>IF(ISERROR(MATCH(WORKORDER[[#This Row],[TRAVELER]],Table1[TRAVELER],0)),K1647,"Shipped")</f>
        <v>0</v>
      </c>
      <c r="L1647">
        <f>+IF(ISERROR(MATCH(WORKORDER[[#This Row],[TRAVELER]],Table1[TRAVELER],0)),L1647,'PACKING SLIP'!$F$5)</f>
        <v>0</v>
      </c>
    </row>
    <row r="1648">
      <c r="A1648">
        <v>717780</v>
      </c>
      <c r="B1648">
        <v>11546437</v>
      </c>
      <c r="C1648">
        <v>175</v>
      </c>
      <c r="E1648">
        <v>1116</v>
      </c>
      <c r="F1648">
        <v>84846</v>
      </c>
      <c r="G1648">
        <v>193827</v>
      </c>
      <c r="H1648" s="1">
        <v>46273</v>
      </c>
      <c r="I1648" t="str">
        <v>TRAVELERRECEIVED</v>
      </c>
      <c r="K1648">
        <f>IF(ISERROR(MATCH(WORKORDER[[#This Row],[TRAVELER]],Table1[TRAVELER],0)),K1648,"Shipped")</f>
        <v>0</v>
      </c>
      <c r="L1648">
        <f>+IF(ISERROR(MATCH(WORKORDER[[#This Row],[TRAVELER]],Table1[TRAVELER],0)),L1648,'PACKING SLIP'!$F$5)</f>
        <v>0</v>
      </c>
    </row>
    <row r="1649">
      <c r="A1649">
        <v>717781</v>
      </c>
      <c r="B1649">
        <v>11546437</v>
      </c>
      <c r="C1649">
        <v>282</v>
      </c>
      <c r="E1649">
        <v>1088</v>
      </c>
      <c r="F1649">
        <v>83692</v>
      </c>
      <c r="G1649">
        <v>193827</v>
      </c>
      <c r="H1649" s="1">
        <v>46273</v>
      </c>
      <c r="I1649" t="str">
        <v>TRAVELERRECEIVED</v>
      </c>
      <c r="K1649">
        <f>IF(ISERROR(MATCH(WORKORDER[[#This Row],[TRAVELER]],Table1[TRAVELER],0)),K1649,"Shipped")</f>
        <v>0</v>
      </c>
      <c r="L1649">
        <f>+IF(ISERROR(MATCH(WORKORDER[[#This Row],[TRAVELER]],Table1[TRAVELER],0)),L1649,'PACKING SLIP'!$F$5)</f>
        <v>0</v>
      </c>
    </row>
    <row r="1650">
      <c r="A1650">
        <v>717786</v>
      </c>
      <c r="B1650" t="str">
        <v>06509967AA</v>
      </c>
      <c r="C1650" t="str">
        <v>KIB</v>
      </c>
      <c r="E1650">
        <v>1320</v>
      </c>
      <c r="F1650">
        <v>40000</v>
      </c>
      <c r="G1650">
        <v>193827</v>
      </c>
      <c r="H1650" s="1">
        <v>46273</v>
      </c>
      <c r="I1650" t="str">
        <v>TRAVELERRECEIVED</v>
      </c>
      <c r="K1650" t="str">
        <f>IF(ISERROR(MATCH(WORKORDER[[#This Row],[TRAVELER]],Table1[TRAVELER],0)),K1650,"Shipped")</f>
        <v>Shipped</v>
      </c>
      <c r="L1650">
        <f>+IF(ISERROR(MATCH(WORKORDER[[#This Row],[TRAVELER]],Table1[TRAVELER],0)),L1650,'PACKING SLIP'!$F$5)</f>
        <v>30098</v>
      </c>
    </row>
    <row r="1651">
      <c r="A1651">
        <v>717787</v>
      </c>
      <c r="B1651" t="str">
        <v>06509967AA</v>
      </c>
      <c r="C1651" t="str">
        <v>KIB</v>
      </c>
      <c r="E1651">
        <v>1320</v>
      </c>
      <c r="F1651">
        <v>40000</v>
      </c>
      <c r="G1651">
        <v>193827</v>
      </c>
      <c r="H1651" s="1">
        <v>46273</v>
      </c>
      <c r="I1651" t="str">
        <v>SPLIT FROM 717786</v>
      </c>
      <c r="K1651">
        <f>IF(ISERROR(MATCH(WORKORDER[[#This Row],[TRAVELER]],Table1[TRAVELER],0)),K1651,"Shipped")</f>
        <v>0</v>
      </c>
      <c r="L1651">
        <f>+IF(ISERROR(MATCH(WORKORDER[[#This Row],[TRAVELER]],Table1[TRAVELER],0)),L1651,'PACKING SLIP'!$F$5)</f>
        <v>0</v>
      </c>
    </row>
    <row r="1652">
      <c r="A1652">
        <v>717788</v>
      </c>
      <c r="B1652" t="str">
        <v>06509967AA</v>
      </c>
      <c r="C1652" t="str">
        <v>KIB</v>
      </c>
      <c r="E1652">
        <v>1320</v>
      </c>
      <c r="F1652">
        <v>40000</v>
      </c>
      <c r="G1652">
        <v>193827</v>
      </c>
      <c r="H1652" s="1">
        <v>46273</v>
      </c>
      <c r="I1652" t="str">
        <v>TRAVELERRECEIVED</v>
      </c>
      <c r="K1652" t="str">
        <f>IF(ISERROR(MATCH(WORKORDER[[#This Row],[TRAVELER]],Table1[TRAVELER],0)),K1652,"Shipped")</f>
        <v>Shipped</v>
      </c>
      <c r="L1652">
        <f>+IF(ISERROR(MATCH(WORKORDER[[#This Row],[TRAVELER]],Table1[TRAVELER],0)),L1652,'PACKING SLIP'!$F$5)</f>
        <v>30098</v>
      </c>
    </row>
    <row r="1653">
      <c r="A1653">
        <v>717789</v>
      </c>
      <c r="B1653" t="str">
        <v>06509967AA</v>
      </c>
      <c r="C1653" t="str">
        <v>KIB</v>
      </c>
      <c r="E1653">
        <v>1320</v>
      </c>
      <c r="F1653">
        <v>40000</v>
      </c>
      <c r="G1653">
        <v>193827</v>
      </c>
      <c r="H1653" s="1">
        <v>46273</v>
      </c>
      <c r="I1653" t="str">
        <v>SPLIT FROM TR717788</v>
      </c>
      <c r="K1653">
        <f>IF(ISERROR(MATCH(WORKORDER[[#This Row],[TRAVELER]],Table1[TRAVELER],0)),K1653,"Shipped")</f>
        <v>0</v>
      </c>
      <c r="L1653">
        <f>+IF(ISERROR(MATCH(WORKORDER[[#This Row],[TRAVELER]],Table1[TRAVELER],0)),L1653,'PACKING SLIP'!$F$5)</f>
        <v>0</v>
      </c>
    </row>
    <row r="1654">
      <c r="A1654">
        <v>717790</v>
      </c>
      <c r="B1654" t="str">
        <v>06509967AA</v>
      </c>
      <c r="C1654" t="str">
        <v>KIB</v>
      </c>
      <c r="E1654">
        <v>1320</v>
      </c>
      <c r="F1654">
        <v>40000</v>
      </c>
      <c r="G1654">
        <v>193827</v>
      </c>
      <c r="H1654" s="1">
        <v>46273</v>
      </c>
      <c r="I1654" t="str">
        <v>TRAVELERRECEIVED</v>
      </c>
      <c r="K1654" t="str">
        <f>IF(ISERROR(MATCH(WORKORDER[[#This Row],[TRAVELER]],Table1[TRAVELER],0)),K1654,"Shipped")</f>
        <v>Shipped</v>
      </c>
      <c r="L1654">
        <f>+IF(ISERROR(MATCH(WORKORDER[[#This Row],[TRAVELER]],Table1[TRAVELER],0)),L1654,'PACKING SLIP'!$F$5)</f>
        <v>30098</v>
      </c>
    </row>
    <row r="1655">
      <c r="A1655">
        <v>717791</v>
      </c>
      <c r="B1655" t="str">
        <v>06509967AA</v>
      </c>
      <c r="C1655" t="str">
        <v>KIB</v>
      </c>
      <c r="E1655">
        <v>1320</v>
      </c>
      <c r="F1655">
        <v>40000</v>
      </c>
      <c r="G1655">
        <v>193827</v>
      </c>
      <c r="H1655" s="1">
        <v>46273</v>
      </c>
      <c r="I1655" t="str">
        <v>SPLIT FROM TRAVER 717790</v>
      </c>
      <c r="K1655">
        <f>IF(ISERROR(MATCH(WORKORDER[[#This Row],[TRAVELER]],Table1[TRAVELER],0)),K1655,"Shipped")</f>
        <v>0</v>
      </c>
      <c r="L1655">
        <f>+IF(ISERROR(MATCH(WORKORDER[[#This Row],[TRAVELER]],Table1[TRAVELER],0)),L1655,'PACKING SLIP'!$F$5)</f>
        <v>0</v>
      </c>
    </row>
    <row r="1656">
      <c r="A1656">
        <v>717892</v>
      </c>
      <c r="B1656">
        <v>40161567</v>
      </c>
      <c r="C1656">
        <v>575</v>
      </c>
      <c r="E1656">
        <v>848</v>
      </c>
      <c r="F1656">
        <v>5267</v>
      </c>
      <c r="G1656">
        <v>193827</v>
      </c>
      <c r="H1656" s="1">
        <v>46273</v>
      </c>
      <c r="I1656" t="str">
        <v>TRAVELERRECEIVED</v>
      </c>
      <c r="K1656" t="str">
        <f>IF(ISERROR(MATCH(WORKORDER[[#This Row],[TRAVELER]],Table1[TRAVELER],0)),K1656,"Shipped")</f>
        <v>Shipped</v>
      </c>
      <c r="L1656">
        <f>+IF(ISERROR(MATCH(WORKORDER[[#This Row],[TRAVELER]],Table1[TRAVELER],0)),L1656,'PACKING SLIP'!$F$5)</f>
        <v>30098</v>
      </c>
    </row>
    <row r="1657">
      <c r="A1657">
        <v>717893</v>
      </c>
      <c r="B1657">
        <v>40161567</v>
      </c>
      <c r="C1657">
        <v>1409</v>
      </c>
      <c r="E1657">
        <v>774</v>
      </c>
      <c r="F1657">
        <v>4807</v>
      </c>
      <c r="G1657">
        <v>193827</v>
      </c>
      <c r="H1657" s="1">
        <v>46273</v>
      </c>
      <c r="I1657" t="str">
        <v>TRAVELERRECEIVED</v>
      </c>
      <c r="K1657" t="str">
        <f>IF(ISERROR(MATCH(WORKORDER[[#This Row],[TRAVELER]],Table1[TRAVELER],0)),K1657,"Shipped")</f>
        <v>Shipped</v>
      </c>
      <c r="L1657">
        <f>+IF(ISERROR(MATCH(WORKORDER[[#This Row],[TRAVELER]],Table1[TRAVELER],0)),L1657,'PACKING SLIP'!$F$5)</f>
        <v>30098</v>
      </c>
    </row>
    <row r="1658">
      <c r="A1658">
        <v>717894</v>
      </c>
      <c r="B1658">
        <v>40161567</v>
      </c>
      <c r="C1658">
        <v>1682</v>
      </c>
      <c r="E1658">
        <v>868</v>
      </c>
      <c r="F1658">
        <v>5391</v>
      </c>
      <c r="G1658">
        <v>193827</v>
      </c>
      <c r="H1658" s="1">
        <v>46273</v>
      </c>
      <c r="I1658" t="str">
        <v>TRAVELERRECEIVED</v>
      </c>
      <c r="K1658" t="str">
        <f>IF(ISERROR(MATCH(WORKORDER[[#This Row],[TRAVELER]],Table1[TRAVELER],0)),K1658,"Shipped")</f>
        <v>Shipped</v>
      </c>
      <c r="L1658">
        <f>+IF(ISERROR(MATCH(WORKORDER[[#This Row],[TRAVELER]],Table1[TRAVELER],0)),L1658,'PACKING SLIP'!$F$5)</f>
        <v>30098</v>
      </c>
    </row>
    <row r="1659">
      <c r="A1659">
        <v>717895</v>
      </c>
      <c r="B1659">
        <v>40161567</v>
      </c>
      <c r="C1659">
        <v>1061</v>
      </c>
      <c r="E1659">
        <v>722</v>
      </c>
      <c r="F1659">
        <v>4484</v>
      </c>
      <c r="G1659">
        <v>193827</v>
      </c>
      <c r="H1659" s="1">
        <v>46273</v>
      </c>
      <c r="I1659" t="str">
        <v>TRAVELERRECEIVED</v>
      </c>
      <c r="K1659" t="str">
        <f>IF(ISERROR(MATCH(WORKORDER[[#This Row],[TRAVELER]],Table1[TRAVELER],0)),K1659,"Shipped")</f>
        <v>Shipped</v>
      </c>
      <c r="L1659">
        <f>+IF(ISERROR(MATCH(WORKORDER[[#This Row],[TRAVELER]],Table1[TRAVELER],0)),L1659,'PACKING SLIP'!$F$5)</f>
        <v>30098</v>
      </c>
    </row>
    <row r="1660">
      <c r="A1660">
        <v>717896</v>
      </c>
      <c r="B1660">
        <v>40161567</v>
      </c>
      <c r="C1660">
        <v>439</v>
      </c>
      <c r="E1660">
        <v>782</v>
      </c>
      <c r="F1660">
        <v>4857</v>
      </c>
      <c r="G1660">
        <v>193827</v>
      </c>
      <c r="H1660" s="1">
        <v>46273</v>
      </c>
      <c r="I1660" t="str">
        <v>TRAVELERRECEIVED</v>
      </c>
      <c r="K1660" t="str">
        <f>IF(ISERROR(MATCH(WORKORDER[[#This Row],[TRAVELER]],Table1[TRAVELER],0)),K1660,"Shipped")</f>
        <v>Shipped</v>
      </c>
      <c r="L1660">
        <f>+IF(ISERROR(MATCH(WORKORDER[[#This Row],[TRAVELER]],Table1[TRAVELER],0)),L1660,'PACKING SLIP'!$F$5)</f>
        <v>0</v>
      </c>
    </row>
    <row r="1661">
      <c r="A1661">
        <v>717897</v>
      </c>
      <c r="B1661">
        <v>40161567</v>
      </c>
      <c r="C1661">
        <v>853</v>
      </c>
      <c r="E1661">
        <v>842</v>
      </c>
      <c r="F1661">
        <v>5230</v>
      </c>
      <c r="G1661">
        <v>193827</v>
      </c>
      <c r="H1661" s="1">
        <v>46273</v>
      </c>
      <c r="I1661" t="str">
        <v>TRAVELERRECEIVED</v>
      </c>
      <c r="K1661" t="str">
        <f>IF(ISERROR(MATCH(WORKORDER[[#This Row],[TRAVELER]],Table1[TRAVELER],0)),K1661,"Shipped")</f>
        <v>Shipped</v>
      </c>
      <c r="L1661">
        <f>+IF(ISERROR(MATCH(WORKORDER[[#This Row],[TRAVELER]],Table1[TRAVELER],0)),L1661,'PACKING SLIP'!$F$5)</f>
        <v>0</v>
      </c>
    </row>
    <row r="1662">
      <c r="A1662">
        <v>718511</v>
      </c>
      <c r="B1662" t="str">
        <v>06509967AA</v>
      </c>
      <c r="C1662" t="str">
        <v>KIB</v>
      </c>
      <c r="E1662">
        <v>1320</v>
      </c>
      <c r="F1662">
        <v>40000</v>
      </c>
      <c r="G1662">
        <v>193827</v>
      </c>
      <c r="H1662" s="1">
        <v>46273</v>
      </c>
      <c r="I1662" t="str">
        <v>TRAVELERRECEIVED</v>
      </c>
      <c r="K1662" t="str">
        <f>IF(ISERROR(MATCH(WORKORDER[[#This Row],[TRAVELER]],Table1[TRAVELER],0)),K1662,"Shipped")</f>
        <v>Shipped</v>
      </c>
      <c r="L1662">
        <f>+IF(ISERROR(MATCH(WORKORDER[[#This Row],[TRAVELER]],Table1[TRAVELER],0)),L1662,'PACKING SLIP'!$F$5)</f>
        <v>30098</v>
      </c>
    </row>
    <row r="1663">
      <c r="A1663">
        <v>718512</v>
      </c>
      <c r="B1663" t="str">
        <v>06509967AA</v>
      </c>
      <c r="C1663" t="str">
        <v>KIB</v>
      </c>
      <c r="E1663">
        <v>1320</v>
      </c>
      <c r="F1663">
        <v>40000</v>
      </c>
      <c r="G1663">
        <v>193827</v>
      </c>
      <c r="H1663" s="1">
        <v>46273</v>
      </c>
      <c r="I1663" t="str">
        <v>SPLIT FROM 718511</v>
      </c>
      <c r="K1663">
        <f>IF(ISERROR(MATCH(WORKORDER[[#This Row],[TRAVELER]],Table1[TRAVELER],0)),K1663,"Shipped")</f>
        <v>0</v>
      </c>
      <c r="L1663">
        <f>+IF(ISERROR(MATCH(WORKORDER[[#This Row],[TRAVELER]],Table1[TRAVELER],0)),L1663,'PACKING SLIP'!$F$5)</f>
        <v>0</v>
      </c>
    </row>
    <row r="1664">
      <c r="A1664">
        <v>718513</v>
      </c>
      <c r="B1664" t="str">
        <v>06509967AA</v>
      </c>
      <c r="C1664" t="str">
        <v>KIB</v>
      </c>
      <c r="E1664">
        <v>1320</v>
      </c>
      <c r="F1664">
        <v>40000</v>
      </c>
      <c r="G1664">
        <v>193827</v>
      </c>
      <c r="H1664" s="1">
        <v>46273</v>
      </c>
      <c r="I1664" t="str">
        <v>TRAVELERRECEIVED</v>
      </c>
      <c r="K1664" t="str">
        <f>IF(ISERROR(MATCH(WORKORDER[[#This Row],[TRAVELER]],Table1[TRAVELER],0)),K1664,"Shipped")</f>
        <v>Shipped</v>
      </c>
      <c r="L1664">
        <f>+IF(ISERROR(MATCH(WORKORDER[[#This Row],[TRAVELER]],Table1[TRAVELER],0)),L1664,'PACKING SLIP'!$F$5)</f>
        <v>0</v>
      </c>
    </row>
    <row r="1665">
      <c r="A1665">
        <v>718514</v>
      </c>
      <c r="B1665" t="str">
        <v>06509967AA</v>
      </c>
      <c r="C1665" t="str">
        <v>KIB</v>
      </c>
      <c r="E1665">
        <v>1320</v>
      </c>
      <c r="F1665">
        <v>40000</v>
      </c>
      <c r="G1665">
        <v>193827</v>
      </c>
      <c r="H1665" s="1">
        <v>46273</v>
      </c>
      <c r="I1665" t="str">
        <v>SPLIT FROM 718513</v>
      </c>
      <c r="K1665">
        <f>IF(ISERROR(MATCH(WORKORDER[[#This Row],[TRAVELER]],Table1[TRAVELER],0)),K1665,"Shipped")</f>
        <v>0</v>
      </c>
      <c r="L1665">
        <f>+IF(ISERROR(MATCH(WORKORDER[[#This Row],[TRAVELER]],Table1[TRAVELER],0)),L1665,'PACKING SLIP'!$F$5)</f>
        <v>0</v>
      </c>
    </row>
    <row r="1666">
      <c r="A1666">
        <v>718519</v>
      </c>
      <c r="B1666" t="str">
        <v>06509967AA</v>
      </c>
      <c r="C1666" t="str">
        <v>KIB</v>
      </c>
      <c r="E1666">
        <v>1320</v>
      </c>
      <c r="F1666">
        <v>40000</v>
      </c>
      <c r="G1666">
        <v>193827</v>
      </c>
      <c r="H1666" s="1">
        <v>46273</v>
      </c>
      <c r="I1666" t="str">
        <v>TRAVELERRECEIVED</v>
      </c>
      <c r="K1666" t="str">
        <f>IF(ISERROR(MATCH(WORKORDER[[#This Row],[TRAVELER]],Table1[TRAVELER],0)),K1666,"Shipped")</f>
        <v>Shipped</v>
      </c>
      <c r="L1666">
        <f>+IF(ISERROR(MATCH(WORKORDER[[#This Row],[TRAVELER]],Table1[TRAVELER],0)),L1666,'PACKING SLIP'!$F$5)</f>
        <v>30098</v>
      </c>
    </row>
    <row r="1667">
      <c r="A1667">
        <v>718520</v>
      </c>
      <c r="B1667" t="str">
        <v>06509967AA</v>
      </c>
      <c r="C1667" t="str">
        <v>KIB</v>
      </c>
      <c r="E1667">
        <v>1320</v>
      </c>
      <c r="F1667">
        <v>40000</v>
      </c>
      <c r="G1667">
        <v>193827</v>
      </c>
      <c r="H1667" s="1">
        <v>46273</v>
      </c>
      <c r="I1667" t="str">
        <v>SPLIT FROM TR718519</v>
      </c>
      <c r="K1667">
        <f>IF(ISERROR(MATCH(WORKORDER[[#This Row],[TRAVELER]],Table1[TRAVELER],0)),K1667,"Shipped")</f>
        <v>0</v>
      </c>
      <c r="L1667">
        <f>+IF(ISERROR(MATCH(WORKORDER[[#This Row],[TRAVELER]],Table1[TRAVELER],0)),L1667,'PACKING SLIP'!$F$5)</f>
        <v>0</v>
      </c>
    </row>
    <row r="1668">
      <c r="A1668">
        <v>714325</v>
      </c>
      <c r="B1668">
        <v>11546545</v>
      </c>
      <c r="C1668">
        <v>1444</v>
      </c>
      <c r="E1668">
        <v>1074</v>
      </c>
      <c r="F1668">
        <v>89500</v>
      </c>
      <c r="G1668" t="str">
        <v>193586</v>
      </c>
      <c r="H1668" s="1">
        <v>46263</v>
      </c>
      <c r="K1668">
        <f>IF(ISERROR(MATCH(WORKORDER[[#This Row],[TRAVELER]],Table1[TRAVELER],0)),K1668,"Shipped")</f>
        <v>0</v>
      </c>
      <c r="L1668">
        <f>+IF(ISERROR(MATCH(WORKORDER[[#This Row],[TRAVELER]],Table1[TRAVELER],0)),L1668,'PACKING SLIP'!$F$5)</f>
        <v>0</v>
      </c>
    </row>
    <row r="1669">
      <c r="A1669">
        <v>716827</v>
      </c>
      <c r="B1669" t="str">
        <v>W20-1028-012</v>
      </c>
      <c r="C1669">
        <v>899</v>
      </c>
      <c r="E1669">
        <v>1202</v>
      </c>
      <c r="F1669">
        <v>37918</v>
      </c>
      <c r="G1669" t="str">
        <v>193586</v>
      </c>
      <c r="H1669" s="1">
        <v>46263</v>
      </c>
      <c r="I1669" t="str">
        <v>TRAVELERRECEIVED</v>
      </c>
      <c r="K1669" t="str">
        <f>IF(ISERROR(MATCH(WORKORDER[[#This Row],[TRAVELER]],Table1[TRAVELER],0)),K1669,"Shipped")</f>
        <v>Shipped</v>
      </c>
      <c r="L1669">
        <f>+IF(ISERROR(MATCH(WORKORDER[[#This Row],[TRAVELER]],Table1[TRAVELER],0)),L1669,'PACKING SLIP'!$F$5)</f>
        <v>30069</v>
      </c>
    </row>
    <row r="1670">
      <c r="A1670">
        <v>716828</v>
      </c>
      <c r="B1670" t="str">
        <v>W20-1028-012</v>
      </c>
      <c r="C1670">
        <v>1720</v>
      </c>
      <c r="E1670">
        <v>983</v>
      </c>
      <c r="F1670">
        <v>31009</v>
      </c>
      <c r="G1670" t="str">
        <v>193586</v>
      </c>
      <c r="H1670" s="1">
        <v>46263</v>
      </c>
      <c r="I1670" t="str">
        <v>TRAVELERRECEIVED</v>
      </c>
      <c r="K1670" t="str">
        <f>IF(ISERROR(MATCH(WORKORDER[[#This Row],[TRAVELER]],Table1[TRAVELER],0)),K1670,"Shipped")</f>
        <v>Shipped</v>
      </c>
      <c r="L1670">
        <f>+IF(ISERROR(MATCH(WORKORDER[[#This Row],[TRAVELER]],Table1[TRAVELER],0)),L1670,'PACKING SLIP'!$F$5)</f>
        <v>30069</v>
      </c>
    </row>
    <row r="1671">
      <c r="A1671">
        <v>716829</v>
      </c>
      <c r="B1671" t="str">
        <v>W20-1028-012</v>
      </c>
      <c r="C1671">
        <v>618</v>
      </c>
      <c r="E1671">
        <v>1172</v>
      </c>
      <c r="F1671">
        <v>36972</v>
      </c>
      <c r="G1671" t="str">
        <v>193586</v>
      </c>
      <c r="H1671" s="1">
        <v>46263</v>
      </c>
      <c r="I1671" t="str">
        <v>TRAVELERRECEIVED</v>
      </c>
      <c r="K1671" t="str">
        <f>IF(ISERROR(MATCH(WORKORDER[[#This Row],[TRAVELER]],Table1[TRAVELER],0)),K1671,"Shipped")</f>
        <v>Shipped</v>
      </c>
      <c r="L1671">
        <f>+IF(ISERROR(MATCH(WORKORDER[[#This Row],[TRAVELER]],Table1[TRAVELER],0)),L1671,'PACKING SLIP'!$F$5)</f>
        <v>0</v>
      </c>
    </row>
    <row r="1672">
      <c r="A1672">
        <v>716830</v>
      </c>
      <c r="B1672" t="str">
        <v>W20-1028-012</v>
      </c>
      <c r="C1672">
        <v>1637</v>
      </c>
      <c r="E1672">
        <v>978</v>
      </c>
      <c r="F1672">
        <v>30852</v>
      </c>
      <c r="G1672" t="str">
        <v>193586</v>
      </c>
      <c r="H1672" s="1">
        <v>46263</v>
      </c>
      <c r="I1672" t="str">
        <v>TRAVELERRECEIVED</v>
      </c>
      <c r="K1672" t="str">
        <f>IF(ISERROR(MATCH(WORKORDER[[#This Row],[TRAVELER]],Table1[TRAVELER],0)),K1672,"Shipped")</f>
        <v>Shipped</v>
      </c>
      <c r="L1672">
        <f>+IF(ISERROR(MATCH(WORKORDER[[#This Row],[TRAVELER]],Table1[TRAVELER],0)),L1672,'PACKING SLIP'!$F$5)</f>
        <v>30085</v>
      </c>
    </row>
    <row r="1673">
      <c r="A1673">
        <v>717181</v>
      </c>
      <c r="B1673" t="str">
        <v>11549171-MY-AK</v>
      </c>
      <c r="C1673">
        <v>1010</v>
      </c>
      <c r="E1673">
        <v>1608</v>
      </c>
      <c r="F1673">
        <v>13979</v>
      </c>
      <c r="G1673" t="str">
        <v>193586</v>
      </c>
      <c r="H1673" s="1">
        <v>46263</v>
      </c>
      <c r="K1673" t="str">
        <f>IF(ISERROR(MATCH(WORKORDER[[#This Row],[TRAVELER]],Table1[TRAVELER],0)),K1673,"Shipped")</f>
        <v>Shipped</v>
      </c>
      <c r="L1673">
        <f>+IF(ISERROR(MATCH(WORKORDER[[#This Row],[TRAVELER]],Table1[TRAVELER],0)),L1673,'PACKING SLIP'!$F$5)</f>
        <v>30072</v>
      </c>
    </row>
    <row r="1674">
      <c r="A1674">
        <v>717182</v>
      </c>
      <c r="B1674" t="str">
        <v>11549171-MY-AK</v>
      </c>
      <c r="C1674">
        <v>375</v>
      </c>
      <c r="E1674">
        <v>1739</v>
      </c>
      <c r="F1674">
        <v>15124</v>
      </c>
      <c r="G1674" t="str">
        <v>193586</v>
      </c>
      <c r="H1674" s="1">
        <v>46263</v>
      </c>
      <c r="K1674">
        <f>IF(ISERROR(MATCH(WORKORDER[[#This Row],[TRAVELER]],Table1[TRAVELER],0)),K1674,"Shipped")</f>
        <v>0</v>
      </c>
      <c r="L1674">
        <f>+IF(ISERROR(MATCH(WORKORDER[[#This Row],[TRAVELER]],Table1[TRAVELER],0)),L1674,'PACKING SLIP'!$F$5)</f>
        <v>0</v>
      </c>
    </row>
    <row r="1675">
      <c r="A1675">
        <v>717207</v>
      </c>
      <c r="B1675" t="str">
        <v>11549171-MY-AK</v>
      </c>
      <c r="C1675">
        <v>112</v>
      </c>
      <c r="E1675">
        <v>1096</v>
      </c>
      <c r="F1675">
        <v>9530</v>
      </c>
      <c r="G1675" t="str">
        <v>193586</v>
      </c>
      <c r="H1675" s="1">
        <v>46263</v>
      </c>
      <c r="I1675" t="str">
        <v>TRAVELERRECEIVED</v>
      </c>
      <c r="K1675" t="str">
        <f>IF(ISERROR(MATCH(WORKORDER[[#This Row],[TRAVELER]],Table1[TRAVELER],0)),K1675,"Shipped")</f>
        <v>Shipped</v>
      </c>
      <c r="L1675">
        <f>+IF(ISERROR(MATCH(WORKORDER[[#This Row],[TRAVELER]],Table1[TRAVELER],0)),L1675,'PACKING SLIP'!$F$5)</f>
        <v>30072</v>
      </c>
    </row>
    <row r="1676">
      <c r="A1676">
        <v>717208</v>
      </c>
      <c r="B1676" t="str">
        <v>11549171-MY-AK</v>
      </c>
      <c r="C1676">
        <v>1691</v>
      </c>
      <c r="E1676">
        <v>1121</v>
      </c>
      <c r="F1676">
        <v>9748</v>
      </c>
      <c r="G1676" t="str">
        <v>193586</v>
      </c>
      <c r="H1676" s="1">
        <v>46263</v>
      </c>
      <c r="I1676" t="str">
        <v>TRAVELERRECEIVED</v>
      </c>
      <c r="K1676" t="str">
        <f>IF(ISERROR(MATCH(WORKORDER[[#This Row],[TRAVELER]],Table1[TRAVELER],0)),K1676,"Shipped")</f>
        <v>Shipped</v>
      </c>
      <c r="L1676">
        <f>+IF(ISERROR(MATCH(WORKORDER[[#This Row],[TRAVELER]],Table1[TRAVELER],0)),L1676,'PACKING SLIP'!$F$5)</f>
        <v>30049</v>
      </c>
    </row>
    <row r="1677">
      <c r="A1677">
        <v>717209</v>
      </c>
      <c r="B1677" t="str">
        <v>11549171-MY-AK</v>
      </c>
      <c r="C1677">
        <v>815</v>
      </c>
      <c r="E1677">
        <v>1151</v>
      </c>
      <c r="F1677">
        <v>10009</v>
      </c>
      <c r="G1677" t="str">
        <v>193586</v>
      </c>
      <c r="H1677" s="1">
        <v>46263</v>
      </c>
      <c r="I1677" t="str">
        <v>TRAVELERRECEIVED</v>
      </c>
      <c r="K1677" t="str">
        <f>IF(ISERROR(MATCH(WORKORDER[[#This Row],[TRAVELER]],Table1[TRAVELER],0)),K1677,"Shipped")</f>
        <v>Shipped</v>
      </c>
      <c r="L1677">
        <f>+IF(ISERROR(MATCH(WORKORDER[[#This Row],[TRAVELER]],Table1[TRAVELER],0)),L1677,'PACKING SLIP'!$F$5)</f>
        <v>30069</v>
      </c>
    </row>
    <row r="1678">
      <c r="A1678">
        <v>717321</v>
      </c>
      <c r="B1678">
        <v>11546545</v>
      </c>
      <c r="C1678">
        <v>1832</v>
      </c>
      <c r="E1678">
        <v>1025</v>
      </c>
      <c r="F1678">
        <v>85417</v>
      </c>
      <c r="G1678" t="str">
        <v>193586</v>
      </c>
      <c r="H1678" s="1">
        <v>46263</v>
      </c>
      <c r="I1678" t="str">
        <v>TRAVELERRECEIVED</v>
      </c>
      <c r="K1678" t="str">
        <f>IF(ISERROR(MATCH(WORKORDER[[#This Row],[TRAVELER]],Table1[TRAVELER],0)),K1678,"Shipped")</f>
        <v>Shipped</v>
      </c>
      <c r="L1678">
        <f>+IF(ISERROR(MATCH(WORKORDER[[#This Row],[TRAVELER]],Table1[TRAVELER],0)),L1678,'PACKING SLIP'!$F$5)</f>
        <v>30057</v>
      </c>
    </row>
    <row r="1679">
      <c r="A1679">
        <v>717322</v>
      </c>
      <c r="B1679">
        <v>11546545</v>
      </c>
      <c r="C1679">
        <v>1026</v>
      </c>
      <c r="E1679">
        <v>949</v>
      </c>
      <c r="F1679">
        <v>79083</v>
      </c>
      <c r="G1679" t="str">
        <v>193586</v>
      </c>
      <c r="H1679" s="1">
        <v>46263</v>
      </c>
      <c r="I1679" t="str">
        <v>TRAVELERRECEIVED</v>
      </c>
      <c r="K1679" t="str">
        <f>IF(ISERROR(MATCH(WORKORDER[[#This Row],[TRAVELER]],Table1[TRAVELER],0)),K1679,"Shipped")</f>
        <v>Shipped</v>
      </c>
      <c r="L1679">
        <f>+IF(ISERROR(MATCH(WORKORDER[[#This Row],[TRAVELER]],Table1[TRAVELER],0)),L1679,'PACKING SLIP'!$F$5)</f>
        <v>30061</v>
      </c>
    </row>
    <row r="1680">
      <c r="A1680">
        <v>717323</v>
      </c>
      <c r="B1680">
        <v>11546545</v>
      </c>
      <c r="C1680">
        <v>405</v>
      </c>
      <c r="E1680">
        <v>1145</v>
      </c>
      <c r="F1680">
        <v>95417</v>
      </c>
      <c r="G1680" t="str">
        <v>193586</v>
      </c>
      <c r="H1680" s="1">
        <v>46263</v>
      </c>
      <c r="I1680" t="str">
        <v>TRAVELERRECEIVED</v>
      </c>
      <c r="K1680" t="str">
        <f>IF(ISERROR(MATCH(WORKORDER[[#This Row],[TRAVELER]],Table1[TRAVELER],0)),K1680,"Shipped")</f>
        <v>Shipped</v>
      </c>
      <c r="L1680">
        <f>+IF(ISERROR(MATCH(WORKORDER[[#This Row],[TRAVELER]],Table1[TRAVELER],0)),L1680,'PACKING SLIP'!$F$5)</f>
        <v>30061</v>
      </c>
    </row>
    <row r="1681">
      <c r="A1681">
        <v>717324</v>
      </c>
      <c r="B1681">
        <v>11546545</v>
      </c>
      <c r="C1681">
        <v>1824</v>
      </c>
      <c r="E1681">
        <v>1061</v>
      </c>
      <c r="F1681">
        <v>88417</v>
      </c>
      <c r="G1681" t="str">
        <v>193586</v>
      </c>
      <c r="H1681" s="1">
        <v>46263</v>
      </c>
      <c r="I1681" t="str">
        <v>TRAVELERRECEIVED</v>
      </c>
      <c r="K1681" t="str">
        <f>IF(ISERROR(MATCH(WORKORDER[[#This Row],[TRAVELER]],Table1[TRAVELER],0)),K1681,"Shipped")</f>
        <v>Shipped</v>
      </c>
      <c r="L1681">
        <f>+IF(ISERROR(MATCH(WORKORDER[[#This Row],[TRAVELER]],Table1[TRAVELER],0)),L1681,'PACKING SLIP'!$F$5)</f>
        <v>30092</v>
      </c>
    </row>
    <row r="1682">
      <c r="A1682">
        <v>717326</v>
      </c>
      <c r="B1682">
        <v>11546545</v>
      </c>
      <c r="C1682">
        <v>1809</v>
      </c>
      <c r="E1682">
        <v>1142</v>
      </c>
      <c r="F1682">
        <v>95167</v>
      </c>
      <c r="G1682" t="str">
        <v>193586</v>
      </c>
      <c r="H1682" s="1">
        <v>46263</v>
      </c>
      <c r="I1682" t="str">
        <v>TRAVELERRECEIVED</v>
      </c>
      <c r="K1682" t="str">
        <f>IF(ISERROR(MATCH(WORKORDER[[#This Row],[TRAVELER]],Table1[TRAVELER],0)),K1682,"Shipped")</f>
        <v>Shipped</v>
      </c>
      <c r="L1682">
        <f>+IF(ISERROR(MATCH(WORKORDER[[#This Row],[TRAVELER]],Table1[TRAVELER],0)),L1682,'PACKING SLIP'!$F$5)</f>
        <v>30057</v>
      </c>
    </row>
    <row r="1683">
      <c r="A1683">
        <v>717327</v>
      </c>
      <c r="B1683">
        <v>11546545</v>
      </c>
      <c r="C1683">
        <v>688</v>
      </c>
      <c r="E1683">
        <v>1022</v>
      </c>
      <c r="F1683">
        <v>85167</v>
      </c>
      <c r="G1683" t="str">
        <v>193586</v>
      </c>
      <c r="H1683" s="1">
        <v>46263</v>
      </c>
      <c r="I1683" t="str">
        <v>TRAVELERRECEIVED</v>
      </c>
      <c r="K1683" t="str">
        <f>IF(ISERROR(MATCH(WORKORDER[[#This Row],[TRAVELER]],Table1[TRAVELER],0)),K1683,"Shipped")</f>
        <v>Shipped</v>
      </c>
      <c r="L1683">
        <f>+IF(ISERROR(MATCH(WORKORDER[[#This Row],[TRAVELER]],Table1[TRAVELER],0)),L1683,'PACKING SLIP'!$F$5)</f>
        <v>30057</v>
      </c>
    </row>
    <row r="1684">
      <c r="A1684">
        <v>717328</v>
      </c>
      <c r="B1684">
        <v>11546545</v>
      </c>
      <c r="C1684">
        <v>465</v>
      </c>
      <c r="E1684">
        <v>1178</v>
      </c>
      <c r="F1684">
        <v>98167</v>
      </c>
      <c r="G1684" t="str">
        <v>193586</v>
      </c>
      <c r="H1684" s="1">
        <v>46263</v>
      </c>
      <c r="I1684" t="str">
        <v>TRAVELERRECEIVED</v>
      </c>
      <c r="K1684" t="str">
        <f>IF(ISERROR(MATCH(WORKORDER[[#This Row],[TRAVELER]],Table1[TRAVELER],0)),K1684,"Shipped")</f>
        <v>Shipped</v>
      </c>
      <c r="L1684">
        <f>+IF(ISERROR(MATCH(WORKORDER[[#This Row],[TRAVELER]],Table1[TRAVELER],0)),L1684,'PACKING SLIP'!$F$5)</f>
        <v>30057</v>
      </c>
    </row>
    <row r="1685">
      <c r="A1685">
        <v>717329</v>
      </c>
      <c r="B1685">
        <v>11546545</v>
      </c>
      <c r="C1685">
        <v>914</v>
      </c>
      <c r="E1685">
        <v>1005</v>
      </c>
      <c r="F1685">
        <v>83750</v>
      </c>
      <c r="G1685" t="str">
        <v>193586</v>
      </c>
      <c r="H1685" s="1">
        <v>46263</v>
      </c>
      <c r="I1685" t="str">
        <v>TRAVELERRECEIVED</v>
      </c>
      <c r="K1685" t="str">
        <f>IF(ISERROR(MATCH(WORKORDER[[#This Row],[TRAVELER]],Table1[TRAVELER],0)),K1685,"Shipped")</f>
        <v>Shipped</v>
      </c>
      <c r="L1685">
        <f>+IF(ISERROR(MATCH(WORKORDER[[#This Row],[TRAVELER]],Table1[TRAVELER],0)),L1685,'PACKING SLIP'!$F$5)</f>
        <v>30057</v>
      </c>
    </row>
    <row r="1686">
      <c r="A1686">
        <v>717330</v>
      </c>
      <c r="B1686">
        <v>11546545</v>
      </c>
      <c r="C1686">
        <v>317</v>
      </c>
      <c r="E1686">
        <v>1152</v>
      </c>
      <c r="F1686">
        <v>96000</v>
      </c>
      <c r="G1686" t="str">
        <v>193586</v>
      </c>
      <c r="H1686" s="1">
        <v>46263</v>
      </c>
      <c r="I1686" t="str">
        <v>TRAVELERRECEIVED</v>
      </c>
      <c r="K1686" t="str">
        <f>IF(ISERROR(MATCH(WORKORDER[[#This Row],[TRAVELER]],Table1[TRAVELER],0)),K1686,"Shipped")</f>
        <v>Shipped</v>
      </c>
      <c r="L1686">
        <f>+IF(ISERROR(MATCH(WORKORDER[[#This Row],[TRAVELER]],Table1[TRAVELER],0)),L1686,'PACKING SLIP'!$F$5)</f>
        <v>30067</v>
      </c>
    </row>
    <row r="1687">
      <c r="A1687">
        <v>717331</v>
      </c>
      <c r="B1687">
        <v>11546545</v>
      </c>
      <c r="C1687">
        <v>1588</v>
      </c>
      <c r="E1687">
        <v>1056</v>
      </c>
      <c r="F1687">
        <v>88000</v>
      </c>
      <c r="G1687" t="str">
        <v>193586</v>
      </c>
      <c r="H1687" s="1">
        <v>46263</v>
      </c>
      <c r="I1687" t="str">
        <v>TRAVELERRECEIVED</v>
      </c>
      <c r="K1687" t="str">
        <f>IF(ISERROR(MATCH(WORKORDER[[#This Row],[TRAVELER]],Table1[TRAVELER],0)),K1687,"Shipped")</f>
        <v>Shipped</v>
      </c>
      <c r="L1687">
        <f>+IF(ISERROR(MATCH(WORKORDER[[#This Row],[TRAVELER]],Table1[TRAVELER],0)),L1687,'PACKING SLIP'!$F$5)</f>
        <v>30057</v>
      </c>
    </row>
    <row r="1688">
      <c r="A1688">
        <v>717332</v>
      </c>
      <c r="B1688">
        <v>11546545</v>
      </c>
      <c r="C1688">
        <v>508</v>
      </c>
      <c r="E1688">
        <v>1128</v>
      </c>
      <c r="F1688">
        <v>94000</v>
      </c>
      <c r="G1688" t="str">
        <v>193586</v>
      </c>
      <c r="H1688" s="1">
        <v>46263</v>
      </c>
      <c r="I1688" t="str">
        <v>TRAVELERRECEIVED</v>
      </c>
      <c r="K1688" t="str">
        <f>IF(ISERROR(MATCH(WORKORDER[[#This Row],[TRAVELER]],Table1[TRAVELER],0)),K1688,"Shipped")</f>
        <v>Shipped</v>
      </c>
      <c r="L1688">
        <f>+IF(ISERROR(MATCH(WORKORDER[[#This Row],[TRAVELER]],Table1[TRAVELER],0)),L1688,'PACKING SLIP'!$F$5)</f>
        <v>30101</v>
      </c>
    </row>
    <row r="1689">
      <c r="A1689">
        <v>717449</v>
      </c>
      <c r="B1689" t="str">
        <v>06105049AA</v>
      </c>
      <c r="C1689" t="str">
        <v>KIB</v>
      </c>
      <c r="E1689">
        <v>1468</v>
      </c>
      <c r="F1689">
        <v>40000</v>
      </c>
      <c r="G1689" t="str">
        <v>193586</v>
      </c>
      <c r="H1689" s="1">
        <v>46263</v>
      </c>
      <c r="I1689" t="str">
        <v>TRAVELERRECEIVED</v>
      </c>
      <c r="K1689" t="str">
        <f>IF(ISERROR(MATCH(WORKORDER[[#This Row],[TRAVELER]],Table1[TRAVELER],0)),K1689,"Shipped")</f>
        <v>Shipped</v>
      </c>
      <c r="L1689">
        <f>+IF(ISERROR(MATCH(WORKORDER[[#This Row],[TRAVELER]],Table1[TRAVELER],0)),L1689,'PACKING SLIP'!$F$5)</f>
        <v>30057</v>
      </c>
    </row>
    <row r="1690">
      <c r="A1690">
        <v>717451</v>
      </c>
      <c r="B1690" t="str">
        <v>06509967AA</v>
      </c>
      <c r="C1690" t="str">
        <v>KIB</v>
      </c>
      <c r="E1690">
        <v>1320</v>
      </c>
      <c r="F1690">
        <v>40000</v>
      </c>
      <c r="G1690" t="str">
        <v>193586</v>
      </c>
      <c r="H1690" s="1">
        <v>46263</v>
      </c>
      <c r="I1690" t="str">
        <v>TRAVELERRECEIVED</v>
      </c>
      <c r="K1690" t="str">
        <f>IF(ISERROR(MATCH(WORKORDER[[#This Row],[TRAVELER]],Table1[TRAVELER],0)),K1690,"Shipped")</f>
        <v>Shipped</v>
      </c>
      <c r="L1690">
        <f>+IF(ISERROR(MATCH(WORKORDER[[#This Row],[TRAVELER]],Table1[TRAVELER],0)),L1690,'PACKING SLIP'!$F$5)</f>
        <v>30057</v>
      </c>
    </row>
    <row r="1691">
      <c r="A1691">
        <v>717452</v>
      </c>
      <c r="B1691" t="str">
        <v>06509967AA</v>
      </c>
      <c r="C1691" t="str">
        <v>KIB</v>
      </c>
      <c r="E1691">
        <v>1320</v>
      </c>
      <c r="F1691">
        <v>40000</v>
      </c>
      <c r="G1691" t="str">
        <v>193586</v>
      </c>
      <c r="H1691" s="1">
        <v>46263</v>
      </c>
      <c r="K1691" t="str">
        <f>IF(ISERROR(MATCH(WORKORDER[[#This Row],[TRAVELER]],Table1[TRAVELER],0)),K1691,"Shipped")</f>
        <v>Shipped</v>
      </c>
      <c r="L1691">
        <f>+IF(ISERROR(MATCH(WORKORDER[[#This Row],[TRAVELER]],Table1[TRAVELER],0)),L1691,'PACKING SLIP'!$F$5)</f>
        <v>30057</v>
      </c>
    </row>
    <row r="1692">
      <c r="A1692">
        <v>717461</v>
      </c>
      <c r="B1692" t="str">
        <v>06105102AA</v>
      </c>
      <c r="C1692" t="str">
        <v>KIB</v>
      </c>
      <c r="E1692">
        <v>1736</v>
      </c>
      <c r="F1692">
        <v>40000</v>
      </c>
      <c r="G1692" t="str">
        <v>193586</v>
      </c>
      <c r="H1692" s="1">
        <v>46263</v>
      </c>
      <c r="I1692" t="str">
        <v>TRAVELERRECEIVED</v>
      </c>
      <c r="K1692" t="str">
        <f>IF(ISERROR(MATCH(WORKORDER[[#This Row],[TRAVELER]],Table1[TRAVELER],0)),K1692,"Shipped")</f>
        <v>Shipped</v>
      </c>
      <c r="L1692">
        <f>+IF(ISERROR(MATCH(WORKORDER[[#This Row],[TRAVELER]],Table1[TRAVELER],0)),L1692,'PACKING SLIP'!$F$5)</f>
        <v>30069</v>
      </c>
    </row>
    <row r="1693">
      <c r="A1693">
        <v>717463</v>
      </c>
      <c r="B1693" t="str">
        <v>06105102AA</v>
      </c>
      <c r="C1693" t="str">
        <v>KIB</v>
      </c>
      <c r="E1693">
        <v>1736</v>
      </c>
      <c r="F1693">
        <v>40000</v>
      </c>
      <c r="G1693" t="str">
        <v>193586</v>
      </c>
      <c r="H1693" s="1">
        <v>46263</v>
      </c>
      <c r="I1693" t="str">
        <v>TRAVELERRECEIVED</v>
      </c>
      <c r="K1693">
        <f>IF(ISERROR(MATCH(WORKORDER[[#This Row],[TRAVELER]],Table1[TRAVELER],0)),K1693,"Shipped")</f>
        <v>0</v>
      </c>
      <c r="L1693">
        <f>+IF(ISERROR(MATCH(WORKORDER[[#This Row],[TRAVELER]],Table1[TRAVELER],0)),L1693,'PACKING SLIP'!$F$5)</f>
        <v>0</v>
      </c>
    </row>
    <row r="1694">
      <c r="A1694">
        <v>717464</v>
      </c>
      <c r="B1694" t="str">
        <v>06105102AA</v>
      </c>
      <c r="C1694" t="str">
        <v>KIB</v>
      </c>
      <c r="E1694">
        <v>1736</v>
      </c>
      <c r="F1694">
        <v>40000</v>
      </c>
      <c r="G1694" t="str">
        <v>193586</v>
      </c>
      <c r="H1694" s="1">
        <v>46263</v>
      </c>
      <c r="I1694" t="str">
        <v>TRAVELERRECEIVED</v>
      </c>
      <c r="K1694" t="str">
        <f>IF(ISERROR(MATCH(WORKORDER[[#This Row],[TRAVELER]],Table1[TRAVELER],0)),K1694,"Shipped")</f>
        <v>Shipped</v>
      </c>
      <c r="L1694">
        <f>+IF(ISERROR(MATCH(WORKORDER[[#This Row],[TRAVELER]],Table1[TRAVELER],0)),L1694,'PACKING SLIP'!$F$5)</f>
        <v>30057</v>
      </c>
    </row>
    <row r="1695">
      <c r="A1695">
        <v>717465</v>
      </c>
      <c r="B1695" t="str">
        <v>06105102AA</v>
      </c>
      <c r="C1695" t="str">
        <v>KIB</v>
      </c>
      <c r="E1695">
        <v>1736</v>
      </c>
      <c r="F1695">
        <v>40000</v>
      </c>
      <c r="G1695" t="str">
        <v>193586</v>
      </c>
      <c r="H1695" s="1">
        <v>46263</v>
      </c>
      <c r="I1695" t="str">
        <v>TRAVELERRECEIVED</v>
      </c>
      <c r="K1695" t="str">
        <f>IF(ISERROR(MATCH(WORKORDER[[#This Row],[TRAVELER]],Table1[TRAVELER],0)),K1695,"Shipped")</f>
        <v>Shipped</v>
      </c>
      <c r="L1695">
        <f>+IF(ISERROR(MATCH(WORKORDER[[#This Row],[TRAVELER]],Table1[TRAVELER],0)),L1695,'PACKING SLIP'!$F$5)</f>
        <v>30057</v>
      </c>
    </row>
    <row r="1696">
      <c r="A1696">
        <v>717466</v>
      </c>
      <c r="B1696" t="str">
        <v>06105102AA</v>
      </c>
      <c r="C1696" t="str">
        <v>KIB</v>
      </c>
      <c r="E1696">
        <v>1736</v>
      </c>
      <c r="F1696">
        <v>40000</v>
      </c>
      <c r="G1696" t="str">
        <v>193586</v>
      </c>
      <c r="H1696" s="1">
        <v>46263</v>
      </c>
      <c r="K1696" t="str">
        <f>IF(ISERROR(MATCH(WORKORDER[[#This Row],[TRAVELER]],Table1[TRAVELER],0)),K1696,"Shipped")</f>
        <v>Shipped</v>
      </c>
      <c r="L1696">
        <f>+IF(ISERROR(MATCH(WORKORDER[[#This Row],[TRAVELER]],Table1[TRAVELER],0)),L1696,'PACKING SLIP'!$F$5)</f>
        <v>30057</v>
      </c>
    </row>
    <row r="1697">
      <c r="A1697">
        <v>717467</v>
      </c>
      <c r="B1697" t="str">
        <v>06105102AA</v>
      </c>
      <c r="C1697" t="str">
        <v>KIB</v>
      </c>
      <c r="E1697">
        <v>1736</v>
      </c>
      <c r="F1697">
        <v>40000</v>
      </c>
      <c r="G1697" t="str">
        <v>193586</v>
      </c>
      <c r="H1697" s="1">
        <v>46263</v>
      </c>
      <c r="I1697" t="str">
        <v>TRAVELERRECEIVED</v>
      </c>
      <c r="K1697" t="str">
        <f>IF(ISERROR(MATCH(WORKORDER[[#This Row],[TRAVELER]],Table1[TRAVELER],0)),K1697,"Shipped")</f>
        <v>Shipped</v>
      </c>
      <c r="L1697">
        <f>+IF(ISERROR(MATCH(WORKORDER[[#This Row],[TRAVELER]],Table1[TRAVELER],0)),L1697,'PACKING SLIP'!$F$5)</f>
        <v>30061</v>
      </c>
    </row>
    <row r="1698">
      <c r="A1698">
        <v>717468</v>
      </c>
      <c r="B1698" t="str">
        <v>06105102AA</v>
      </c>
      <c r="C1698" t="str">
        <v>KIB</v>
      </c>
      <c r="E1698">
        <v>1736</v>
      </c>
      <c r="F1698">
        <v>40000</v>
      </c>
      <c r="G1698" t="str">
        <v>193586</v>
      </c>
      <c r="H1698" s="1">
        <v>46263</v>
      </c>
      <c r="I1698" t="str">
        <v>SPLIT FROM TR#717467</v>
      </c>
      <c r="K1698" t="str">
        <f>IF(ISERROR(MATCH(WORKORDER[[#This Row],[TRAVELER]],Table1[TRAVELER],0)),K1698,"Shipped")</f>
        <v>Shipped</v>
      </c>
      <c r="L1698">
        <f>+IF(ISERROR(MATCH(WORKORDER[[#This Row],[TRAVELER]],Table1[TRAVELER],0)),L1698,'PACKING SLIP'!$F$5)</f>
        <v>30085</v>
      </c>
    </row>
    <row r="1699">
      <c r="A1699">
        <v>717469</v>
      </c>
      <c r="B1699" t="str">
        <v>06105102AA</v>
      </c>
      <c r="C1699" t="str">
        <v>KIB</v>
      </c>
      <c r="E1699">
        <v>1736</v>
      </c>
      <c r="F1699">
        <v>40000</v>
      </c>
      <c r="G1699" t="str">
        <v>193586</v>
      </c>
      <c r="H1699" s="1">
        <v>46263</v>
      </c>
      <c r="I1699" t="str">
        <v>TRAVELERRECEIVED</v>
      </c>
      <c r="K1699" t="str">
        <f>IF(ISERROR(MATCH(WORKORDER[[#This Row],[TRAVELER]],Table1[TRAVELER],0)),K1699,"Shipped")</f>
        <v>Shipped</v>
      </c>
      <c r="L1699">
        <f>+IF(ISERROR(MATCH(WORKORDER[[#This Row],[TRAVELER]],Table1[TRAVELER],0)),L1699,'PACKING SLIP'!$F$5)</f>
        <v>30057</v>
      </c>
    </row>
    <row r="1700">
      <c r="A1700">
        <v>710152</v>
      </c>
      <c r="B1700">
        <v>11612078</v>
      </c>
      <c r="C1700">
        <v>94</v>
      </c>
      <c r="E1700">
        <v>1056</v>
      </c>
      <c r="F1700">
        <v>60000</v>
      </c>
      <c r="G1700" t="str">
        <v>193751</v>
      </c>
      <c r="H1700" s="1">
        <v>46268</v>
      </c>
      <c r="I1700" t="str">
        <v>6-244-19-A</v>
      </c>
      <c r="K1700">
        <f>IF(ISERROR(MATCH(WORKORDER[[#This Row],[TRAVELER]],Table1[TRAVELER],0)),K1700,"Shipped")</f>
        <v>0</v>
      </c>
      <c r="L1700">
        <f>+IF(ISERROR(MATCH(WORKORDER[[#This Row],[TRAVELER]],Table1[TRAVELER],0)),L1700,'PACKING SLIP'!$F$5)</f>
        <v>0</v>
      </c>
    </row>
    <row r="1701">
      <c r="A1701">
        <v>710153</v>
      </c>
      <c r="B1701">
        <v>11612078</v>
      </c>
      <c r="C1701">
        <v>157</v>
      </c>
      <c r="E1701">
        <v>1056</v>
      </c>
      <c r="F1701">
        <v>60000</v>
      </c>
      <c r="G1701" t="str">
        <v>193751</v>
      </c>
      <c r="H1701" s="1">
        <v>46268</v>
      </c>
      <c r="I1701" t="str">
        <v>6-244-19-B</v>
      </c>
      <c r="K1701" t="str">
        <f>IF(ISERROR(MATCH(WORKORDER[[#This Row],[TRAVELER]],Table1[TRAVELER],0)),K1701,"Shipped")</f>
        <v>Shipped</v>
      </c>
      <c r="L1701">
        <f>+IF(ISERROR(MATCH(WORKORDER[[#This Row],[TRAVELER]],Table1[TRAVELER],0)),L1701,'PACKING SLIP'!$F$5)</f>
        <v>0</v>
      </c>
    </row>
    <row r="1702">
      <c r="A1702">
        <v>711387</v>
      </c>
      <c r="B1702" t="str">
        <v>P7241950-IN-PN</v>
      </c>
      <c r="C1702">
        <v>791</v>
      </c>
      <c r="E1702">
        <v>384</v>
      </c>
      <c r="F1702">
        <v>2494</v>
      </c>
      <c r="G1702" t="str">
        <v>193751</v>
      </c>
      <c r="H1702" s="1">
        <v>46268</v>
      </c>
      <c r="I1702" t="str">
        <v>6-243-14-B</v>
      </c>
      <c r="K1702" t="str">
        <f>IF(ISERROR(MATCH(WORKORDER[[#This Row],[TRAVELER]],Table1[TRAVELER],0)),K1702,"Shipped")</f>
        <v>Shipped</v>
      </c>
      <c r="L1702">
        <f>+IF(ISERROR(MATCH(WORKORDER[[#This Row],[TRAVELER]],Table1[TRAVELER],0)),L1702,'PACKING SLIP'!$F$5)</f>
        <v>30080</v>
      </c>
    </row>
    <row r="1703">
      <c r="A1703">
        <v>711388</v>
      </c>
      <c r="B1703" t="str">
        <v>P7241950-IN-PN</v>
      </c>
      <c r="C1703">
        <v>53</v>
      </c>
      <c r="E1703">
        <v>408</v>
      </c>
      <c r="F1703">
        <v>2649</v>
      </c>
      <c r="G1703" t="str">
        <v>193751</v>
      </c>
      <c r="H1703" s="1">
        <v>46268</v>
      </c>
      <c r="I1703" t="str">
        <v>6-243-14-C</v>
      </c>
      <c r="K1703" t="str">
        <f>IF(ISERROR(MATCH(WORKORDER[[#This Row],[TRAVELER]],Table1[TRAVELER],0)),K1703,"Shipped")</f>
        <v>Shipped</v>
      </c>
      <c r="L1703">
        <f>+IF(ISERROR(MATCH(WORKORDER[[#This Row],[TRAVELER]],Table1[TRAVELER],0)),L1703,'PACKING SLIP'!$F$5)</f>
        <v>30080</v>
      </c>
    </row>
    <row r="1704">
      <c r="A1704">
        <v>713791</v>
      </c>
      <c r="B1704" t="str">
        <v>NU3516-00</v>
      </c>
      <c r="C1704">
        <v>113</v>
      </c>
      <c r="E1704">
        <v>1337</v>
      </c>
      <c r="F1704">
        <v>14000</v>
      </c>
      <c r="G1704" t="str">
        <v>193751</v>
      </c>
      <c r="H1704" s="1">
        <v>46268</v>
      </c>
      <c r="I1704" t="str">
        <v>6-239-14-B</v>
      </c>
      <c r="K1704">
        <f>IF(ISERROR(MATCH(WORKORDER[[#This Row],[TRAVELER]],Table1[TRAVELER],0)),K1704,"Shipped")</f>
        <v>0</v>
      </c>
      <c r="L1704">
        <f>+IF(ISERROR(MATCH(WORKORDER[[#This Row],[TRAVELER]],Table1[TRAVELER],0)),L1704,'PACKING SLIP'!$F$5)</f>
        <v>0</v>
      </c>
    </row>
    <row r="1705">
      <c r="A1705">
        <v>714059</v>
      </c>
      <c r="B1705">
        <v>11612078</v>
      </c>
      <c r="C1705">
        <v>816</v>
      </c>
      <c r="E1705">
        <v>1232</v>
      </c>
      <c r="F1705">
        <v>70000</v>
      </c>
      <c r="G1705" t="str">
        <v>193751</v>
      </c>
      <c r="H1705" s="1">
        <v>46268</v>
      </c>
      <c r="I1705" t="str">
        <v>BIN TO BIN</v>
      </c>
      <c r="K1705">
        <f>IF(ISERROR(MATCH(WORKORDER[[#This Row],[TRAVELER]],Table1[TRAVELER],0)),K1705,"Shipped")</f>
        <v>0</v>
      </c>
      <c r="L1705">
        <f>+IF(ISERROR(MATCH(WORKORDER[[#This Row],[TRAVELER]],Table1[TRAVELER],0)),L1705,'PACKING SLIP'!$F$5)</f>
        <v>0</v>
      </c>
    </row>
    <row r="1706">
      <c r="A1706">
        <v>714061</v>
      </c>
      <c r="B1706">
        <v>11612078</v>
      </c>
      <c r="C1706">
        <v>751</v>
      </c>
      <c r="E1706">
        <v>1338</v>
      </c>
      <c r="F1706">
        <v>76000</v>
      </c>
      <c r="G1706" t="str">
        <v>193751</v>
      </c>
      <c r="H1706" s="1">
        <v>46268</v>
      </c>
      <c r="I1706" t="str">
        <v>6-244-19-D</v>
      </c>
      <c r="K1706">
        <f>IF(ISERROR(MATCH(WORKORDER[[#This Row],[TRAVELER]],Table1[TRAVELER],0)),K1706,"Shipped")</f>
        <v>0</v>
      </c>
      <c r="L1706">
        <f>+IF(ISERROR(MATCH(WORKORDER[[#This Row],[TRAVELER]],Table1[TRAVELER],0)),L1706,'PACKING SLIP'!$F$5)</f>
        <v>0</v>
      </c>
    </row>
    <row r="1707">
      <c r="A1707">
        <v>714259</v>
      </c>
      <c r="B1707" t="str">
        <v>W711468-S437</v>
      </c>
      <c r="C1707">
        <v>366</v>
      </c>
      <c r="E1707">
        <v>812</v>
      </c>
      <c r="F1707">
        <v>49936</v>
      </c>
      <c r="G1707" t="str">
        <v>193751</v>
      </c>
      <c r="H1707" s="1">
        <v>46268</v>
      </c>
      <c r="I1707" t="str">
        <v>6-243-34-A</v>
      </c>
      <c r="K1707" t="str">
        <f>IF(ISERROR(MATCH(WORKORDER[[#This Row],[TRAVELER]],Table1[TRAVELER],0)),K1707,"Shipped")</f>
        <v>Shipped</v>
      </c>
      <c r="L1707">
        <f>+IF(ISERROR(MATCH(WORKORDER[[#This Row],[TRAVELER]],Table1[TRAVELER],0)),L1707,'PACKING SLIP'!$F$5)</f>
        <v>0</v>
      </c>
    </row>
    <row r="1708">
      <c r="A1708">
        <v>715994</v>
      </c>
      <c r="B1708">
        <v>11611122</v>
      </c>
      <c r="C1708">
        <v>184</v>
      </c>
      <c r="E1708">
        <v>727</v>
      </c>
      <c r="F1708">
        <v>48467</v>
      </c>
      <c r="G1708" t="str">
        <v>193751</v>
      </c>
      <c r="H1708" s="1">
        <v>46268</v>
      </c>
      <c r="I1708" t="str">
        <v>6-243-49-A</v>
      </c>
      <c r="K1708" t="str">
        <f>IF(ISERROR(MATCH(WORKORDER[[#This Row],[TRAVELER]],Table1[TRAVELER],0)),K1708,"Shipped")</f>
        <v>Shipped</v>
      </c>
      <c r="L1708">
        <f>+IF(ISERROR(MATCH(WORKORDER[[#This Row],[TRAVELER]],Table1[TRAVELER],0)),L1708,'PACKING SLIP'!$F$5)</f>
        <v>30080</v>
      </c>
    </row>
    <row r="1709">
      <c r="A1709">
        <v>716174</v>
      </c>
      <c r="B1709" t="str">
        <v>11546774-MY-AK</v>
      </c>
      <c r="C1709">
        <v>694</v>
      </c>
      <c r="E1709">
        <v>937</v>
      </c>
      <c r="F1709">
        <v>12978</v>
      </c>
      <c r="G1709" t="str">
        <v>193751</v>
      </c>
      <c r="H1709" s="1">
        <v>46268</v>
      </c>
      <c r="I1709" t="str">
        <v>6-243-37-C</v>
      </c>
      <c r="K1709">
        <f>IF(ISERROR(MATCH(WORKORDER[[#This Row],[TRAVELER]],Table1[TRAVELER],0)),K1709,"Shipped")</f>
        <v>0</v>
      </c>
      <c r="L1709">
        <f>+IF(ISERROR(MATCH(WORKORDER[[#This Row],[TRAVELER]],Table1[TRAVELER],0)),L1709,'PACKING SLIP'!$F$5)</f>
        <v>0</v>
      </c>
    </row>
    <row r="1710">
      <c r="A1710">
        <v>717493</v>
      </c>
      <c r="B1710" t="str">
        <v>06513554AA</v>
      </c>
      <c r="C1710">
        <v>1684</v>
      </c>
      <c r="E1710">
        <v>967</v>
      </c>
      <c r="F1710">
        <v>12740</v>
      </c>
      <c r="G1710" t="str">
        <v>193751</v>
      </c>
      <c r="H1710" s="1">
        <v>46268</v>
      </c>
      <c r="I1710" t="str">
        <v>6-244-25-A</v>
      </c>
      <c r="K1710" t="str">
        <f>IF(ISERROR(MATCH(WORKORDER[[#This Row],[TRAVELER]],Table1[TRAVELER],0)),K1710,"Shipped")</f>
        <v>Shipped</v>
      </c>
      <c r="L1710">
        <f>+IF(ISERROR(MATCH(WORKORDER[[#This Row],[TRAVELER]],Table1[TRAVELER],0)),L1710,'PACKING SLIP'!$F$5)</f>
        <v>30080</v>
      </c>
    </row>
    <row r="1711">
      <c r="A1711">
        <v>717494</v>
      </c>
      <c r="B1711" t="str">
        <v>06513554AA</v>
      </c>
      <c r="C1711">
        <v>4</v>
      </c>
      <c r="E1711">
        <v>901</v>
      </c>
      <c r="F1711">
        <v>11871</v>
      </c>
      <c r="G1711" t="str">
        <v>193751</v>
      </c>
      <c r="H1711" s="1">
        <v>46268</v>
      </c>
      <c r="I1711" t="str">
        <v>6-244-25-B</v>
      </c>
      <c r="K1711" t="str">
        <f>IF(ISERROR(MATCH(WORKORDER[[#This Row],[TRAVELER]],Table1[TRAVELER],0)),K1711,"Shipped")</f>
        <v>Shipped</v>
      </c>
      <c r="L1711">
        <f>+IF(ISERROR(MATCH(WORKORDER[[#This Row],[TRAVELER]],Table1[TRAVELER],0)),L1711,'PACKING SLIP'!$F$5)</f>
        <v>30080</v>
      </c>
    </row>
    <row r="1712">
      <c r="A1712">
        <v>717527</v>
      </c>
      <c r="B1712" t="str">
        <v>06511637AA</v>
      </c>
      <c r="C1712">
        <v>769</v>
      </c>
      <c r="E1712">
        <v>1134</v>
      </c>
      <c r="F1712">
        <v>45726</v>
      </c>
      <c r="G1712" t="str">
        <v>193751</v>
      </c>
      <c r="H1712" s="1">
        <v>46268</v>
      </c>
      <c r="I1712" t="str">
        <v>6-244-26-A</v>
      </c>
      <c r="K1712" t="str">
        <f>IF(ISERROR(MATCH(WORKORDER[[#This Row],[TRAVELER]],Table1[TRAVELER],0)),K1712,"Shipped")</f>
        <v>Shipped</v>
      </c>
      <c r="L1712">
        <f>+IF(ISERROR(MATCH(WORKORDER[[#This Row],[TRAVELER]],Table1[TRAVELER],0)),L1712,'PACKING SLIP'!$F$5)</f>
        <v>30082</v>
      </c>
    </row>
    <row r="1713">
      <c r="A1713">
        <v>717529</v>
      </c>
      <c r="B1713" t="str">
        <v>06511637AA</v>
      </c>
      <c r="C1713">
        <v>969</v>
      </c>
      <c r="E1713">
        <v>1048</v>
      </c>
      <c r="F1713">
        <v>42258</v>
      </c>
      <c r="G1713" t="str">
        <v>193751</v>
      </c>
      <c r="H1713" s="1">
        <v>46268</v>
      </c>
      <c r="I1713" t="str">
        <v>6-244-24-A</v>
      </c>
      <c r="K1713" t="str">
        <f>IF(ISERROR(MATCH(WORKORDER[[#This Row],[TRAVELER]],Table1[TRAVELER],0)),K1713,"Shipped")</f>
        <v>Shipped</v>
      </c>
      <c r="L1713">
        <f>+IF(ISERROR(MATCH(WORKORDER[[#This Row],[TRAVELER]],Table1[TRAVELER],0)),L1713,'PACKING SLIP'!$F$5)</f>
        <v>30098</v>
      </c>
    </row>
    <row r="1714">
      <c r="A1714">
        <v>717530</v>
      </c>
      <c r="B1714" t="str">
        <v>06511637AA</v>
      </c>
      <c r="C1714">
        <v>1341</v>
      </c>
      <c r="E1714">
        <v>1006</v>
      </c>
      <c r="F1714">
        <v>40565</v>
      </c>
      <c r="G1714" t="str">
        <v>193751</v>
      </c>
      <c r="H1714" s="1">
        <v>46268</v>
      </c>
      <c r="I1714" t="str">
        <v>6-244-24-B</v>
      </c>
      <c r="K1714" t="str">
        <f>IF(ISERROR(MATCH(WORKORDER[[#This Row],[TRAVELER]],Table1[TRAVELER],0)),K1714,"Shipped")</f>
        <v>Shipped</v>
      </c>
      <c r="L1714">
        <f>+IF(ISERROR(MATCH(WORKORDER[[#This Row],[TRAVELER]],Table1[TRAVELER],0)),L1714,'PACKING SLIP'!$F$5)</f>
        <v>30080</v>
      </c>
    </row>
    <row r="1715">
      <c r="A1715">
        <v>717531</v>
      </c>
      <c r="B1715" t="str">
        <v>06511637AA</v>
      </c>
      <c r="C1715">
        <v>1577</v>
      </c>
      <c r="E1715">
        <v>1141</v>
      </c>
      <c r="F1715">
        <v>46008</v>
      </c>
      <c r="G1715" t="str">
        <v>193751</v>
      </c>
      <c r="H1715" s="1">
        <v>46268</v>
      </c>
      <c r="I1715" t="str">
        <v>6-244-24-C</v>
      </c>
      <c r="K1715" t="str">
        <f>IF(ISERROR(MATCH(WORKORDER[[#This Row],[TRAVELER]],Table1[TRAVELER],0)),K1715,"Shipped")</f>
        <v>Shipped</v>
      </c>
      <c r="L1715">
        <f>+IF(ISERROR(MATCH(WORKORDER[[#This Row],[TRAVELER]],Table1[TRAVELER],0)),L1715,'PACKING SLIP'!$F$5)</f>
        <v>30098</v>
      </c>
    </row>
    <row r="1716">
      <c r="A1716">
        <v>717532</v>
      </c>
      <c r="B1716" t="str">
        <v>06511637AA</v>
      </c>
      <c r="C1716">
        <v>38</v>
      </c>
      <c r="E1716">
        <v>926</v>
      </c>
      <c r="F1716">
        <v>37339</v>
      </c>
      <c r="G1716" t="str">
        <v>193751</v>
      </c>
      <c r="H1716" s="1">
        <v>46268</v>
      </c>
      <c r="I1716" t="str">
        <v>6-244-24-D</v>
      </c>
      <c r="K1716" t="str">
        <f>IF(ISERROR(MATCH(WORKORDER[[#This Row],[TRAVELER]],Table1[TRAVELER],0)),K1716,"Shipped")</f>
        <v>Shipped</v>
      </c>
      <c r="L1716">
        <f>+IF(ISERROR(MATCH(WORKORDER[[#This Row],[TRAVELER]],Table1[TRAVELER],0)),L1716,'PACKING SLIP'!$F$5)</f>
        <v>0</v>
      </c>
    </row>
    <row r="1717">
      <c r="A1717">
        <v>717537</v>
      </c>
      <c r="B1717" t="str">
        <v>W716298-S450</v>
      </c>
      <c r="C1717">
        <v>1778</v>
      </c>
      <c r="E1717">
        <v>962</v>
      </c>
      <c r="F1717">
        <v>126579</v>
      </c>
      <c r="G1717" t="str">
        <v>193751</v>
      </c>
      <c r="H1717" s="1">
        <v>46268</v>
      </c>
      <c r="I1717" t="str">
        <v>6-243-59-A</v>
      </c>
      <c r="K1717" t="str">
        <f>IF(ISERROR(MATCH(WORKORDER[[#This Row],[TRAVELER]],Table1[TRAVELER],0)),K1717,"Shipped")</f>
        <v>Shipped</v>
      </c>
      <c r="L1717">
        <f>+IF(ISERROR(MATCH(WORKORDER[[#This Row],[TRAVELER]],Table1[TRAVELER],0)),L1717,'PACKING SLIP'!$F$5)</f>
        <v>30082</v>
      </c>
    </row>
    <row r="1718">
      <c r="A1718">
        <v>717538</v>
      </c>
      <c r="B1718" t="str">
        <v>W716298-S450</v>
      </c>
      <c r="C1718">
        <v>628</v>
      </c>
      <c r="E1718">
        <v>1218</v>
      </c>
      <c r="F1718">
        <v>160263</v>
      </c>
      <c r="G1718" t="str">
        <v>193751</v>
      </c>
      <c r="H1718" s="1">
        <v>46268</v>
      </c>
      <c r="I1718" t="str">
        <v>6-243-59-B</v>
      </c>
      <c r="K1718" t="str">
        <f>IF(ISERROR(MATCH(WORKORDER[[#This Row],[TRAVELER]],Table1[TRAVELER],0)),K1718,"Shipped")</f>
        <v>Shipped</v>
      </c>
      <c r="L1718">
        <f>+IF(ISERROR(MATCH(WORKORDER[[#This Row],[TRAVELER]],Table1[TRAVELER],0)),L1718,'PACKING SLIP'!$F$5)</f>
        <v>0</v>
      </c>
    </row>
    <row r="1719">
      <c r="A1719">
        <v>717560</v>
      </c>
      <c r="B1719" t="str">
        <v>11610091-MY-AK</v>
      </c>
      <c r="C1719">
        <v>504</v>
      </c>
      <c r="E1719">
        <v>1124</v>
      </c>
      <c r="F1719">
        <v>72987</v>
      </c>
      <c r="G1719" t="str">
        <v>193751</v>
      </c>
      <c r="H1719" s="1">
        <v>46268</v>
      </c>
      <c r="I1719" t="str">
        <v>6-243-44-A</v>
      </c>
      <c r="K1719" t="str">
        <f>IF(ISERROR(MATCH(WORKORDER[[#This Row],[TRAVELER]],Table1[TRAVELER],0)),K1719,"Shipped")</f>
        <v>Shipped</v>
      </c>
      <c r="L1719">
        <f>+IF(ISERROR(MATCH(WORKORDER[[#This Row],[TRAVELER]],Table1[TRAVELER],0)),L1719,'PACKING SLIP'!$F$5)</f>
        <v>30092</v>
      </c>
    </row>
    <row r="1720">
      <c r="A1720">
        <v>718794</v>
      </c>
      <c r="B1720" t="str">
        <v>W705606-S440</v>
      </c>
      <c r="C1720" t="str">
        <v>KIB</v>
      </c>
      <c r="E1720">
        <v>1936</v>
      </c>
      <c r="F1720">
        <v>40000</v>
      </c>
      <c r="G1720" t="str">
        <v>193751</v>
      </c>
      <c r="H1720" s="1">
        <v>46268</v>
      </c>
      <c r="I1720" t="str">
        <v>6-246-19-A</v>
      </c>
      <c r="K1720" t="str">
        <f>IF(ISERROR(MATCH(WORKORDER[[#This Row],[TRAVELER]],Table1[TRAVELER],0)),K1720,"Shipped")</f>
        <v>Shipped</v>
      </c>
      <c r="L1720">
        <f>+IF(ISERROR(MATCH(WORKORDER[[#This Row],[TRAVELER]],Table1[TRAVELER],0)),L1720,'PACKING SLIP'!$F$5)</f>
        <v>30101</v>
      </c>
    </row>
    <row r="1721">
      <c r="A1721">
        <v>718796</v>
      </c>
      <c r="B1721" t="str">
        <v>K1046AB</v>
      </c>
      <c r="C1721" t="str">
        <v>KIB</v>
      </c>
      <c r="E1721">
        <v>1915</v>
      </c>
      <c r="F1721">
        <v>126000</v>
      </c>
      <c r="G1721" t="str">
        <v>193751</v>
      </c>
      <c r="H1721" s="1">
        <v>46268</v>
      </c>
      <c r="I1721" t="str">
        <v>6-246-17-A</v>
      </c>
      <c r="K1721" t="str">
        <f>IF(ISERROR(MATCH(WORKORDER[[#This Row],[TRAVELER]],Table1[TRAVELER],0)),K1721,"Shipped")</f>
        <v>Shipped</v>
      </c>
      <c r="L1721">
        <f>+IF(ISERROR(MATCH(WORKORDER[[#This Row],[TRAVELER]],Table1[TRAVELER],0)),L1721,'PACKING SLIP'!$F$5)</f>
        <v>0</v>
      </c>
    </row>
    <row r="1722">
      <c r="A1722">
        <v>718797</v>
      </c>
      <c r="B1722" t="str">
        <v>K1046AB</v>
      </c>
      <c r="C1722" t="str">
        <v>KIB</v>
      </c>
      <c r="E1722">
        <v>1915</v>
      </c>
      <c r="F1722">
        <v>126000</v>
      </c>
      <c r="G1722" t="str">
        <v>193751</v>
      </c>
      <c r="H1722" s="1">
        <v>46268</v>
      </c>
      <c r="I1722" t="str">
        <v>SPLIT FROM TR718796</v>
      </c>
      <c r="K1722" t="str">
        <f>IF(ISERROR(MATCH(WORKORDER[[#This Row],[TRAVELER]],Table1[TRAVELER],0)),K1722,"Shipped")</f>
        <v>Shipped</v>
      </c>
      <c r="L1722">
        <f>+IF(ISERROR(MATCH(WORKORDER[[#This Row],[TRAVELER]],Table1[TRAVELER],0)),L1722,'PACKING SLIP'!$F$5)</f>
        <v>0</v>
      </c>
    </row>
    <row r="1723">
      <c r="A1723">
        <v>718798</v>
      </c>
      <c r="B1723">
        <v>82250</v>
      </c>
      <c r="C1723" t="str">
        <v>KIB</v>
      </c>
      <c r="E1723">
        <v>2336</v>
      </c>
      <c r="F1723">
        <v>45000</v>
      </c>
      <c r="G1723" t="str">
        <v>193751</v>
      </c>
      <c r="H1723" s="1">
        <v>46268</v>
      </c>
      <c r="I1723" t="str">
        <v>6-246-20-A</v>
      </c>
      <c r="K1723" t="str">
        <f>IF(ISERROR(MATCH(WORKORDER[[#This Row],[TRAVELER]],Table1[TRAVELER],0)),K1723,"Shipped")</f>
        <v>Shipped</v>
      </c>
      <c r="L1723">
        <f>+IF(ISERROR(MATCH(WORKORDER[[#This Row],[TRAVELER]],Table1[TRAVELER],0)),L1723,'PACKING SLIP'!$F$5)</f>
        <v>0</v>
      </c>
    </row>
    <row r="1724">
      <c r="A1724">
        <v>718799</v>
      </c>
      <c r="B1724">
        <v>82250</v>
      </c>
      <c r="C1724" t="str">
        <v>KIB</v>
      </c>
      <c r="E1724">
        <v>2336</v>
      </c>
      <c r="F1724">
        <v>45000</v>
      </c>
      <c r="G1724" t="str">
        <v>193751</v>
      </c>
      <c r="H1724" s="1">
        <v>46268</v>
      </c>
      <c r="I1724" t="str">
        <v>SPLIT FROM TR718799</v>
      </c>
      <c r="K1724" t="str">
        <f>IF(ISERROR(MATCH(WORKORDER[[#This Row],[TRAVELER]],Table1[TRAVELER],0)),K1724,"Shipped")</f>
        <v>Shipped</v>
      </c>
      <c r="L1724">
        <f>+IF(ISERROR(MATCH(WORKORDER[[#This Row],[TRAVELER]],Table1[TRAVELER],0)),L1724,'PACKING SLIP'!$F$5)</f>
        <v>0</v>
      </c>
    </row>
    <row r="1725">
      <c r="A1725">
        <v>718800</v>
      </c>
      <c r="B1725" t="str">
        <v>SL2404-00</v>
      </c>
      <c r="C1725" t="str">
        <v>KIB</v>
      </c>
      <c r="E1725">
        <v>2130</v>
      </c>
      <c r="F1725">
        <v>6000</v>
      </c>
      <c r="G1725" t="str">
        <v>193751</v>
      </c>
      <c r="H1725" s="1">
        <v>46268</v>
      </c>
      <c r="I1725" t="str">
        <v>6-246-18-A</v>
      </c>
      <c r="K1725">
        <f>IF(ISERROR(MATCH(WORKORDER[[#This Row],[TRAVELER]],Table1[TRAVELER],0)),K1725,"Shipped")</f>
        <v>0</v>
      </c>
      <c r="L1725">
        <f>+IF(ISERROR(MATCH(WORKORDER[[#This Row],[TRAVELER]],Table1[TRAVELER],0)),L1725,'PACKING SLIP'!$F$5)</f>
        <v>0</v>
      </c>
    </row>
    <row r="1726">
      <c r="A1726">
        <v>718802</v>
      </c>
      <c r="B1726" t="str">
        <v>SL2404-00</v>
      </c>
      <c r="C1726" t="str">
        <v>KIB</v>
      </c>
      <c r="E1726">
        <v>2130</v>
      </c>
      <c r="F1726">
        <v>6000</v>
      </c>
      <c r="G1726" t="str">
        <v>193751</v>
      </c>
      <c r="H1726" s="1">
        <v>46268</v>
      </c>
      <c r="I1726" t="str">
        <v>6-246-18-C</v>
      </c>
      <c r="K1726">
        <f>IF(ISERROR(MATCH(WORKORDER[[#This Row],[TRAVELER]],Table1[TRAVELER],0)),K1726,"Shipped")</f>
        <v>0</v>
      </c>
      <c r="L1726">
        <f>+IF(ISERROR(MATCH(WORKORDER[[#This Row],[TRAVELER]],Table1[TRAVELER],0)),L1726,'PACKING SLIP'!$F$5)</f>
        <v>0</v>
      </c>
    </row>
    <row r="1727">
      <c r="A1727">
        <v>718804</v>
      </c>
      <c r="B1727" t="str">
        <v>SL2404-00</v>
      </c>
      <c r="C1727" t="str">
        <v>KIB</v>
      </c>
      <c r="E1727">
        <v>2130</v>
      </c>
      <c r="F1727">
        <v>6000</v>
      </c>
      <c r="G1727" t="str">
        <v>193751</v>
      </c>
      <c r="H1727" s="1">
        <v>46268</v>
      </c>
      <c r="I1727" t="str">
        <v>6-246-18-E</v>
      </c>
      <c r="K1727">
        <f>IF(ISERROR(MATCH(WORKORDER[[#This Row],[TRAVELER]],Table1[TRAVELER],0)),K1727,"Shipped")</f>
        <v>0</v>
      </c>
      <c r="L1727">
        <f>+IF(ISERROR(MATCH(WORKORDER[[#This Row],[TRAVELER]],Table1[TRAVELER],0)),L1727,'PACKING SLIP'!$F$5)</f>
        <v>0</v>
      </c>
    </row>
    <row r="1728">
      <c r="A1728">
        <v>718806</v>
      </c>
      <c r="B1728" t="str">
        <v>SL2404-00</v>
      </c>
      <c r="C1728" t="str">
        <v>KIB</v>
      </c>
      <c r="E1728">
        <v>2130</v>
      </c>
      <c r="F1728">
        <v>6000</v>
      </c>
      <c r="G1728" t="str">
        <v>193751</v>
      </c>
      <c r="H1728" s="1">
        <v>46268</v>
      </c>
      <c r="I1728" t="str">
        <v>6-246-18-G</v>
      </c>
      <c r="K1728">
        <f>IF(ISERROR(MATCH(WORKORDER[[#This Row],[TRAVELER]],Table1[TRAVELER],0)),K1728,"Shipped")</f>
        <v>0</v>
      </c>
      <c r="L1728">
        <f>+IF(ISERROR(MATCH(WORKORDER[[#This Row],[TRAVELER]],Table1[TRAVELER],0)),L1728,'PACKING SLIP'!$F$5)</f>
        <v>0</v>
      </c>
    </row>
    <row r="1729">
      <c r="A1729">
        <v>718808</v>
      </c>
      <c r="B1729" t="str">
        <v>SL2404-00</v>
      </c>
      <c r="C1729" t="str">
        <v>KIB</v>
      </c>
      <c r="E1729">
        <v>2130</v>
      </c>
      <c r="F1729">
        <v>6000</v>
      </c>
      <c r="G1729" t="str">
        <v>193751</v>
      </c>
      <c r="H1729" s="1">
        <v>46268</v>
      </c>
      <c r="I1729" t="str">
        <v>6-246-18-I</v>
      </c>
      <c r="K1729">
        <f>IF(ISERROR(MATCH(WORKORDER[[#This Row],[TRAVELER]],Table1[TRAVELER],0)),K1729,"Shipped")</f>
        <v>0</v>
      </c>
      <c r="L1729">
        <f>+IF(ISERROR(MATCH(WORKORDER[[#This Row],[TRAVELER]],Table1[TRAVELER],0)),L1729,'PACKING SLIP'!$F$5)</f>
        <v>0</v>
      </c>
    </row>
    <row r="1730">
      <c r="A1730">
        <v>716026</v>
      </c>
      <c r="B1730" t="str">
        <v>06509475AA</v>
      </c>
      <c r="C1730">
        <v>1370</v>
      </c>
      <c r="E1730">
        <v>1141</v>
      </c>
      <c r="F1730">
        <v>17367</v>
      </c>
      <c r="G1730">
        <v>193843</v>
      </c>
      <c r="H1730" s="1">
        <v>46273</v>
      </c>
      <c r="I1730" t="str">
        <v>6-245-22-A</v>
      </c>
      <c r="K1730" t="str">
        <f>IF(ISERROR(MATCH(WORKORDER[[#This Row],[TRAVELER]],Table1[TRAVELER],0)),K1730,"Shipped")</f>
        <v>Shipped</v>
      </c>
      <c r="L1730">
        <f>+IF(ISERROR(MATCH(WORKORDER[[#This Row],[TRAVELER]],Table1[TRAVELER],0)),L1730,'PACKING SLIP'!$F$5)</f>
        <v>30092</v>
      </c>
    </row>
    <row r="1731">
      <c r="A1731">
        <v>717671</v>
      </c>
      <c r="B1731" t="str">
        <v>11546370-IN-PN</v>
      </c>
      <c r="C1731">
        <v>236</v>
      </c>
      <c r="E1731">
        <v>1188</v>
      </c>
      <c r="F1731">
        <v>7973</v>
      </c>
      <c r="G1731">
        <v>193842</v>
      </c>
      <c r="H1731" s="1">
        <v>46273</v>
      </c>
      <c r="K1731">
        <f>IF(ISERROR(MATCH(WORKORDER[[#This Row],[TRAVELER]],Table1[TRAVELER],0)),K1731,"Shipped")</f>
        <v>0</v>
      </c>
      <c r="L1731">
        <f>+IF(ISERROR(MATCH(WORKORDER[[#This Row],[TRAVELER]],Table1[TRAVELER],0)),L1731,'PACKING SLIP'!$F$5)</f>
        <v>0</v>
      </c>
    </row>
    <row r="1732">
      <c r="A1732">
        <v>717768</v>
      </c>
      <c r="B1732" t="str">
        <v>11546437-MY</v>
      </c>
      <c r="C1732">
        <v>1440</v>
      </c>
      <c r="E1732">
        <v>1180</v>
      </c>
      <c r="F1732">
        <v>90769</v>
      </c>
      <c r="G1732">
        <v>193842</v>
      </c>
      <c r="H1732" s="1">
        <v>46273</v>
      </c>
      <c r="I1732" t="str">
        <v>TRAVELERRECEIVED</v>
      </c>
      <c r="K1732" t="str">
        <f>IF(ISERROR(MATCH(WORKORDER[[#This Row],[TRAVELER]],Table1[TRAVELER],0)),K1732,"Shipped")</f>
        <v>Shipped</v>
      </c>
      <c r="L1732">
        <f>+IF(ISERROR(MATCH(WORKORDER[[#This Row],[TRAVELER]],Table1[TRAVELER],0)),L1732,'PACKING SLIP'!$F$5)</f>
        <v>0</v>
      </c>
    </row>
    <row r="1733">
      <c r="A1733">
        <v>717769</v>
      </c>
      <c r="B1733" t="str">
        <v>11546437-MY-AK</v>
      </c>
      <c r="C1733">
        <v>569</v>
      </c>
      <c r="E1733">
        <v>1023</v>
      </c>
      <c r="F1733">
        <v>78692</v>
      </c>
      <c r="G1733">
        <v>193842</v>
      </c>
      <c r="H1733" s="1">
        <v>46273</v>
      </c>
      <c r="I1733" t="str">
        <v>TRAVELERRECEIVED</v>
      </c>
      <c r="K1733" t="str">
        <f>IF(ISERROR(MATCH(WORKORDER[[#This Row],[TRAVELER]],Table1[TRAVELER],0)),K1733,"Shipped")</f>
        <v>Shipped</v>
      </c>
      <c r="L1733">
        <f>+IF(ISERROR(MATCH(WORKORDER[[#This Row],[TRAVELER]],Table1[TRAVELER],0)),L1733,'PACKING SLIP'!$F$5)</f>
        <v>0</v>
      </c>
    </row>
    <row r="1734">
      <c r="A1734">
        <v>717770</v>
      </c>
      <c r="B1734" t="str">
        <v>11546437-MY</v>
      </c>
      <c r="C1734">
        <v>616</v>
      </c>
      <c r="E1734">
        <v>1164</v>
      </c>
      <c r="F1734">
        <v>89538</v>
      </c>
      <c r="G1734">
        <v>193842</v>
      </c>
      <c r="H1734" s="1">
        <v>46273</v>
      </c>
      <c r="I1734" t="str">
        <v>TRAVELERRECEIVED</v>
      </c>
      <c r="K1734">
        <f>IF(ISERROR(MATCH(WORKORDER[[#This Row],[TRAVELER]],Table1[TRAVELER],0)),K1734,"Shipped")</f>
        <v>0</v>
      </c>
      <c r="L1734">
        <f>+IF(ISERROR(MATCH(WORKORDER[[#This Row],[TRAVELER]],Table1[TRAVELER],0)),L1734,'PACKING SLIP'!$F$5)</f>
        <v>0</v>
      </c>
    </row>
    <row r="1735">
      <c r="A1735">
        <v>717771</v>
      </c>
      <c r="B1735" t="str">
        <v>11546437-MY</v>
      </c>
      <c r="C1735">
        <v>18</v>
      </c>
      <c r="E1735">
        <v>1058</v>
      </c>
      <c r="F1735">
        <v>81385</v>
      </c>
      <c r="G1735">
        <v>193842</v>
      </c>
      <c r="H1735" s="1">
        <v>46273</v>
      </c>
      <c r="I1735" t="str">
        <v>TRAVELERRECEIVED</v>
      </c>
      <c r="K1735">
        <f>IF(ISERROR(MATCH(WORKORDER[[#This Row],[TRAVELER]],Table1[TRAVELER],0)),K1735,"Shipped")</f>
        <v>0</v>
      </c>
      <c r="L1735">
        <f>+IF(ISERROR(MATCH(WORKORDER[[#This Row],[TRAVELER]],Table1[TRAVELER],0)),L1735,'PACKING SLIP'!$F$5)</f>
        <v>0</v>
      </c>
    </row>
    <row r="1736">
      <c r="A1736">
        <v>717796</v>
      </c>
      <c r="B1736" t="str">
        <v>06512349-AA</v>
      </c>
      <c r="C1736">
        <v>878</v>
      </c>
      <c r="E1736">
        <v>544</v>
      </c>
      <c r="F1736">
        <v>11193</v>
      </c>
      <c r="G1736">
        <v>193842</v>
      </c>
      <c r="H1736" s="1">
        <v>46273</v>
      </c>
      <c r="I1736" t="str">
        <v>TRAVELERRECEIVED</v>
      </c>
      <c r="K1736">
        <f>IF(ISERROR(MATCH(WORKORDER[[#This Row],[TRAVELER]],Table1[TRAVELER],0)),K1736,"Shipped")</f>
        <v>0</v>
      </c>
      <c r="L1736">
        <f>+IF(ISERROR(MATCH(WORKORDER[[#This Row],[TRAVELER]],Table1[TRAVELER],0)),L1736,'PACKING SLIP'!$F$5)</f>
        <v>0</v>
      </c>
    </row>
    <row r="1737">
      <c r="A1737">
        <v>717797</v>
      </c>
      <c r="B1737" t="str">
        <v>06512349-AA</v>
      </c>
      <c r="C1737">
        <v>19</v>
      </c>
      <c r="E1737">
        <v>422</v>
      </c>
      <c r="F1737">
        <v>8683</v>
      </c>
      <c r="G1737">
        <v>193842</v>
      </c>
      <c r="H1737" s="1">
        <v>46273</v>
      </c>
      <c r="I1737" t="str">
        <v>TRAVELERRECEIVED</v>
      </c>
      <c r="K1737">
        <f>IF(ISERROR(MATCH(WORKORDER[[#This Row],[TRAVELER]],Table1[TRAVELER],0)),K1737,"Shipped")</f>
        <v>0</v>
      </c>
      <c r="L1737">
        <f>+IF(ISERROR(MATCH(WORKORDER[[#This Row],[TRAVELER]],Table1[TRAVELER],0)),L1737,'PACKING SLIP'!$F$5)</f>
        <v>0</v>
      </c>
    </row>
    <row r="1738">
      <c r="A1738">
        <v>717816</v>
      </c>
      <c r="B1738" t="str">
        <v>11546370-IN-PN</v>
      </c>
      <c r="C1738">
        <v>1434</v>
      </c>
      <c r="E1738">
        <v>1178</v>
      </c>
      <c r="F1738">
        <v>7906</v>
      </c>
      <c r="G1738">
        <v>193842</v>
      </c>
      <c r="H1738" s="1">
        <v>46273</v>
      </c>
      <c r="K1738">
        <f>IF(ISERROR(MATCH(WORKORDER[[#This Row],[TRAVELER]],Table1[TRAVELER],0)),K1738,"Shipped")</f>
        <v>0</v>
      </c>
      <c r="L1738">
        <f>+IF(ISERROR(MATCH(WORKORDER[[#This Row],[TRAVELER]],Table1[TRAVELER],0)),L1738,'PACKING SLIP'!$F$5)</f>
        <v>0</v>
      </c>
    </row>
    <row r="1739">
      <c r="A1739">
        <v>7178018</v>
      </c>
      <c r="B1739" t="str">
        <v>11546370-IN-PN</v>
      </c>
      <c r="C1739">
        <v>221</v>
      </c>
      <c r="E1739">
        <v>1050</v>
      </c>
      <c r="F1739">
        <v>7047</v>
      </c>
      <c r="G1739">
        <v>193842</v>
      </c>
      <c r="H1739" s="1">
        <v>46273</v>
      </c>
      <c r="K1739">
        <f>IF(ISERROR(MATCH(WORKORDER[[#This Row],[TRAVELER]],Table1[TRAVELER],0)),K1739,"Shipped")</f>
        <v>0</v>
      </c>
      <c r="L1739">
        <f>+IF(ISERROR(MATCH(WORKORDER[[#This Row],[TRAVELER]],Table1[TRAVELER],0)),L1739,'PACKING SLIP'!$F$5)</f>
        <v>0</v>
      </c>
    </row>
    <row r="1740">
      <c r="A1740">
        <v>718007</v>
      </c>
      <c r="B1740" t="str">
        <v>11546437-MY-AK</v>
      </c>
      <c r="C1740">
        <v>166</v>
      </c>
      <c r="E1740">
        <v>1070</v>
      </c>
      <c r="F1740">
        <v>82308</v>
      </c>
      <c r="G1740">
        <v>193842</v>
      </c>
      <c r="H1740" s="1">
        <v>46273</v>
      </c>
      <c r="I1740" t="str">
        <v>TRAVELERRECEIVED</v>
      </c>
      <c r="K1740" t="str">
        <f>IF(ISERROR(MATCH(WORKORDER[[#This Row],[TRAVELER]],Table1[TRAVELER],0)),K1740,"Shipped")</f>
        <v>Shipped</v>
      </c>
      <c r="L1740">
        <f>+IF(ISERROR(MATCH(WORKORDER[[#This Row],[TRAVELER]],Table1[TRAVELER],0)),L1740,'PACKING SLIP'!$F$5)</f>
        <v>0</v>
      </c>
    </row>
    <row r="1741">
      <c r="A1741">
        <v>718008</v>
      </c>
      <c r="B1741" t="str">
        <v>11546437-MY-AK</v>
      </c>
      <c r="C1741">
        <v>598</v>
      </c>
      <c r="E1741">
        <v>1155</v>
      </c>
      <c r="F1741">
        <v>88468</v>
      </c>
      <c r="G1741">
        <v>193842</v>
      </c>
      <c r="H1741" s="1">
        <v>46273</v>
      </c>
      <c r="I1741" t="str">
        <v>TRAVELERRECEIVED</v>
      </c>
      <c r="K1741">
        <f>IF(ISERROR(MATCH(WORKORDER[[#This Row],[TRAVELER]],Table1[TRAVELER],0)),K1741,"Shipped")</f>
        <v>0</v>
      </c>
      <c r="L1741">
        <f>+IF(ISERROR(MATCH(WORKORDER[[#This Row],[TRAVELER]],Table1[TRAVELER],0)),L1741,'PACKING SLIP'!$F$5)</f>
        <v>0</v>
      </c>
    </row>
    <row r="1742">
      <c r="A1742">
        <v>718009</v>
      </c>
      <c r="B1742" t="str">
        <v>11546437-MY-AK</v>
      </c>
      <c r="C1742">
        <v>1568</v>
      </c>
      <c r="E1742">
        <v>1210</v>
      </c>
      <c r="F1742">
        <v>93077</v>
      </c>
      <c r="G1742">
        <v>193842</v>
      </c>
      <c r="H1742" s="1">
        <v>46273</v>
      </c>
      <c r="I1742" t="str">
        <v>TRAVELERRECEIVED</v>
      </c>
      <c r="K1742">
        <f>IF(ISERROR(MATCH(WORKORDER[[#This Row],[TRAVELER]],Table1[TRAVELER],0)),K1742,"Shipped")</f>
        <v>0</v>
      </c>
      <c r="L1742">
        <f>+IF(ISERROR(MATCH(WORKORDER[[#This Row],[TRAVELER]],Table1[TRAVELER],0)),L1742,'PACKING SLIP'!$F$5)</f>
        <v>0</v>
      </c>
    </row>
    <row r="1743">
      <c r="A1743">
        <v>718010</v>
      </c>
      <c r="B1743" t="str">
        <v>11546437-MY-AK</v>
      </c>
      <c r="C1743">
        <v>182</v>
      </c>
      <c r="E1743">
        <v>990</v>
      </c>
      <c r="F1743">
        <v>76154</v>
      </c>
      <c r="G1743">
        <v>193842</v>
      </c>
      <c r="H1743" s="1">
        <v>46273</v>
      </c>
      <c r="I1743" t="str">
        <v>TRAVELERRECEIVED</v>
      </c>
      <c r="K1743">
        <f>IF(ISERROR(MATCH(WORKORDER[[#This Row],[TRAVELER]],Table1[TRAVELER],0)),K1743,"Shipped")</f>
        <v>0</v>
      </c>
      <c r="L1743">
        <f>+IF(ISERROR(MATCH(WORKORDER[[#This Row],[TRAVELER]],Table1[TRAVELER],0)),L1743,'PACKING SLIP'!$F$5)</f>
        <v>0</v>
      </c>
    </row>
    <row r="1744">
      <c r="A1744">
        <v>718011</v>
      </c>
      <c r="B1744" t="str">
        <v>11546437-MY-AK</v>
      </c>
      <c r="C1744">
        <v>1812</v>
      </c>
      <c r="E1744">
        <v>1167</v>
      </c>
      <c r="F1744">
        <v>89769</v>
      </c>
      <c r="G1744">
        <v>193842</v>
      </c>
      <c r="H1744" s="1">
        <v>46273</v>
      </c>
      <c r="I1744" t="str">
        <v>TRAVELERRECEIVED</v>
      </c>
      <c r="K1744" t="str">
        <f>IF(ISERROR(MATCH(WORKORDER[[#This Row],[TRAVELER]],Table1[TRAVELER],0)),K1744,"Shipped")</f>
        <v>Shipped</v>
      </c>
      <c r="L1744">
        <f>+IF(ISERROR(MATCH(WORKORDER[[#This Row],[TRAVELER]],Table1[TRAVELER],0)),L1744,'PACKING SLIP'!$F$5)</f>
        <v>0</v>
      </c>
    </row>
    <row r="1745">
      <c r="A1745">
        <v>718012</v>
      </c>
      <c r="B1745" t="str">
        <v>11546437-MY-AK</v>
      </c>
      <c r="C1745">
        <v>16</v>
      </c>
      <c r="E1745">
        <v>1053</v>
      </c>
      <c r="F1745">
        <v>81000</v>
      </c>
      <c r="G1745">
        <v>193842</v>
      </c>
      <c r="H1745" s="1">
        <v>46273</v>
      </c>
      <c r="I1745" t="str">
        <v>TRAVELERRECEIVED</v>
      </c>
      <c r="K1745">
        <f>IF(ISERROR(MATCH(WORKORDER[[#This Row],[TRAVELER]],Table1[TRAVELER],0)),K1745,"Shipped")</f>
        <v>0</v>
      </c>
      <c r="L1745">
        <f>+IF(ISERROR(MATCH(WORKORDER[[#This Row],[TRAVELER]],Table1[TRAVELER],0)),L1745,'PACKING SLIP'!$F$5)</f>
        <v>0</v>
      </c>
    </row>
    <row r="1746">
      <c r="A1746">
        <v>718013</v>
      </c>
      <c r="B1746" t="str">
        <v>11546437-MY-AK</v>
      </c>
      <c r="C1746">
        <v>1585</v>
      </c>
      <c r="E1746">
        <v>1086</v>
      </c>
      <c r="F1746">
        <v>83538</v>
      </c>
      <c r="G1746">
        <v>193842</v>
      </c>
      <c r="H1746" s="1">
        <v>46273</v>
      </c>
      <c r="I1746" t="str">
        <v>TRAVELERRECEIVED</v>
      </c>
      <c r="K1746">
        <f>IF(ISERROR(MATCH(WORKORDER[[#This Row],[TRAVELER]],Table1[TRAVELER],0)),K1746,"Shipped")</f>
        <v>0</v>
      </c>
      <c r="L1746">
        <f>+IF(ISERROR(MATCH(WORKORDER[[#This Row],[TRAVELER]],Table1[TRAVELER],0)),L1746,'PACKING SLIP'!$F$5)</f>
        <v>0</v>
      </c>
    </row>
    <row r="1747">
      <c r="A1747">
        <v>718014</v>
      </c>
      <c r="B1747" t="str">
        <v>11546437-MY-AK</v>
      </c>
      <c r="C1747">
        <v>448</v>
      </c>
      <c r="E1747">
        <v>1129</v>
      </c>
      <c r="F1747">
        <v>86846</v>
      </c>
      <c r="G1747">
        <v>193842</v>
      </c>
      <c r="H1747" s="1">
        <v>46273</v>
      </c>
      <c r="I1747" t="str">
        <v>TRAVELERRECEIVED</v>
      </c>
      <c r="K1747">
        <f>IF(ISERROR(MATCH(WORKORDER[[#This Row],[TRAVELER]],Table1[TRAVELER],0)),K1747,"Shipped")</f>
        <v>0</v>
      </c>
      <c r="L1747">
        <f>+IF(ISERROR(MATCH(WORKORDER[[#This Row],[TRAVELER]],Table1[TRAVELER],0)),L1747,'PACKING SLIP'!$F$5)</f>
        <v>0</v>
      </c>
    </row>
    <row r="1748">
      <c r="A1748">
        <v>718015</v>
      </c>
      <c r="B1748" t="str">
        <v>11546437-MY-AK</v>
      </c>
      <c r="C1748">
        <v>941</v>
      </c>
      <c r="E1748">
        <v>1080</v>
      </c>
      <c r="F1748">
        <v>83077</v>
      </c>
      <c r="G1748">
        <v>193842</v>
      </c>
      <c r="H1748" s="1">
        <v>46273</v>
      </c>
      <c r="I1748" t="str">
        <v>TRAVELERRECEIVED</v>
      </c>
      <c r="K1748">
        <f>IF(ISERROR(MATCH(WORKORDER[[#This Row],[TRAVELER]],Table1[TRAVELER],0)),K1748,"Shipped")</f>
        <v>0</v>
      </c>
      <c r="L1748">
        <f>+IF(ISERROR(MATCH(WORKORDER[[#This Row],[TRAVELER]],Table1[TRAVELER],0)),L1748,'PACKING SLIP'!$F$5)</f>
        <v>0</v>
      </c>
    </row>
    <row r="1749">
      <c r="A1749">
        <v>718016</v>
      </c>
      <c r="B1749" t="str">
        <v>11546437-MY-AK</v>
      </c>
      <c r="C1749">
        <v>276</v>
      </c>
      <c r="E1749">
        <v>1107</v>
      </c>
      <c r="F1749">
        <v>85154</v>
      </c>
      <c r="G1749">
        <v>193842</v>
      </c>
      <c r="H1749" s="1">
        <v>46273</v>
      </c>
      <c r="I1749" t="str">
        <v>TRAVELERRECEIVED</v>
      </c>
      <c r="K1749">
        <f>IF(ISERROR(MATCH(WORKORDER[[#This Row],[TRAVELER]],Table1[TRAVELER],0)),K1749,"Shipped")</f>
        <v>0</v>
      </c>
      <c r="L1749">
        <f>+IF(ISERROR(MATCH(WORKORDER[[#This Row],[TRAVELER]],Table1[TRAVELER],0)),L1749,'PACKING SLIP'!$F$5)</f>
        <v>0</v>
      </c>
    </row>
    <row r="1750">
      <c r="A1750">
        <v>718017</v>
      </c>
      <c r="B1750" t="str">
        <v>11546437-MY-AK</v>
      </c>
      <c r="C1750">
        <v>831</v>
      </c>
      <c r="E1750">
        <v>1100</v>
      </c>
      <c r="F1750">
        <v>84615</v>
      </c>
      <c r="G1750">
        <v>193842</v>
      </c>
      <c r="H1750" s="1">
        <v>46273</v>
      </c>
      <c r="I1750" t="str">
        <v>TRAVELERRECEIVED</v>
      </c>
      <c r="K1750">
        <f>IF(ISERROR(MATCH(WORKORDER[[#This Row],[TRAVELER]],Table1[TRAVELER],0)),K1750,"Shipped")</f>
        <v>0</v>
      </c>
      <c r="L1750">
        <f>+IF(ISERROR(MATCH(WORKORDER[[#This Row],[TRAVELER]],Table1[TRAVELER],0)),L1750,'PACKING SLIP'!$F$5)</f>
        <v>0</v>
      </c>
    </row>
    <row r="1751">
      <c r="A1751">
        <v>718018</v>
      </c>
      <c r="B1751" t="str">
        <v>11546437-MY-AK</v>
      </c>
      <c r="C1751">
        <v>519</v>
      </c>
      <c r="E1751">
        <v>1093</v>
      </c>
      <c r="F1751">
        <v>84077</v>
      </c>
      <c r="G1751">
        <v>193842</v>
      </c>
      <c r="H1751" s="1">
        <v>46273</v>
      </c>
      <c r="I1751" t="str">
        <v>TRAVELERRECEIVED</v>
      </c>
      <c r="K1751">
        <f>IF(ISERROR(MATCH(WORKORDER[[#This Row],[TRAVELER]],Table1[TRAVELER],0)),K1751,"Shipped")</f>
        <v>0</v>
      </c>
      <c r="L1751">
        <f>+IF(ISERROR(MATCH(WORKORDER[[#This Row],[TRAVELER]],Table1[TRAVELER],0)),L1751,'PACKING SLIP'!$F$5)</f>
        <v>0</v>
      </c>
    </row>
    <row r="1752">
      <c r="A1752">
        <v>718037</v>
      </c>
      <c r="B1752">
        <v>11546389</v>
      </c>
      <c r="C1752">
        <v>54</v>
      </c>
      <c r="E1752">
        <v>930</v>
      </c>
      <c r="F1752">
        <v>120779</v>
      </c>
      <c r="G1752">
        <v>193842</v>
      </c>
      <c r="H1752" s="1">
        <v>46273</v>
      </c>
      <c r="I1752" t="str">
        <v>TRAVELERRECEIVED</v>
      </c>
      <c r="K1752">
        <f>IF(ISERROR(MATCH(WORKORDER[[#This Row],[TRAVELER]],Table1[TRAVELER],0)),K1752,"Shipped")</f>
        <v>0</v>
      </c>
      <c r="L1752">
        <f>+IF(ISERROR(MATCH(WORKORDER[[#This Row],[TRAVELER]],Table1[TRAVELER],0)),L1752,'PACKING SLIP'!$F$5)</f>
        <v>0</v>
      </c>
    </row>
    <row r="1753">
      <c r="A1753">
        <v>718038</v>
      </c>
      <c r="B1753">
        <v>11546389</v>
      </c>
      <c r="C1753">
        <v>291</v>
      </c>
      <c r="E1753">
        <v>924</v>
      </c>
      <c r="F1753">
        <v>120000</v>
      </c>
      <c r="G1753">
        <v>193842</v>
      </c>
      <c r="H1753" s="1">
        <v>46273</v>
      </c>
      <c r="I1753" t="str">
        <v>TRAVELERRECEIVED</v>
      </c>
      <c r="K1753">
        <f>IF(ISERROR(MATCH(WORKORDER[[#This Row],[TRAVELER]],Table1[TRAVELER],0)),K1753,"Shipped")</f>
        <v>0</v>
      </c>
      <c r="L1753">
        <f>+IF(ISERROR(MATCH(WORKORDER[[#This Row],[TRAVELER]],Table1[TRAVELER],0)),L1753,'PACKING SLIP'!$F$5)</f>
        <v>0</v>
      </c>
    </row>
    <row r="1754">
      <c r="A1754">
        <v>718039</v>
      </c>
      <c r="B1754">
        <v>11546389</v>
      </c>
      <c r="C1754">
        <v>693</v>
      </c>
      <c r="E1754">
        <v>1096</v>
      </c>
      <c r="F1754">
        <v>142338</v>
      </c>
      <c r="G1754">
        <v>193842</v>
      </c>
      <c r="H1754" s="1">
        <v>46273</v>
      </c>
      <c r="I1754" t="str">
        <v>TRAVELERRECEIVED</v>
      </c>
      <c r="K1754">
        <f>IF(ISERROR(MATCH(WORKORDER[[#This Row],[TRAVELER]],Table1[TRAVELER],0)),K1754,"Shipped")</f>
        <v>0</v>
      </c>
      <c r="L1754">
        <f>+IF(ISERROR(MATCH(WORKORDER[[#This Row],[TRAVELER]],Table1[TRAVELER],0)),L1754,'PACKING SLIP'!$F$5)</f>
        <v>0</v>
      </c>
    </row>
    <row r="1755">
      <c r="A1755">
        <v>718040</v>
      </c>
      <c r="B1755">
        <v>11546389</v>
      </c>
      <c r="C1755">
        <v>738</v>
      </c>
      <c r="E1755">
        <v>761</v>
      </c>
      <c r="F1755">
        <v>98831</v>
      </c>
      <c r="G1755">
        <v>193842</v>
      </c>
      <c r="H1755" s="1">
        <v>46273</v>
      </c>
      <c r="I1755" t="str">
        <v>TRAVELERRECEIVED</v>
      </c>
      <c r="K1755" t="str">
        <f>IF(ISERROR(MATCH(WORKORDER[[#This Row],[TRAVELER]],Table1[TRAVELER],0)),K1755,"Shipped")</f>
        <v>Shipped</v>
      </c>
      <c r="L1755">
        <f>+IF(ISERROR(MATCH(WORKORDER[[#This Row],[TRAVELER]],Table1[TRAVELER],0)),L1755,'PACKING SLIP'!$F$5)</f>
        <v>0</v>
      </c>
    </row>
    <row r="1756">
      <c r="A1756">
        <v>718155</v>
      </c>
      <c r="B1756" t="str">
        <v>06509967AA</v>
      </c>
      <c r="C1756" t="str">
        <v>KIB</v>
      </c>
      <c r="E1756">
        <v>1320</v>
      </c>
      <c r="F1756">
        <v>40000</v>
      </c>
      <c r="G1756">
        <v>193842</v>
      </c>
      <c r="H1756" s="1">
        <v>46273</v>
      </c>
      <c r="I1756" t="str">
        <v>TRAVELERRECEIVED</v>
      </c>
      <c r="K1756">
        <f>IF(ISERROR(MATCH(WORKORDER[[#This Row],[TRAVELER]],Table1[TRAVELER],0)),K1756,"Shipped")</f>
        <v>0</v>
      </c>
      <c r="L1756">
        <f>+IF(ISERROR(MATCH(WORKORDER[[#This Row],[TRAVELER]],Table1[TRAVELER],0)),L1756,'PACKING SLIP'!$F$5)</f>
        <v>0</v>
      </c>
    </row>
    <row r="1757">
      <c r="A1757">
        <v>718156</v>
      </c>
      <c r="B1757" t="str">
        <v>06509967AA</v>
      </c>
      <c r="C1757" t="str">
        <v>KIB</v>
      </c>
      <c r="E1757">
        <v>1320</v>
      </c>
      <c r="F1757">
        <v>40000</v>
      </c>
      <c r="G1757">
        <v>193842</v>
      </c>
      <c r="H1757" s="1">
        <v>46273</v>
      </c>
      <c r="I1757" t="str">
        <v>SPLIT FROM 718155</v>
      </c>
      <c r="K1757">
        <f>IF(ISERROR(MATCH(WORKORDER[[#This Row],[TRAVELER]],Table1[TRAVELER],0)),K1757,"Shipped")</f>
        <v>0</v>
      </c>
      <c r="L1757">
        <f>+IF(ISERROR(MATCH(WORKORDER[[#This Row],[TRAVELER]],Table1[TRAVELER],0)),L1757,'PACKING SLIP'!$F$5)</f>
        <v>0</v>
      </c>
    </row>
    <row r="1758">
      <c r="A1758">
        <v>718437</v>
      </c>
      <c r="B1758" t="str">
        <v>06104388AA</v>
      </c>
      <c r="C1758">
        <v>371</v>
      </c>
      <c r="E1758">
        <v>615</v>
      </c>
      <c r="F1758">
        <v>14891</v>
      </c>
      <c r="G1758">
        <v>193842</v>
      </c>
      <c r="H1758" s="1">
        <v>46273</v>
      </c>
      <c r="I1758" t="str">
        <v>TRAVELERRECEIVED</v>
      </c>
      <c r="K1758" t="str">
        <f>IF(ISERROR(MATCH(WORKORDER[[#This Row],[TRAVELER]],Table1[TRAVELER],0)),K1758,"Shipped")</f>
        <v>Shipped</v>
      </c>
      <c r="L1758">
        <f>+IF(ISERROR(MATCH(WORKORDER[[#This Row],[TRAVELER]],Table1[TRAVELER],0)),L1758,'PACKING SLIP'!$F$5)</f>
        <v>30101</v>
      </c>
    </row>
    <row r="1759">
      <c r="A1759">
        <v>718438</v>
      </c>
      <c r="B1759" t="str">
        <v>06104388AA</v>
      </c>
      <c r="C1759">
        <v>890</v>
      </c>
      <c r="E1759">
        <v>613</v>
      </c>
      <c r="F1759">
        <v>14843</v>
      </c>
      <c r="G1759">
        <v>193842</v>
      </c>
      <c r="H1759" s="1">
        <v>46273</v>
      </c>
      <c r="I1759" t="str">
        <v>TRAVELERRECEIVED</v>
      </c>
      <c r="K1759">
        <f>IF(ISERROR(MATCH(WORKORDER[[#This Row],[TRAVELER]],Table1[TRAVELER],0)),K1759,"Shipped")</f>
        <v>0</v>
      </c>
      <c r="L1759">
        <f>+IF(ISERROR(MATCH(WORKORDER[[#This Row],[TRAVELER]],Table1[TRAVELER],0)),L1759,'PACKING SLIP'!$F$5)</f>
        <v>0</v>
      </c>
    </row>
    <row r="1760">
      <c r="A1760">
        <v>718439</v>
      </c>
      <c r="B1760" t="str">
        <v>06104388AA</v>
      </c>
      <c r="C1760">
        <v>923</v>
      </c>
      <c r="E1760">
        <v>923</v>
      </c>
      <c r="F1760">
        <v>22349</v>
      </c>
      <c r="G1760">
        <v>193842</v>
      </c>
      <c r="H1760" s="1">
        <v>46273</v>
      </c>
      <c r="I1760" t="str">
        <v>TRAVELERRECEIVED</v>
      </c>
      <c r="K1760" t="str">
        <f>IF(ISERROR(MATCH(WORKORDER[[#This Row],[TRAVELER]],Table1[TRAVELER],0)),K1760,"Shipped")</f>
        <v>Shipped</v>
      </c>
      <c r="L1760">
        <f>+IF(ISERROR(MATCH(WORKORDER[[#This Row],[TRAVELER]],Table1[TRAVELER],0)),L1760,'PACKING SLIP'!$F$5)</f>
        <v>30098</v>
      </c>
    </row>
    <row r="1761">
      <c r="A1761">
        <v>718440</v>
      </c>
      <c r="B1761" t="str">
        <v>06104388AA</v>
      </c>
      <c r="C1761">
        <v>126</v>
      </c>
      <c r="E1761">
        <v>727</v>
      </c>
      <c r="F1761">
        <v>17603</v>
      </c>
      <c r="G1761">
        <v>193842</v>
      </c>
      <c r="H1761" s="1">
        <v>46273</v>
      </c>
      <c r="I1761" t="str">
        <v>TRAVELERRECEIVED</v>
      </c>
      <c r="K1761" t="str">
        <f>IF(ISERROR(MATCH(WORKORDER[[#This Row],[TRAVELER]],Table1[TRAVELER],0)),K1761,"Shipped")</f>
        <v>Shipped</v>
      </c>
      <c r="L1761">
        <f>+IF(ISERROR(MATCH(WORKORDER[[#This Row],[TRAVELER]],Table1[TRAVELER],0)),L1761,'PACKING SLIP'!$F$5)</f>
        <v>30098</v>
      </c>
    </row>
    <row r="1762">
      <c r="A1762">
        <v>718441</v>
      </c>
      <c r="B1762" t="str">
        <v>06513555AA</v>
      </c>
      <c r="C1762">
        <v>1397</v>
      </c>
      <c r="E1762">
        <v>656</v>
      </c>
      <c r="F1762">
        <v>9676</v>
      </c>
      <c r="G1762">
        <v>193842</v>
      </c>
      <c r="H1762" s="1">
        <v>46273</v>
      </c>
      <c r="I1762" t="str">
        <v>TRAVELERRECEIVED</v>
      </c>
      <c r="K1762">
        <f>IF(ISERROR(MATCH(WORKORDER[[#This Row],[TRAVELER]],Table1[TRAVELER],0)),K1762,"Shipped")</f>
        <v>0</v>
      </c>
      <c r="L1762">
        <f>+IF(ISERROR(MATCH(WORKORDER[[#This Row],[TRAVELER]],Table1[TRAVELER],0)),L1762,'PACKING SLIP'!$F$5)</f>
        <v>0</v>
      </c>
    </row>
    <row r="1763">
      <c r="A1763">
        <v>718442</v>
      </c>
      <c r="B1763" t="str">
        <v>06513555AA</v>
      </c>
      <c r="C1763">
        <v>587</v>
      </c>
      <c r="E1763">
        <v>685</v>
      </c>
      <c r="F1763">
        <v>10103</v>
      </c>
      <c r="G1763">
        <v>193842</v>
      </c>
      <c r="H1763" s="1">
        <v>46273</v>
      </c>
      <c r="I1763" t="str">
        <v>TRAVELERRECEIVED</v>
      </c>
      <c r="K1763">
        <f>IF(ISERROR(MATCH(WORKORDER[[#This Row],[TRAVELER]],Table1[TRAVELER],0)),K1763,"Shipped")</f>
        <v>0</v>
      </c>
      <c r="L1763">
        <f>+IF(ISERROR(MATCH(WORKORDER[[#This Row],[TRAVELER]],Table1[TRAVELER],0)),L1763,'PACKING SLIP'!$F$5)</f>
        <v>0</v>
      </c>
    </row>
    <row r="1764">
      <c r="A1764">
        <v>716958</v>
      </c>
      <c r="B1764" t="str">
        <v>11549168-CA-IN</v>
      </c>
      <c r="C1764">
        <v>1837</v>
      </c>
      <c r="E1764">
        <v>1367</v>
      </c>
      <c r="F1764">
        <v>51000</v>
      </c>
      <c r="G1764">
        <v>193853</v>
      </c>
      <c r="H1764" s="1">
        <v>46273</v>
      </c>
      <c r="K1764">
        <f>IF(ISERROR(MATCH(WORKORDER[[#This Row],[TRAVELER]],Table1[TRAVELER],0)),K1764,"Shipped")</f>
        <v>0</v>
      </c>
      <c r="L1764">
        <f>+IF(ISERROR(MATCH(WORKORDER[[#This Row],[TRAVELER]],Table1[TRAVELER],0)),L1764,'PACKING SLIP'!$F$5)</f>
        <v>0</v>
      </c>
    </row>
    <row r="1765">
      <c r="A1765">
        <v>717844</v>
      </c>
      <c r="B1765" t="str">
        <v>06504080-T</v>
      </c>
      <c r="C1765">
        <v>903</v>
      </c>
      <c r="E1765">
        <v>676</v>
      </c>
      <c r="F1765">
        <v>137959</v>
      </c>
      <c r="G1765">
        <v>193853</v>
      </c>
      <c r="H1765" s="1">
        <v>46273</v>
      </c>
      <c r="K1765" t="str">
        <f>IF(ISERROR(MATCH(WORKORDER[[#This Row],[TRAVELER]],Table1[TRAVELER],0)),K1765,"Shipped")</f>
        <v>Shipped</v>
      </c>
      <c r="L1765">
        <f>+IF(ISERROR(MATCH(WORKORDER[[#This Row],[TRAVELER]],Table1[TRAVELER],0)),L1765,'PACKING SLIP'!$F$5)</f>
        <v>0</v>
      </c>
    </row>
    <row r="1766">
      <c r="A1766">
        <v>717860</v>
      </c>
      <c r="B1766" t="str">
        <v>06504080-T</v>
      </c>
      <c r="C1766">
        <v>1784</v>
      </c>
      <c r="E1766">
        <v>1029</v>
      </c>
      <c r="F1766">
        <v>210000</v>
      </c>
      <c r="G1766">
        <v>193853</v>
      </c>
      <c r="H1766" s="1">
        <v>46273</v>
      </c>
      <c r="K1766">
        <f>IF(ISERROR(MATCH(WORKORDER[[#This Row],[TRAVELER]],Table1[TRAVELER],0)),K1766,"Shipped")</f>
        <v>0</v>
      </c>
      <c r="L1766">
        <f>+IF(ISERROR(MATCH(WORKORDER[[#This Row],[TRAVELER]],Table1[TRAVELER],0)),L1766,'PACKING SLIP'!$F$5)</f>
        <v>0</v>
      </c>
    </row>
    <row r="1767">
      <c r="A1767">
        <v>718059</v>
      </c>
      <c r="B1767">
        <v>11561645</v>
      </c>
      <c r="C1767">
        <v>1818</v>
      </c>
      <c r="E1767">
        <v>808</v>
      </c>
      <c r="F1767">
        <v>104935</v>
      </c>
      <c r="G1767">
        <v>193853</v>
      </c>
      <c r="H1767" s="1">
        <v>46273</v>
      </c>
      <c r="K1767">
        <f>IF(ISERROR(MATCH(WORKORDER[[#This Row],[TRAVELER]],Table1[TRAVELER],0)),K1767,"Shipped")</f>
        <v>0</v>
      </c>
      <c r="L1767">
        <f>+IF(ISERROR(MATCH(WORKORDER[[#This Row],[TRAVELER]],Table1[TRAVELER],0)),L1767,'PACKING SLIP'!$F$5)</f>
        <v>0</v>
      </c>
    </row>
    <row r="1768">
      <c r="A1768">
        <v>718060</v>
      </c>
      <c r="B1768">
        <v>11561645</v>
      </c>
      <c r="C1768">
        <v>1541</v>
      </c>
      <c r="E1768">
        <v>715</v>
      </c>
      <c r="F1768">
        <v>92857</v>
      </c>
      <c r="G1768">
        <v>193853</v>
      </c>
      <c r="H1768" s="1">
        <v>46273</v>
      </c>
      <c r="K1768">
        <f>IF(ISERROR(MATCH(WORKORDER[[#This Row],[TRAVELER]],Table1[TRAVELER],0)),K1768,"Shipped")</f>
        <v>0</v>
      </c>
      <c r="L1768">
        <f>+IF(ISERROR(MATCH(WORKORDER[[#This Row],[TRAVELER]],Table1[TRAVELER],0)),L1768,'PACKING SLIP'!$F$5)</f>
        <v>0</v>
      </c>
    </row>
    <row r="1769">
      <c r="A1769">
        <v>718067</v>
      </c>
      <c r="B1769" t="str">
        <v>1K2GZ0-00-A</v>
      </c>
      <c r="C1769">
        <v>200</v>
      </c>
      <c r="E1769">
        <v>666</v>
      </c>
      <c r="F1769">
        <v>104062</v>
      </c>
      <c r="G1769">
        <v>193853</v>
      </c>
      <c r="H1769" s="1">
        <v>46273</v>
      </c>
      <c r="K1769">
        <f>IF(ISERROR(MATCH(WORKORDER[[#This Row],[TRAVELER]],Table1[TRAVELER],0)),K1769,"Shipped")</f>
        <v>0</v>
      </c>
      <c r="L1769">
        <f>+IF(ISERROR(MATCH(WORKORDER[[#This Row],[TRAVELER]],Table1[TRAVELER],0)),L1769,'PACKING SLIP'!$F$5)</f>
        <v>0</v>
      </c>
    </row>
    <row r="1770">
      <c r="A1770">
        <v>718068</v>
      </c>
      <c r="B1770" t="str">
        <v>1K2GZ0-00-A</v>
      </c>
      <c r="C1770">
        <v>215</v>
      </c>
      <c r="E1770">
        <v>651</v>
      </c>
      <c r="F1770">
        <v>101719</v>
      </c>
      <c r="G1770">
        <v>193853</v>
      </c>
      <c r="H1770" s="1">
        <v>46273</v>
      </c>
      <c r="K1770">
        <f>IF(ISERROR(MATCH(WORKORDER[[#This Row],[TRAVELER]],Table1[TRAVELER],0)),K1770,"Shipped")</f>
        <v>0</v>
      </c>
      <c r="L1770">
        <f>+IF(ISERROR(MATCH(WORKORDER[[#This Row],[TRAVELER]],Table1[TRAVELER],0)),L1770,'PACKING SLIP'!$F$5)</f>
        <v>0</v>
      </c>
    </row>
    <row r="1771">
      <c r="A1771">
        <v>717544</v>
      </c>
      <c r="B1771" t="str">
        <v>11502717-TH-TC</v>
      </c>
      <c r="C1771">
        <v>614</v>
      </c>
      <c r="E1771">
        <v>1240</v>
      </c>
      <c r="F1771">
        <v>47510</v>
      </c>
      <c r="G1771">
        <v>193874</v>
      </c>
      <c r="H1771" s="1">
        <v>46274</v>
      </c>
      <c r="K1771" t="str">
        <f>IF(ISERROR(MATCH(WORKORDER[[#This Row],[TRAVELER]],Table1[TRAVELER],0)),K1771,"Shipped")</f>
        <v>Shipped</v>
      </c>
      <c r="L1771">
        <f>+IF(ISERROR(MATCH(WORKORDER[[#This Row],[TRAVELER]],Table1[TRAVELER],0)),L1771,'PACKING SLIP'!$F$5)</f>
        <v>0</v>
      </c>
    </row>
    <row r="1772">
      <c r="A1772">
        <v>717850</v>
      </c>
      <c r="B1772" t="str">
        <v>11611960-HT</v>
      </c>
      <c r="C1772">
        <v>290</v>
      </c>
      <c r="E1772">
        <v>712</v>
      </c>
      <c r="F1772">
        <v>148333</v>
      </c>
      <c r="G1772">
        <v>193874</v>
      </c>
      <c r="H1772" s="1">
        <v>46274</v>
      </c>
      <c r="K1772" t="str">
        <f>IF(ISERROR(MATCH(WORKORDER[[#This Row],[TRAVELER]],Table1[TRAVELER],0)),K1772,"Shipped")</f>
        <v>Shipped</v>
      </c>
      <c r="L1772">
        <f>+IF(ISERROR(MATCH(WORKORDER[[#This Row],[TRAVELER]],Table1[TRAVELER],0)),L1772,'PACKING SLIP'!$F$5)</f>
        <v>0</v>
      </c>
    </row>
    <row r="1773">
      <c r="A1773">
        <v>714250</v>
      </c>
      <c r="B1773" t="str">
        <v>HL3W-4320-AA-L</v>
      </c>
      <c r="C1773">
        <v>730</v>
      </c>
      <c r="E1773">
        <v>719</v>
      </c>
      <c r="F1773">
        <v>4712</v>
      </c>
      <c r="G1773">
        <v>193890</v>
      </c>
      <c r="H1773" s="1">
        <v>46274</v>
      </c>
      <c r="I1773" t="str">
        <v>6-252-16-A</v>
      </c>
      <c r="K1773">
        <f>IF(ISERROR(MATCH(WORKORDER[[#This Row],[TRAVELER]],Table1[TRAVELER],0)),K1773,"Shipped")</f>
        <v>0</v>
      </c>
      <c r="L1773">
        <f>+IF(ISERROR(MATCH(WORKORDER[[#This Row],[TRAVELER]],Table1[TRAVELER],0)),L1773,'PACKING SLIP'!$F$5)</f>
        <v>0</v>
      </c>
    </row>
    <row r="1774">
      <c r="A1774">
        <v>714254</v>
      </c>
      <c r="B1774" t="str">
        <v>HL3W-4320-AA-L</v>
      </c>
      <c r="C1774">
        <v>776</v>
      </c>
      <c r="E1774">
        <v>948</v>
      </c>
      <c r="F1774">
        <v>6212</v>
      </c>
      <c r="G1774">
        <v>193890</v>
      </c>
      <c r="H1774" s="1">
        <v>46274</v>
      </c>
      <c r="I1774" t="str">
        <v>6-252-17-A</v>
      </c>
      <c r="K1774">
        <f>IF(ISERROR(MATCH(WORKORDER[[#This Row],[TRAVELER]],Table1[TRAVELER],0)),K1774,"Shipped")</f>
        <v>0</v>
      </c>
      <c r="L1774">
        <f>+IF(ISERROR(MATCH(WORKORDER[[#This Row],[TRAVELER]],Table1[TRAVELER],0)),L1774,'PACKING SLIP'!$F$5)</f>
        <v>0</v>
      </c>
    </row>
    <row r="1775">
      <c r="A1775">
        <v>714255</v>
      </c>
      <c r="B1775" t="str">
        <v>HL3W-4320-AA-L</v>
      </c>
      <c r="C1775">
        <v>1573</v>
      </c>
      <c r="E1775">
        <v>887</v>
      </c>
      <c r="F1775">
        <v>5813</v>
      </c>
      <c r="G1775">
        <v>193890</v>
      </c>
      <c r="H1775" s="1">
        <v>46274</v>
      </c>
      <c r="I1775" t="str">
        <v>6-252-17-B</v>
      </c>
      <c r="K1775">
        <f>IF(ISERROR(MATCH(WORKORDER[[#This Row],[TRAVELER]],Table1[TRAVELER],0)),K1775,"Shipped")</f>
        <v>0</v>
      </c>
      <c r="L1775">
        <f>+IF(ISERROR(MATCH(WORKORDER[[#This Row],[TRAVELER]],Table1[TRAVELER],0)),L1775,'PACKING SLIP'!$F$5)</f>
        <v>0</v>
      </c>
    </row>
    <row r="1776">
      <c r="A1776">
        <v>714432</v>
      </c>
      <c r="B1776" t="str">
        <v>06511672AA</v>
      </c>
      <c r="C1776">
        <v>1100</v>
      </c>
      <c r="E1776">
        <v>1121</v>
      </c>
      <c r="F1776">
        <v>48319</v>
      </c>
      <c r="G1776">
        <v>193890</v>
      </c>
      <c r="H1776" s="1">
        <v>46274</v>
      </c>
      <c r="I1776" t="str">
        <v>6-252-25-A</v>
      </c>
      <c r="K1776">
        <f>IF(ISERROR(MATCH(WORKORDER[[#This Row],[TRAVELER]],Table1[TRAVELER],0)),K1776,"Shipped")</f>
        <v>0</v>
      </c>
      <c r="L1776">
        <f>+IF(ISERROR(MATCH(WORKORDER[[#This Row],[TRAVELER]],Table1[TRAVELER],0)),L1776,'PACKING SLIP'!$F$5)</f>
        <v>0</v>
      </c>
    </row>
    <row r="1777">
      <c r="A1777">
        <v>714433</v>
      </c>
      <c r="B1777" t="str">
        <v>06511672AA</v>
      </c>
      <c r="C1777">
        <v>196</v>
      </c>
      <c r="E1777">
        <v>976</v>
      </c>
      <c r="F1777">
        <v>42069</v>
      </c>
      <c r="G1777">
        <v>193890</v>
      </c>
      <c r="H1777" s="1">
        <v>46274</v>
      </c>
      <c r="I1777" t="str">
        <v>6-252-25-B</v>
      </c>
      <c r="K1777" t="str">
        <f>IF(ISERROR(MATCH(WORKORDER[[#This Row],[TRAVELER]],Table1[TRAVELER],0)),K1777,"Shipped")</f>
        <v>Shipped</v>
      </c>
      <c r="L1777">
        <f>+IF(ISERROR(MATCH(WORKORDER[[#This Row],[TRAVELER]],Table1[TRAVELER],0)),L1777,'PACKING SLIP'!$F$5)</f>
        <v>0</v>
      </c>
    </row>
    <row r="1778">
      <c r="A1778">
        <v>714522</v>
      </c>
      <c r="B1778" t="str">
        <v>06511672AA</v>
      </c>
      <c r="C1778">
        <v>1683</v>
      </c>
      <c r="E1778">
        <v>1082</v>
      </c>
      <c r="F1778">
        <v>46638</v>
      </c>
      <c r="G1778">
        <v>193890</v>
      </c>
      <c r="H1778" s="1">
        <v>46274</v>
      </c>
      <c r="I1778" t="str">
        <v>6-252-26-A</v>
      </c>
      <c r="K1778">
        <f>IF(ISERROR(MATCH(WORKORDER[[#This Row],[TRAVELER]],Table1[TRAVELER],0)),K1778,"Shipped")</f>
        <v>0</v>
      </c>
      <c r="L1778">
        <f>+IF(ISERROR(MATCH(WORKORDER[[#This Row],[TRAVELER]],Table1[TRAVELER],0)),L1778,'PACKING SLIP'!$F$5)</f>
        <v>0</v>
      </c>
    </row>
    <row r="1779">
      <c r="A1779">
        <v>714610</v>
      </c>
      <c r="B1779" t="str">
        <v>BL3W-4320-BA</v>
      </c>
      <c r="C1779">
        <v>707</v>
      </c>
      <c r="E1779">
        <v>700</v>
      </c>
      <c r="F1779">
        <v>4755</v>
      </c>
      <c r="G1779">
        <v>193890</v>
      </c>
      <c r="H1779" s="1">
        <v>46274</v>
      </c>
      <c r="I1779" t="str">
        <v>6-252-18-A</v>
      </c>
      <c r="K1779" t="str">
        <f>IF(ISERROR(MATCH(WORKORDER[[#This Row],[TRAVELER]],Table1[TRAVELER],0)),K1779,"Shipped")</f>
        <v>Shipped</v>
      </c>
      <c r="L1779">
        <f>+IF(ISERROR(MATCH(WORKORDER[[#This Row],[TRAVELER]],Table1[TRAVELER],0)),L1779,'PACKING SLIP'!$F$5)</f>
        <v>0</v>
      </c>
    </row>
    <row r="1780">
      <c r="A1780">
        <v>714611</v>
      </c>
      <c r="B1780" t="str">
        <v>BL3W-4320-BA-L</v>
      </c>
      <c r="C1780">
        <v>1079</v>
      </c>
      <c r="E1780">
        <v>683</v>
      </c>
      <c r="F1780">
        <v>4640</v>
      </c>
      <c r="G1780">
        <v>193890</v>
      </c>
      <c r="H1780" s="1">
        <v>46274</v>
      </c>
      <c r="I1780" t="str">
        <v>6-252-18-B</v>
      </c>
      <c r="K1780">
        <f>IF(ISERROR(MATCH(WORKORDER[[#This Row],[TRAVELER]],Table1[TRAVELER],0)),K1780,"Shipped")</f>
        <v>0</v>
      </c>
      <c r="L1780">
        <f>+IF(ISERROR(MATCH(WORKORDER[[#This Row],[TRAVELER]],Table1[TRAVELER],0)),L1780,'PACKING SLIP'!$F$5)</f>
        <v>0</v>
      </c>
    </row>
    <row r="1781">
      <c r="A1781">
        <v>715814</v>
      </c>
      <c r="B1781">
        <v>11546703</v>
      </c>
      <c r="C1781">
        <v>165</v>
      </c>
      <c r="E1781">
        <v>1091</v>
      </c>
      <c r="F1781">
        <v>134691</v>
      </c>
      <c r="G1781">
        <v>193890</v>
      </c>
      <c r="H1781" s="1">
        <v>46274</v>
      </c>
      <c r="I1781" t="str">
        <v>6-252-24-A</v>
      </c>
      <c r="K1781">
        <f>IF(ISERROR(MATCH(WORKORDER[[#This Row],[TRAVELER]],Table1[TRAVELER],0)),K1781,"Shipped")</f>
        <v>0</v>
      </c>
      <c r="L1781">
        <f>+IF(ISERROR(MATCH(WORKORDER[[#This Row],[TRAVELER]],Table1[TRAVELER],0)),L1781,'PACKING SLIP'!$F$5)</f>
        <v>0</v>
      </c>
    </row>
    <row r="1782">
      <c r="A1782">
        <v>715815</v>
      </c>
      <c r="B1782">
        <v>11546703</v>
      </c>
      <c r="C1782">
        <v>1644</v>
      </c>
      <c r="E1782">
        <v>922</v>
      </c>
      <c r="F1782">
        <v>113827</v>
      </c>
      <c r="G1782">
        <v>193890</v>
      </c>
      <c r="H1782" s="1">
        <v>46274</v>
      </c>
      <c r="I1782" t="str">
        <v>6-252-24-B</v>
      </c>
      <c r="K1782">
        <f>IF(ISERROR(MATCH(WORKORDER[[#This Row],[TRAVELER]],Table1[TRAVELER],0)),K1782,"Shipped")</f>
        <v>0</v>
      </c>
      <c r="L1782">
        <f>+IF(ISERROR(MATCH(WORKORDER[[#This Row],[TRAVELER]],Table1[TRAVELER],0)),L1782,'PACKING SLIP'!$F$5)</f>
        <v>0</v>
      </c>
    </row>
    <row r="1783">
      <c r="A1783">
        <v>716741</v>
      </c>
      <c r="B1783" t="str">
        <v>40110160-L</v>
      </c>
      <c r="C1783">
        <v>1633</v>
      </c>
      <c r="E1783">
        <v>1182</v>
      </c>
      <c r="F1783">
        <v>7510</v>
      </c>
      <c r="G1783">
        <v>193890</v>
      </c>
      <c r="H1783" s="1">
        <v>46274</v>
      </c>
      <c r="I1783" t="str">
        <v>6-229-14-A</v>
      </c>
      <c r="K1783">
        <f>IF(ISERROR(MATCH(WORKORDER[[#This Row],[TRAVELER]],Table1[TRAVELER],0)),K1783,"Shipped")</f>
        <v>0</v>
      </c>
      <c r="L1783">
        <f>+IF(ISERROR(MATCH(WORKORDER[[#This Row],[TRAVELER]],Table1[TRAVELER],0)),L1783,'PACKING SLIP'!$F$5)</f>
        <v>0</v>
      </c>
    </row>
    <row r="1784">
      <c r="A1784">
        <v>716742</v>
      </c>
      <c r="B1784" t="str">
        <v>40110160-L</v>
      </c>
      <c r="C1784">
        <v>658</v>
      </c>
      <c r="E1784">
        <v>1049</v>
      </c>
      <c r="F1784">
        <v>6665</v>
      </c>
      <c r="G1784">
        <v>193890</v>
      </c>
      <c r="H1784" s="1">
        <v>46274</v>
      </c>
      <c r="I1784" t="str">
        <v>6-229-14-B</v>
      </c>
      <c r="K1784">
        <f>IF(ISERROR(MATCH(WORKORDER[[#This Row],[TRAVELER]],Table1[TRAVELER],0)),K1784,"Shipped")</f>
        <v>0</v>
      </c>
      <c r="L1784">
        <f>+IF(ISERROR(MATCH(WORKORDER[[#This Row],[TRAVELER]],Table1[TRAVELER],0)),L1784,'PACKING SLIP'!$F$5)</f>
        <v>0</v>
      </c>
    </row>
    <row r="1785">
      <c r="A1785">
        <v>717286</v>
      </c>
      <c r="B1785" t="str">
        <v>11610091-MY-AK</v>
      </c>
      <c r="C1785">
        <v>1629</v>
      </c>
      <c r="E1785">
        <v>1081</v>
      </c>
      <c r="F1785">
        <v>70195</v>
      </c>
      <c r="G1785">
        <v>193890</v>
      </c>
      <c r="H1785" s="1">
        <v>46274</v>
      </c>
      <c r="I1785" t="str">
        <v>6-251-32-A</v>
      </c>
      <c r="K1785">
        <f>IF(ISERROR(MATCH(WORKORDER[[#This Row],[TRAVELER]],Table1[TRAVELER],0)),K1785,"Shipped")</f>
        <v>0</v>
      </c>
      <c r="L1785">
        <f>+IF(ISERROR(MATCH(WORKORDER[[#This Row],[TRAVELER]],Table1[TRAVELER],0)),L1785,'PACKING SLIP'!$F$5)</f>
        <v>0</v>
      </c>
    </row>
    <row r="1786">
      <c r="A1786">
        <v>717290</v>
      </c>
      <c r="B1786" t="str">
        <v>11610091-MY-AK</v>
      </c>
      <c r="C1786">
        <v>489</v>
      </c>
      <c r="E1786">
        <v>1219</v>
      </c>
      <c r="F1786">
        <v>79156</v>
      </c>
      <c r="G1786">
        <v>193890</v>
      </c>
      <c r="H1786" s="1">
        <v>46274</v>
      </c>
      <c r="I1786" t="str">
        <v>6-251-32-B</v>
      </c>
      <c r="K1786">
        <f>IF(ISERROR(MATCH(WORKORDER[[#This Row],[TRAVELER]],Table1[TRAVELER],0)),K1786,"Shipped")</f>
        <v>0</v>
      </c>
      <c r="L1786">
        <f>+IF(ISERROR(MATCH(WORKORDER[[#This Row],[TRAVELER]],Table1[TRAVELER],0)),L1786,'PACKING SLIP'!$F$5)</f>
        <v>0</v>
      </c>
    </row>
    <row r="1787">
      <c r="A1787">
        <v>717528</v>
      </c>
      <c r="B1787" t="str">
        <v>06511637AA-A</v>
      </c>
      <c r="C1787">
        <v>1669</v>
      </c>
      <c r="E1787">
        <v>903</v>
      </c>
      <c r="F1787">
        <v>36411</v>
      </c>
      <c r="G1787">
        <v>193890</v>
      </c>
      <c r="H1787" s="1">
        <v>46274</v>
      </c>
      <c r="I1787" t="str">
        <v>6-252-22-A</v>
      </c>
      <c r="K1787">
        <f>IF(ISERROR(MATCH(WORKORDER[[#This Row],[TRAVELER]],Table1[TRAVELER],0)),K1787,"Shipped")</f>
        <v>0</v>
      </c>
      <c r="L1787">
        <f>+IF(ISERROR(MATCH(WORKORDER[[#This Row],[TRAVELER]],Table1[TRAVELER],0)),L1787,'PACKING SLIP'!$F$5)</f>
        <v>0</v>
      </c>
    </row>
    <row r="1788">
      <c r="A1788">
        <v>717547</v>
      </c>
      <c r="B1788" t="str">
        <v>11502717-TH-TC-T</v>
      </c>
      <c r="C1788">
        <v>682</v>
      </c>
      <c r="E1788">
        <v>1075</v>
      </c>
      <c r="F1788">
        <v>41188</v>
      </c>
      <c r="G1788">
        <v>193890</v>
      </c>
      <c r="H1788" s="1">
        <v>46274</v>
      </c>
      <c r="I1788" t="str">
        <v>6-252-23-A</v>
      </c>
      <c r="K1788">
        <f>IF(ISERROR(MATCH(WORKORDER[[#This Row],[TRAVELER]],Table1[TRAVELER],0)),K1788,"Shipped")</f>
        <v>0</v>
      </c>
      <c r="L1788">
        <f>+IF(ISERROR(MATCH(WORKORDER[[#This Row],[TRAVELER]],Table1[TRAVELER],0)),L1788,'PACKING SLIP'!$F$5)</f>
        <v>0</v>
      </c>
    </row>
    <row r="1789">
      <c r="A1789">
        <v>717548</v>
      </c>
      <c r="B1789" t="str">
        <v>11502717-TH-TC</v>
      </c>
      <c r="C1789">
        <v>1718</v>
      </c>
      <c r="E1789">
        <v>1070</v>
      </c>
      <c r="F1789">
        <v>40996</v>
      </c>
      <c r="G1789">
        <v>193890</v>
      </c>
      <c r="H1789" s="1">
        <v>46274</v>
      </c>
      <c r="I1789" t="str">
        <v>6-252-23-B</v>
      </c>
      <c r="K1789">
        <f>IF(ISERROR(MATCH(WORKORDER[[#This Row],[TRAVELER]],Table1[TRAVELER],0)),K1789,"Shipped")</f>
        <v>0</v>
      </c>
      <c r="L1789">
        <f>+IF(ISERROR(MATCH(WORKORDER[[#This Row],[TRAVELER]],Table1[TRAVELER],0)),L1789,'PACKING SLIP'!$F$5)</f>
        <v>0</v>
      </c>
    </row>
    <row r="1790">
      <c r="A1790">
        <v>717559</v>
      </c>
      <c r="B1790" t="str">
        <v>11610091-MY-AK</v>
      </c>
      <c r="C1790">
        <v>946</v>
      </c>
      <c r="E1790">
        <v>1218</v>
      </c>
      <c r="F1790">
        <v>79091</v>
      </c>
      <c r="G1790">
        <v>193890</v>
      </c>
      <c r="H1790" s="1">
        <v>46274</v>
      </c>
      <c r="I1790" t="str">
        <v>6-251-33-A</v>
      </c>
      <c r="K1790">
        <f>IF(ISERROR(MATCH(WORKORDER[[#This Row],[TRAVELER]],Table1[TRAVELER],0)),K1790,"Shipped")</f>
        <v>0</v>
      </c>
      <c r="L1790">
        <f>+IF(ISERROR(MATCH(WORKORDER[[#This Row],[TRAVELER]],Table1[TRAVELER],0)),L1790,'PACKING SLIP'!$F$5)</f>
        <v>0</v>
      </c>
    </row>
    <row r="1791">
      <c r="A1791">
        <v>717562</v>
      </c>
      <c r="B1791" t="str">
        <v>11610091-MY-AK</v>
      </c>
      <c r="C1791">
        <v>1792</v>
      </c>
      <c r="E1791">
        <v>1298</v>
      </c>
      <c r="F1791">
        <v>84286</v>
      </c>
      <c r="G1791">
        <v>193890</v>
      </c>
      <c r="H1791" s="1">
        <v>46274</v>
      </c>
      <c r="I1791" t="str">
        <v>6-251-33-B</v>
      </c>
      <c r="K1791">
        <f>IF(ISERROR(MATCH(WORKORDER[[#This Row],[TRAVELER]],Table1[TRAVELER],0)),K1791,"Shipped")</f>
        <v>0</v>
      </c>
      <c r="L1791">
        <f>+IF(ISERROR(MATCH(WORKORDER[[#This Row],[TRAVELER]],Table1[TRAVELER],0)),L1791,'PACKING SLIP'!$F$5)</f>
        <v>0</v>
      </c>
    </row>
    <row r="1792">
      <c r="A1792">
        <v>717820</v>
      </c>
      <c r="B1792" t="str">
        <v>11610128-BR-HA-HT</v>
      </c>
      <c r="C1792">
        <v>1373</v>
      </c>
      <c r="E1792">
        <v>154</v>
      </c>
      <c r="F1792">
        <v>5491</v>
      </c>
      <c r="G1792">
        <v>193890</v>
      </c>
      <c r="H1792" s="1">
        <v>46274</v>
      </c>
      <c r="I1792" t="str">
        <v>6-252-21-A</v>
      </c>
      <c r="K1792">
        <f>IF(ISERROR(MATCH(WORKORDER[[#This Row],[TRAVELER]],Table1[TRAVELER],0)),K1792,"Shipped")</f>
        <v>0</v>
      </c>
      <c r="L1792">
        <f>+IF(ISERROR(MATCH(WORKORDER[[#This Row],[TRAVELER]],Table1[TRAVELER],0)),L1792,'PACKING SLIP'!$F$5)</f>
        <v>0</v>
      </c>
    </row>
    <row r="1793">
      <c r="A1793">
        <v>718045</v>
      </c>
      <c r="B1793" t="str">
        <v>W711953-S900-A</v>
      </c>
      <c r="C1793">
        <v>409</v>
      </c>
      <c r="E1793">
        <v>994</v>
      </c>
      <c r="F1793">
        <v>64545</v>
      </c>
      <c r="G1793">
        <v>193890</v>
      </c>
      <c r="H1793" s="1">
        <v>46274</v>
      </c>
      <c r="I1793" t="str">
        <v>6-251-37-A</v>
      </c>
      <c r="K1793">
        <f>IF(ISERROR(MATCH(WORKORDER[[#This Row],[TRAVELER]],Table1[TRAVELER],0)),K1793,"Shipped")</f>
        <v>0</v>
      </c>
      <c r="L1793">
        <f>+IF(ISERROR(MATCH(WORKORDER[[#This Row],[TRAVELER]],Table1[TRAVELER],0)),L1793,'PACKING SLIP'!$F$5)</f>
        <v>0</v>
      </c>
    </row>
    <row r="1794">
      <c r="A1794">
        <v>718046</v>
      </c>
      <c r="B1794" t="str">
        <v>W711953-S900-A</v>
      </c>
      <c r="C1794">
        <v>846</v>
      </c>
      <c r="E1794">
        <v>912</v>
      </c>
      <c r="F1794">
        <v>59221</v>
      </c>
      <c r="G1794">
        <v>193890</v>
      </c>
      <c r="H1794" s="1">
        <v>46274</v>
      </c>
      <c r="I1794" t="str">
        <v>6-251-37-B</v>
      </c>
      <c r="K1794">
        <f>IF(ISERROR(MATCH(WORKORDER[[#This Row],[TRAVELER]],Table1[TRAVELER],0)),K1794,"Shipped")</f>
        <v>0</v>
      </c>
      <c r="L1794">
        <f>+IF(ISERROR(MATCH(WORKORDER[[#This Row],[TRAVELER]],Table1[TRAVELER],0)),L1794,'PACKING SLIP'!$F$5)</f>
        <v>0</v>
      </c>
    </row>
    <row r="1795">
      <c r="A1795">
        <v>718047</v>
      </c>
      <c r="B1795">
        <v>11546566</v>
      </c>
      <c r="C1795">
        <v>523</v>
      </c>
      <c r="E1795">
        <v>947</v>
      </c>
      <c r="F1795">
        <v>52611</v>
      </c>
      <c r="G1795">
        <v>193890</v>
      </c>
      <c r="H1795" s="1">
        <v>46274</v>
      </c>
      <c r="I1795" t="str">
        <v>6-251-33-A</v>
      </c>
      <c r="K1795">
        <f>IF(ISERROR(MATCH(WORKORDER[[#This Row],[TRAVELER]],Table1[TRAVELER],0)),K1795,"Shipped")</f>
        <v>0</v>
      </c>
      <c r="L1795">
        <f>+IF(ISERROR(MATCH(WORKORDER[[#This Row],[TRAVELER]],Table1[TRAVELER],0)),L1795,'PACKING SLIP'!$F$5)</f>
        <v>0</v>
      </c>
    </row>
    <row r="1796">
      <c r="A1796">
        <v>718048</v>
      </c>
      <c r="B1796">
        <v>11546566</v>
      </c>
      <c r="C1796">
        <v>1710</v>
      </c>
      <c r="E1796">
        <v>765</v>
      </c>
      <c r="F1796">
        <v>42500</v>
      </c>
      <c r="G1796">
        <v>193890</v>
      </c>
      <c r="H1796" s="1">
        <v>46274</v>
      </c>
      <c r="I1796" t="str">
        <v>6-251-33-B</v>
      </c>
      <c r="K1796">
        <f>IF(ISERROR(MATCH(WORKORDER[[#This Row],[TRAVELER]],Table1[TRAVELER],0)),K1796,"Shipped")</f>
        <v>0</v>
      </c>
      <c r="L1796">
        <f>+IF(ISERROR(MATCH(WORKORDER[[#This Row],[TRAVELER]],Table1[TRAVELER],0)),L1796,'PACKING SLIP'!$F$5)</f>
        <v>0</v>
      </c>
    </row>
    <row r="1797">
      <c r="A1797">
        <v>718049</v>
      </c>
      <c r="B1797">
        <v>11546566</v>
      </c>
      <c r="C1797">
        <v>725</v>
      </c>
      <c r="E1797">
        <v>918</v>
      </c>
      <c r="F1797">
        <v>51000</v>
      </c>
      <c r="G1797">
        <v>193890</v>
      </c>
      <c r="H1797" s="1">
        <v>46274</v>
      </c>
      <c r="I1797" t="str">
        <v>6-251-33-C</v>
      </c>
      <c r="K1797" t="str">
        <f>IF(ISERROR(MATCH(WORKORDER[[#This Row],[TRAVELER]],Table1[TRAVELER],0)),K1797,"Shipped")</f>
        <v>Shipped</v>
      </c>
      <c r="L1797">
        <f>+IF(ISERROR(MATCH(WORKORDER[[#This Row],[TRAVELER]],Table1[TRAVELER],0)),L1797,'PACKING SLIP'!$F$5)</f>
        <v>0</v>
      </c>
    </row>
    <row r="1798">
      <c r="A1798">
        <v>718052</v>
      </c>
      <c r="B1798" t="str">
        <v>W711953-S900-A</v>
      </c>
      <c r="C1798">
        <v>597</v>
      </c>
      <c r="E1798">
        <v>906</v>
      </c>
      <c r="F1798">
        <v>58831</v>
      </c>
      <c r="G1798">
        <v>193890</v>
      </c>
      <c r="H1798" s="1">
        <v>46274</v>
      </c>
      <c r="I1798" t="str">
        <v>6-251-38-B</v>
      </c>
      <c r="K1798">
        <f>IF(ISERROR(MATCH(WORKORDER[[#This Row],[TRAVELER]],Table1[TRAVELER],0)),K1798,"Shipped")</f>
        <v>0</v>
      </c>
      <c r="L1798">
        <f>+IF(ISERROR(MATCH(WORKORDER[[#This Row],[TRAVELER]],Table1[TRAVELER],0)),L1798,'PACKING SLIP'!$F$5)</f>
        <v>0</v>
      </c>
    </row>
    <row r="1799">
      <c r="A1799">
        <v>718055</v>
      </c>
      <c r="B1799" t="str">
        <v>W711953-S900-A</v>
      </c>
      <c r="C1799">
        <v>1850</v>
      </c>
      <c r="E1799">
        <v>1029</v>
      </c>
      <c r="F1799">
        <v>66818</v>
      </c>
      <c r="G1799">
        <v>193890</v>
      </c>
      <c r="H1799" s="1">
        <v>46274</v>
      </c>
      <c r="I1799" t="str">
        <v>6-251-40-A</v>
      </c>
      <c r="K1799">
        <f>IF(ISERROR(MATCH(WORKORDER[[#This Row],[TRAVELER]],Table1[TRAVELER],0)),K1799,"Shipped")</f>
        <v>0</v>
      </c>
      <c r="L1799">
        <f>+IF(ISERROR(MATCH(WORKORDER[[#This Row],[TRAVELER]],Table1[TRAVELER],0)),L1799,'PACKING SLIP'!$F$5)</f>
        <v>0</v>
      </c>
    </row>
    <row r="1800">
      <c r="A1800">
        <v>718057</v>
      </c>
      <c r="B1800" t="str">
        <v>11561645-HT</v>
      </c>
      <c r="C1800">
        <v>303</v>
      </c>
      <c r="E1800">
        <v>818</v>
      </c>
      <c r="F1800">
        <v>106234</v>
      </c>
      <c r="G1800">
        <v>193890</v>
      </c>
      <c r="H1800" s="1">
        <v>46274</v>
      </c>
      <c r="I1800" t="str">
        <v>6-251-30-A</v>
      </c>
      <c r="K1800">
        <f>IF(ISERROR(MATCH(WORKORDER[[#This Row],[TRAVELER]],Table1[TRAVELER],0)),K1800,"Shipped")</f>
        <v>0</v>
      </c>
      <c r="L1800">
        <f>+IF(ISERROR(MATCH(WORKORDER[[#This Row],[TRAVELER]],Table1[TRAVELER],0)),L1800,'PACKING SLIP'!$F$5)</f>
        <v>0</v>
      </c>
    </row>
    <row r="1801">
      <c r="A1801">
        <v>718058</v>
      </c>
      <c r="B1801" t="str">
        <v>11561645-HT</v>
      </c>
      <c r="C1801">
        <v>37</v>
      </c>
      <c r="E1801">
        <v>1034</v>
      </c>
      <c r="F1801">
        <v>134286</v>
      </c>
      <c r="G1801">
        <v>193890</v>
      </c>
      <c r="H1801" s="1">
        <v>46274</v>
      </c>
      <c r="I1801" t="str">
        <v>6-251-30-B</v>
      </c>
      <c r="K1801">
        <f>IF(ISERROR(MATCH(WORKORDER[[#This Row],[TRAVELER]],Table1[TRAVELER],0)),K1801,"Shipped")</f>
        <v>0</v>
      </c>
      <c r="L1801">
        <f>+IF(ISERROR(MATCH(WORKORDER[[#This Row],[TRAVELER]],Table1[TRAVELER],0)),L1801,'PACKING SLIP'!$F$5)</f>
        <v>0</v>
      </c>
    </row>
    <row r="1802">
      <c r="A1802">
        <v>718061</v>
      </c>
      <c r="B1802" t="str">
        <v>06508200AA-HT</v>
      </c>
      <c r="C1802">
        <v>729</v>
      </c>
      <c r="E1802">
        <v>554</v>
      </c>
      <c r="F1802">
        <v>13317</v>
      </c>
      <c r="G1802">
        <v>193890</v>
      </c>
      <c r="H1802" s="1">
        <v>46274</v>
      </c>
      <c r="I1802" t="str">
        <v>6-251-36-A</v>
      </c>
      <c r="K1802" t="str">
        <f>IF(ISERROR(MATCH(WORKORDER[[#This Row],[TRAVELER]],Table1[TRAVELER],0)),K1802,"Shipped")</f>
        <v>Shipped</v>
      </c>
      <c r="L1802">
        <f>+IF(ISERROR(MATCH(WORKORDER[[#This Row],[TRAVELER]],Table1[TRAVELER],0)),L1802,'PACKING SLIP'!$F$5)</f>
        <v>0</v>
      </c>
    </row>
    <row r="1803">
      <c r="A1803">
        <v>718062</v>
      </c>
      <c r="B1803" t="str">
        <v>06508200AA-HT</v>
      </c>
      <c r="C1803">
        <v>1384</v>
      </c>
      <c r="E1803">
        <v>650</v>
      </c>
      <c r="F1803">
        <v>15625</v>
      </c>
      <c r="G1803">
        <v>193890</v>
      </c>
      <c r="H1803" s="1">
        <v>46274</v>
      </c>
      <c r="I1803" t="str">
        <v>6-251-36-B</v>
      </c>
      <c r="K1803">
        <f>IF(ISERROR(MATCH(WORKORDER[[#This Row],[TRAVELER]],Table1[TRAVELER],0)),K1803,"Shipped")</f>
        <v>0</v>
      </c>
      <c r="L1803">
        <f>+IF(ISERROR(MATCH(WORKORDER[[#This Row],[TRAVELER]],Table1[TRAVELER],0)),L1803,'PACKING SLIP'!$F$5)</f>
        <v>0</v>
      </c>
    </row>
    <row r="1804">
      <c r="A1804">
        <v>718069</v>
      </c>
      <c r="B1804">
        <v>11602292</v>
      </c>
      <c r="C1804">
        <v>1647</v>
      </c>
      <c r="E1804">
        <v>697</v>
      </c>
      <c r="F1804">
        <v>22557</v>
      </c>
      <c r="G1804">
        <v>193890</v>
      </c>
      <c r="H1804" s="1">
        <v>46274</v>
      </c>
      <c r="I1804" t="str">
        <v>6-251-35-A</v>
      </c>
      <c r="K1804">
        <f>IF(ISERROR(MATCH(WORKORDER[[#This Row],[TRAVELER]],Table1[TRAVELER],0)),K1804,"Shipped")</f>
        <v>0</v>
      </c>
      <c r="L1804">
        <f>+IF(ISERROR(MATCH(WORKORDER[[#This Row],[TRAVELER]],Table1[TRAVELER],0)),L1804,'PACKING SLIP'!$F$5)</f>
        <v>0</v>
      </c>
    </row>
    <row r="1805">
      <c r="A1805">
        <v>718070</v>
      </c>
      <c r="B1805">
        <v>11602292</v>
      </c>
      <c r="C1805">
        <v>1520</v>
      </c>
      <c r="E1805">
        <v>705</v>
      </c>
      <c r="F1805">
        <v>22816</v>
      </c>
      <c r="G1805">
        <v>193890</v>
      </c>
      <c r="H1805" s="1">
        <v>46274</v>
      </c>
      <c r="I1805" t="str">
        <v>6-251-35-B</v>
      </c>
      <c r="K1805">
        <f>IF(ISERROR(MATCH(WORKORDER[[#This Row],[TRAVELER]],Table1[TRAVELER],0)),K1805,"Shipped")</f>
        <v>0</v>
      </c>
      <c r="L1805">
        <f>+IF(ISERROR(MATCH(WORKORDER[[#This Row],[TRAVELER]],Table1[TRAVELER],0)),L1805,'PACKING SLIP'!$F$5)</f>
        <v>0</v>
      </c>
    </row>
    <row r="1806">
      <c r="A1806">
        <v>718071</v>
      </c>
      <c r="B1806">
        <v>11602292</v>
      </c>
      <c r="C1806">
        <v>803</v>
      </c>
      <c r="E1806">
        <v>543</v>
      </c>
      <c r="F1806">
        <v>17573</v>
      </c>
      <c r="G1806">
        <v>193890</v>
      </c>
      <c r="H1806" s="1">
        <v>46274</v>
      </c>
      <c r="I1806" t="str">
        <v>6-251-35-C</v>
      </c>
      <c r="K1806" t="str">
        <f>IF(ISERROR(MATCH(WORKORDER[[#This Row],[TRAVELER]],Table1[TRAVELER],0)),K1806,"Shipped")</f>
        <v>Shipped</v>
      </c>
      <c r="L1806">
        <f>+IF(ISERROR(MATCH(WORKORDER[[#This Row],[TRAVELER]],Table1[TRAVELER],0)),L1806,'PACKING SLIP'!$F$5)</f>
        <v>0</v>
      </c>
    </row>
    <row r="1807">
      <c r="A1807">
        <v>717232</v>
      </c>
      <c r="B1807" t="str">
        <v>W520113-S440-L</v>
      </c>
      <c r="C1807">
        <v>642</v>
      </c>
      <c r="E1807">
        <v>1130</v>
      </c>
      <c r="F1807">
        <v>42164</v>
      </c>
      <c r="G1807" t="str">
        <v>193902</v>
      </c>
      <c r="H1807" s="1">
        <v>46275</v>
      </c>
      <c r="K1807">
        <f>IF(ISERROR(MATCH(WORKORDER[[#This Row],[TRAVELER]],Table1[TRAVELER],0)),K1807,"Shipped")</f>
        <v>0</v>
      </c>
      <c r="L1807">
        <f>+IF(ISERROR(MATCH(WORKORDER[[#This Row],[TRAVELER]],Table1[TRAVELER],0)),L1807,'PACKING SLIP'!$F$5)</f>
        <v>0</v>
      </c>
    </row>
    <row r="1808">
      <c r="A1808">
        <v>717233</v>
      </c>
      <c r="B1808" t="str">
        <v>W520113-S440-L</v>
      </c>
      <c r="C1808">
        <v>1071</v>
      </c>
      <c r="E1808">
        <v>1130</v>
      </c>
      <c r="F1808">
        <v>42164</v>
      </c>
      <c r="G1808" t="str">
        <v>193902</v>
      </c>
      <c r="H1808" s="1">
        <v>46275</v>
      </c>
      <c r="K1808">
        <f>IF(ISERROR(MATCH(WORKORDER[[#This Row],[TRAVELER]],Table1[TRAVELER],0)),K1808,"Shipped")</f>
        <v>0</v>
      </c>
      <c r="L1808">
        <f>+IF(ISERROR(MATCH(WORKORDER[[#This Row],[TRAVELER]],Table1[TRAVELER],0)),L1808,'PACKING SLIP'!$F$5)</f>
        <v>0</v>
      </c>
    </row>
    <row r="1809">
      <c r="A1809">
        <v>717495</v>
      </c>
      <c r="B1809" t="str">
        <v>11546367-MY-AK</v>
      </c>
      <c r="C1809">
        <v>666</v>
      </c>
      <c r="E1809">
        <v>1162</v>
      </c>
      <c r="F1809">
        <v>24989</v>
      </c>
      <c r="G1809" t="str">
        <v>193902</v>
      </c>
      <c r="H1809" s="1">
        <v>46275</v>
      </c>
      <c r="K1809">
        <f>IF(ISERROR(MATCH(WORKORDER[[#This Row],[TRAVELER]],Table1[TRAVELER],0)),K1809,"Shipped")</f>
        <v>0</v>
      </c>
      <c r="L1809">
        <f>+IF(ISERROR(MATCH(WORKORDER[[#This Row],[TRAVELER]],Table1[TRAVELER],0)),L1809,'PACKING SLIP'!$F$5)</f>
        <v>0</v>
      </c>
    </row>
    <row r="1810">
      <c r="A1810">
        <v>717496</v>
      </c>
      <c r="B1810" t="str">
        <v>11546367-MY-AK</v>
      </c>
      <c r="C1810">
        <v>363</v>
      </c>
      <c r="E1810">
        <v>1108</v>
      </c>
      <c r="F1810">
        <v>23828</v>
      </c>
      <c r="G1810" t="str">
        <v>193902</v>
      </c>
      <c r="H1810" s="1">
        <v>46275</v>
      </c>
      <c r="K1810">
        <f>IF(ISERROR(MATCH(WORKORDER[[#This Row],[TRAVELER]],Table1[TRAVELER],0)),K1810,"Shipped")</f>
        <v>0</v>
      </c>
      <c r="L1810">
        <f>+IF(ISERROR(MATCH(WORKORDER[[#This Row],[TRAVELER]],Table1[TRAVELER],0)),L1810,'PACKING SLIP'!$F$5)</f>
        <v>0</v>
      </c>
    </row>
    <row r="1811">
      <c r="A1811">
        <v>717499</v>
      </c>
      <c r="B1811" t="str">
        <v>11546367-MY-AK</v>
      </c>
      <c r="C1811">
        <v>1505</v>
      </c>
      <c r="E1811">
        <v>1116</v>
      </c>
      <c r="F1811">
        <v>24000</v>
      </c>
      <c r="G1811" t="str">
        <v>193902</v>
      </c>
      <c r="H1811" s="1">
        <v>46275</v>
      </c>
      <c r="K1811">
        <f>IF(ISERROR(MATCH(WORKORDER[[#This Row],[TRAVELER]],Table1[TRAVELER],0)),K1811,"Shipped")</f>
        <v>0</v>
      </c>
      <c r="L1811">
        <f>+IF(ISERROR(MATCH(WORKORDER[[#This Row],[TRAVELER]],Table1[TRAVELER],0)),L1811,'PACKING SLIP'!$F$5)</f>
        <v>0</v>
      </c>
    </row>
    <row r="1812">
      <c r="A1812">
        <v>717500</v>
      </c>
      <c r="B1812" t="str">
        <v>11546367-MY-AK</v>
      </c>
      <c r="C1812">
        <v>268</v>
      </c>
      <c r="E1812">
        <v>1183</v>
      </c>
      <c r="F1812">
        <v>25441</v>
      </c>
      <c r="G1812" t="str">
        <v>193902</v>
      </c>
      <c r="H1812" s="1">
        <v>46275</v>
      </c>
      <c r="K1812">
        <f>IF(ISERROR(MATCH(WORKORDER[[#This Row],[TRAVELER]],Table1[TRAVELER],0)),K1812,"Shipped")</f>
        <v>0</v>
      </c>
      <c r="L1812">
        <f>+IF(ISERROR(MATCH(WORKORDER[[#This Row],[TRAVELER]],Table1[TRAVELER],0)),L1812,'PACKING SLIP'!$F$5)</f>
        <v>0</v>
      </c>
    </row>
    <row r="1813">
      <c r="A1813">
        <v>717501</v>
      </c>
      <c r="B1813" t="str">
        <v>11546367-MY-AK</v>
      </c>
      <c r="C1813">
        <v>402</v>
      </c>
      <c r="E1813">
        <v>1110</v>
      </c>
      <c r="F1813">
        <v>23871</v>
      </c>
      <c r="G1813" t="str">
        <v>193902</v>
      </c>
      <c r="H1813" s="1">
        <v>46275</v>
      </c>
      <c r="K1813">
        <f>IF(ISERROR(MATCH(WORKORDER[[#This Row],[TRAVELER]],Table1[TRAVELER],0)),K1813,"Shipped")</f>
        <v>0</v>
      </c>
      <c r="L1813">
        <f>+IF(ISERROR(MATCH(WORKORDER[[#This Row],[TRAVELER]],Table1[TRAVELER],0)),L1813,'PACKING SLIP'!$F$5)</f>
        <v>0</v>
      </c>
    </row>
    <row r="1814">
      <c r="A1814">
        <v>717502</v>
      </c>
      <c r="B1814" t="str">
        <v>11546367-MY-AK</v>
      </c>
      <c r="C1814">
        <v>748</v>
      </c>
      <c r="E1814">
        <v>1190</v>
      </c>
      <c r="F1814">
        <v>25591</v>
      </c>
      <c r="G1814" t="str">
        <v>193902</v>
      </c>
      <c r="H1814" s="1">
        <v>46275</v>
      </c>
      <c r="K1814">
        <f>IF(ISERROR(MATCH(WORKORDER[[#This Row],[TRAVELER]],Table1[TRAVELER],0)),K1814,"Shipped")</f>
        <v>0</v>
      </c>
      <c r="L1814">
        <f>+IF(ISERROR(MATCH(WORKORDER[[#This Row],[TRAVELER]],Table1[TRAVELER],0)),L1814,'PACKING SLIP'!$F$5)</f>
        <v>0</v>
      </c>
    </row>
    <row r="1815">
      <c r="A1815">
        <v>717503</v>
      </c>
      <c r="B1815" t="str">
        <v>11546367-MY-AK</v>
      </c>
      <c r="C1815">
        <v>1315</v>
      </c>
      <c r="E1815">
        <v>1119</v>
      </c>
      <c r="F1815">
        <v>24065</v>
      </c>
      <c r="G1815" t="str">
        <v>193902</v>
      </c>
      <c r="H1815" s="1">
        <v>46275</v>
      </c>
      <c r="K1815">
        <f>IF(ISERROR(MATCH(WORKORDER[[#This Row],[TRAVELER]],Table1[TRAVELER],0)),K1815,"Shipped")</f>
        <v>0</v>
      </c>
      <c r="L1815">
        <f>+IF(ISERROR(MATCH(WORKORDER[[#This Row],[TRAVELER]],Table1[TRAVELER],0)),L1815,'PACKING SLIP'!$F$5)</f>
        <v>0</v>
      </c>
    </row>
    <row r="1816">
      <c r="A1816">
        <v>717504</v>
      </c>
      <c r="B1816" t="str">
        <v>11546367-MY-AK</v>
      </c>
      <c r="C1816">
        <v>1078</v>
      </c>
      <c r="E1816">
        <v>1173</v>
      </c>
      <c r="F1816">
        <v>25226</v>
      </c>
      <c r="G1816" t="str">
        <v>193902</v>
      </c>
      <c r="H1816" s="1">
        <v>46275</v>
      </c>
      <c r="K1816">
        <f>IF(ISERROR(MATCH(WORKORDER[[#This Row],[TRAVELER]],Table1[TRAVELER],0)),K1816,"Shipped")</f>
        <v>0</v>
      </c>
      <c r="L1816">
        <f>+IF(ISERROR(MATCH(WORKORDER[[#This Row],[TRAVELER]],Table1[TRAVELER],0)),L1816,'PACKING SLIP'!$F$5)</f>
        <v>0</v>
      </c>
    </row>
    <row r="1817">
      <c r="A1817">
        <v>717505</v>
      </c>
      <c r="B1817" t="str">
        <v>11546367-MY-AK</v>
      </c>
      <c r="C1817">
        <v>1098</v>
      </c>
      <c r="E1817">
        <v>1183</v>
      </c>
      <c r="F1817">
        <v>25441</v>
      </c>
      <c r="G1817" t="str">
        <v>193902</v>
      </c>
      <c r="H1817" s="1">
        <v>46275</v>
      </c>
      <c r="K1817">
        <f>IF(ISERROR(MATCH(WORKORDER[[#This Row],[TRAVELER]],Table1[TRAVELER],0)),K1817,"Shipped")</f>
        <v>0</v>
      </c>
      <c r="L1817">
        <f>+IF(ISERROR(MATCH(WORKORDER[[#This Row],[TRAVELER]],Table1[TRAVELER],0)),L1817,'PACKING SLIP'!$F$5)</f>
        <v>0</v>
      </c>
    </row>
    <row r="1818">
      <c r="A1818">
        <v>717506</v>
      </c>
      <c r="B1818" t="str">
        <v>11546367-MY-AK</v>
      </c>
      <c r="C1818">
        <v>124</v>
      </c>
      <c r="E1818">
        <v>1104</v>
      </c>
      <c r="F1818">
        <v>23742</v>
      </c>
      <c r="G1818" t="str">
        <v>193902</v>
      </c>
      <c r="H1818" s="1">
        <v>46275</v>
      </c>
      <c r="K1818">
        <f>IF(ISERROR(MATCH(WORKORDER[[#This Row],[TRAVELER]],Table1[TRAVELER],0)),K1818,"Shipped")</f>
        <v>0</v>
      </c>
      <c r="L1818">
        <f>+IF(ISERROR(MATCH(WORKORDER[[#This Row],[TRAVELER]],Table1[TRAVELER],0)),L1818,'PACKING SLIP'!$F$5)</f>
        <v>0</v>
      </c>
    </row>
    <row r="1819">
      <c r="A1819">
        <v>718073</v>
      </c>
      <c r="B1819" t="str">
        <v>11546367-MY-AK</v>
      </c>
      <c r="C1819">
        <v>1063</v>
      </c>
      <c r="E1819">
        <v>1175</v>
      </c>
      <c r="F1819">
        <v>25269</v>
      </c>
      <c r="G1819" t="str">
        <v>193902</v>
      </c>
      <c r="H1819" s="1">
        <v>46275</v>
      </c>
      <c r="K1819">
        <f>IF(ISERROR(MATCH(WORKORDER[[#This Row],[TRAVELER]],Table1[TRAVELER],0)),K1819,"Shipped")</f>
        <v>0</v>
      </c>
      <c r="L1819">
        <f>+IF(ISERROR(MATCH(WORKORDER[[#This Row],[TRAVELER]],Table1[TRAVELER],0)),L1819,'PACKING SLIP'!$F$5)</f>
        <v>0</v>
      </c>
    </row>
    <row r="1820">
      <c r="A1820">
        <v>718074</v>
      </c>
      <c r="B1820" t="str">
        <v>11546367-MY-AK</v>
      </c>
      <c r="C1820">
        <v>1775</v>
      </c>
      <c r="E1820">
        <v>1150</v>
      </c>
      <c r="F1820">
        <v>24731</v>
      </c>
      <c r="G1820" t="str">
        <v>193902</v>
      </c>
      <c r="H1820" s="1">
        <v>46275</v>
      </c>
      <c r="K1820">
        <f>IF(ISERROR(MATCH(WORKORDER[[#This Row],[TRAVELER]],Table1[TRAVELER],0)),K1820,"Shipped")</f>
        <v>0</v>
      </c>
      <c r="L1820">
        <f>+IF(ISERROR(MATCH(WORKORDER[[#This Row],[TRAVELER]],Table1[TRAVELER],0)),L1820,'PACKING SLIP'!$F$5)</f>
        <v>0</v>
      </c>
    </row>
    <row r="1821">
      <c r="A1821">
        <v>718075</v>
      </c>
      <c r="B1821" t="str">
        <v>11546367-MY-AK</v>
      </c>
      <c r="C1821">
        <v>490</v>
      </c>
      <c r="E1821">
        <v>1164</v>
      </c>
      <c r="F1821">
        <v>25032</v>
      </c>
      <c r="G1821" t="str">
        <v>193902</v>
      </c>
      <c r="H1821" s="1">
        <v>46275</v>
      </c>
      <c r="K1821">
        <f>IF(ISERROR(MATCH(WORKORDER[[#This Row],[TRAVELER]],Table1[TRAVELER],0)),K1821,"Shipped")</f>
        <v>0</v>
      </c>
      <c r="L1821">
        <f>+IF(ISERROR(MATCH(WORKORDER[[#This Row],[TRAVELER]],Table1[TRAVELER],0)),L1821,'PACKING SLIP'!$F$5)</f>
        <v>0</v>
      </c>
    </row>
    <row r="1822">
      <c r="A1822">
        <v>718076</v>
      </c>
      <c r="B1822" t="str">
        <v>11546367-MY-AK</v>
      </c>
      <c r="C1822">
        <v>1056</v>
      </c>
      <c r="E1822">
        <v>1146</v>
      </c>
      <c r="F1822">
        <v>24645</v>
      </c>
      <c r="G1822" t="str">
        <v>193902</v>
      </c>
      <c r="H1822" s="1">
        <v>46275</v>
      </c>
      <c r="K1822">
        <f>IF(ISERROR(MATCH(WORKORDER[[#This Row],[TRAVELER]],Table1[TRAVELER],0)),K1822,"Shipped")</f>
        <v>0</v>
      </c>
      <c r="L1822">
        <f>+IF(ISERROR(MATCH(WORKORDER[[#This Row],[TRAVELER]],Table1[TRAVELER],0)),L1822,'PACKING SLIP'!$F$5)</f>
        <v>0</v>
      </c>
    </row>
    <row r="1823">
      <c r="A1823">
        <v>718077</v>
      </c>
      <c r="B1823" t="str">
        <v>11546367-MY-AK</v>
      </c>
      <c r="C1823">
        <v>309</v>
      </c>
      <c r="E1823">
        <v>462</v>
      </c>
      <c r="F1823">
        <v>9935</v>
      </c>
      <c r="G1823" t="str">
        <v>193902</v>
      </c>
      <c r="H1823" s="1">
        <v>46275</v>
      </c>
      <c r="K1823">
        <f>IF(ISERROR(MATCH(WORKORDER[[#This Row],[TRAVELER]],Table1[TRAVELER],0)),K1823,"Shipped")</f>
        <v>0</v>
      </c>
      <c r="L1823">
        <f>+IF(ISERROR(MATCH(WORKORDER[[#This Row],[TRAVELER]],Table1[TRAVELER],0)),L1823,'PACKING SLIP'!$F$5)</f>
        <v>0</v>
      </c>
    </row>
    <row r="1824">
      <c r="A1824">
        <v>718617</v>
      </c>
      <c r="B1824" t="str">
        <v>11602326-HT</v>
      </c>
      <c r="C1824">
        <v>1653</v>
      </c>
      <c r="E1824">
        <v>1150</v>
      </c>
      <c r="F1824">
        <v>4800</v>
      </c>
      <c r="G1824" t="str">
        <v>193902</v>
      </c>
      <c r="H1824" s="1">
        <v>46275</v>
      </c>
      <c r="K1824">
        <f>IF(ISERROR(MATCH(WORKORDER[[#This Row],[TRAVELER]],Table1[TRAVELER],0)),K1824,"Shipped")</f>
        <v>0</v>
      </c>
      <c r="L1824">
        <f>+IF(ISERROR(MATCH(WORKORDER[[#This Row],[TRAVELER]],Table1[TRAVELER],0)),L1824,'PACKING SLIP'!$F$5)</f>
        <v>0</v>
      </c>
    </row>
    <row r="1825">
      <c r="A1825">
        <v>718618</v>
      </c>
      <c r="B1825" t="str">
        <v>11602326-HT</v>
      </c>
      <c r="C1825">
        <v>1844</v>
      </c>
      <c r="E1825">
        <v>986</v>
      </c>
      <c r="F1825">
        <v>4115</v>
      </c>
      <c r="G1825" t="str">
        <v>193902</v>
      </c>
      <c r="H1825" s="1">
        <v>46275</v>
      </c>
      <c r="K1825">
        <f>IF(ISERROR(MATCH(WORKORDER[[#This Row],[TRAVELER]],Table1[TRAVELER],0)),K1825,"Shipped")</f>
        <v>0</v>
      </c>
      <c r="L1825">
        <f>+IF(ISERROR(MATCH(WORKORDER[[#This Row],[TRAVELER]],Table1[TRAVELER],0)),L1825,'PACKING SLIP'!$F$5)</f>
        <v>0</v>
      </c>
    </row>
    <row r="1826">
      <c r="A1826">
        <v>718619</v>
      </c>
      <c r="B1826" t="str">
        <v>11602326-HT</v>
      </c>
      <c r="C1826">
        <v>784</v>
      </c>
      <c r="E1826">
        <v>1167</v>
      </c>
      <c r="F1826">
        <v>4871</v>
      </c>
      <c r="G1826" t="str">
        <v>193902</v>
      </c>
      <c r="H1826" s="1">
        <v>46275</v>
      </c>
      <c r="K1826">
        <f>IF(ISERROR(MATCH(WORKORDER[[#This Row],[TRAVELER]],Table1[TRAVELER],0)),K1826,"Shipped")</f>
        <v>0</v>
      </c>
      <c r="L1826">
        <f>+IF(ISERROR(MATCH(WORKORDER[[#This Row],[TRAVELER]],Table1[TRAVELER],0)),L1826,'PACKING SLIP'!$F$5)</f>
        <v>0</v>
      </c>
    </row>
    <row r="1827">
      <c r="A1827">
        <v>718620</v>
      </c>
      <c r="B1827" t="str">
        <v>11602326-HT</v>
      </c>
      <c r="C1827">
        <v>1503</v>
      </c>
      <c r="E1827">
        <v>947</v>
      </c>
      <c r="F1827">
        <v>3952</v>
      </c>
      <c r="G1827" t="str">
        <v>193902</v>
      </c>
      <c r="H1827" s="1">
        <v>46275</v>
      </c>
      <c r="K1827">
        <f>IF(ISERROR(MATCH(WORKORDER[[#This Row],[TRAVELER]],Table1[TRAVELER],0)),K1827,"Shipped")</f>
        <v>0</v>
      </c>
      <c r="L1827">
        <f>+IF(ISERROR(MATCH(WORKORDER[[#This Row],[TRAVELER]],Table1[TRAVELER],0)),L1827,'PACKING SLIP'!$F$5)</f>
        <v>0</v>
      </c>
    </row>
    <row r="1828">
      <c r="A1828">
        <v>718621</v>
      </c>
      <c r="B1828" t="str">
        <v>11602326-HT</v>
      </c>
      <c r="C1828">
        <v>1626</v>
      </c>
      <c r="E1828">
        <v>1155</v>
      </c>
      <c r="F1828">
        <v>4821</v>
      </c>
      <c r="G1828" t="str">
        <v>193902</v>
      </c>
      <c r="H1828" s="1">
        <v>46275</v>
      </c>
      <c r="K1828">
        <f>IF(ISERROR(MATCH(WORKORDER[[#This Row],[TRAVELER]],Table1[TRAVELER],0)),K1828,"Shipped")</f>
        <v>0</v>
      </c>
      <c r="L1828">
        <f>+IF(ISERROR(MATCH(WORKORDER[[#This Row],[TRAVELER]],Table1[TRAVELER],0)),L1828,'PACKING SLIP'!$F$5)</f>
        <v>0</v>
      </c>
    </row>
    <row r="1829">
      <c r="A1829">
        <v>718622</v>
      </c>
      <c r="B1829" t="str">
        <v>11602326-HT</v>
      </c>
      <c r="C1829">
        <v>1034</v>
      </c>
      <c r="E1829">
        <v>942</v>
      </c>
      <c r="F1829">
        <v>3932</v>
      </c>
      <c r="G1829" t="str">
        <v>193902</v>
      </c>
      <c r="H1829" s="1">
        <v>46275</v>
      </c>
      <c r="K1829">
        <f>IF(ISERROR(MATCH(WORKORDER[[#This Row],[TRAVELER]],Table1[TRAVELER],0)),K1829,"Shipped")</f>
        <v>0</v>
      </c>
      <c r="L1829">
        <f>+IF(ISERROR(MATCH(WORKORDER[[#This Row],[TRAVELER]],Table1[TRAVELER],0)),L1829,'PACKING SLIP'!$F$5)</f>
        <v>0</v>
      </c>
    </row>
    <row r="1830">
      <c r="A1830">
        <v>718639</v>
      </c>
      <c r="B1830" t="str">
        <v>11546462-A</v>
      </c>
      <c r="C1830">
        <v>946</v>
      </c>
      <c r="E1830">
        <v>966</v>
      </c>
      <c r="F1830">
        <v>24150</v>
      </c>
      <c r="G1830" t="str">
        <v>193902</v>
      </c>
      <c r="H1830" s="1">
        <v>46275</v>
      </c>
      <c r="K1830">
        <f>IF(ISERROR(MATCH(WORKORDER[[#This Row],[TRAVELER]],Table1[TRAVELER],0)),K1830,"Shipped")</f>
        <v>0</v>
      </c>
      <c r="L1830">
        <f>+IF(ISERROR(MATCH(WORKORDER[[#This Row],[TRAVELER]],Table1[TRAVELER],0)),L1830,'PACKING SLIP'!$F$5)</f>
        <v>0</v>
      </c>
    </row>
    <row r="1831">
      <c r="A1831">
        <v>718640</v>
      </c>
      <c r="B1831" t="str">
        <v>11546462-A</v>
      </c>
      <c r="C1831">
        <v>245</v>
      </c>
      <c r="E1831">
        <v>861</v>
      </c>
      <c r="F1831">
        <v>21525</v>
      </c>
      <c r="G1831" t="str">
        <v>193902</v>
      </c>
      <c r="H1831" s="1">
        <v>46275</v>
      </c>
      <c r="K1831">
        <f>IF(ISERROR(MATCH(WORKORDER[[#This Row],[TRAVELER]],Table1[TRAVELER],0)),K1831,"Shipped")</f>
        <v>0</v>
      </c>
      <c r="L1831">
        <f>+IF(ISERROR(MATCH(WORKORDER[[#This Row],[TRAVELER]],Table1[TRAVELER],0)),L1831,'PACKING SLIP'!$F$5)</f>
        <v>0</v>
      </c>
    </row>
    <row r="1832">
      <c r="A1832">
        <v>718641</v>
      </c>
      <c r="B1832" t="str">
        <v>11546462-A</v>
      </c>
      <c r="C1832">
        <v>1655</v>
      </c>
      <c r="E1832">
        <v>868</v>
      </c>
      <c r="F1832">
        <v>21700</v>
      </c>
      <c r="G1832" t="str">
        <v>193902</v>
      </c>
      <c r="H1832" s="1">
        <v>46275</v>
      </c>
      <c r="K1832">
        <f>IF(ISERROR(MATCH(WORKORDER[[#This Row],[TRAVELER]],Table1[TRAVELER],0)),K1832,"Shipped")</f>
        <v>0</v>
      </c>
      <c r="L1832">
        <f>+IF(ISERROR(MATCH(WORKORDER[[#This Row],[TRAVELER]],Table1[TRAVELER],0)),L1832,'PACKING SLIP'!$F$5)</f>
        <v>0</v>
      </c>
    </row>
    <row r="1833">
      <c r="A1833">
        <v>718642</v>
      </c>
      <c r="B1833" t="str">
        <v>11546462-A</v>
      </c>
      <c r="C1833">
        <v>99</v>
      </c>
      <c r="E1833">
        <v>937</v>
      </c>
      <c r="F1833">
        <v>24425</v>
      </c>
      <c r="G1833" t="str">
        <v>193902</v>
      </c>
      <c r="H1833" s="1">
        <v>46275</v>
      </c>
      <c r="K1833">
        <f>IF(ISERROR(MATCH(WORKORDER[[#This Row],[TRAVELER]],Table1[TRAVELER],0)),K1833,"Shipped")</f>
        <v>0</v>
      </c>
      <c r="L1833">
        <f>+IF(ISERROR(MATCH(WORKORDER[[#This Row],[TRAVELER]],Table1[TRAVELER],0)),L1833,'PACKING SLIP'!$F$5)</f>
        <v>0</v>
      </c>
    </row>
    <row r="1834">
      <c r="A1834">
        <v>718643</v>
      </c>
      <c r="B1834" t="str">
        <v>11546462-A</v>
      </c>
      <c r="C1834">
        <v>313</v>
      </c>
      <c r="E1834">
        <v>927</v>
      </c>
      <c r="F1834">
        <v>23175</v>
      </c>
      <c r="G1834" t="str">
        <v>193902</v>
      </c>
      <c r="H1834" s="1">
        <v>46275</v>
      </c>
      <c r="K1834">
        <f>IF(ISERROR(MATCH(WORKORDER[[#This Row],[TRAVELER]],Table1[TRAVELER],0)),K1834,"Shipped")</f>
        <v>0</v>
      </c>
      <c r="L1834">
        <f>+IF(ISERROR(MATCH(WORKORDER[[#This Row],[TRAVELER]],Table1[TRAVELER],0)),L1834,'PACKING SLIP'!$F$5)</f>
        <v>0</v>
      </c>
    </row>
    <row r="1835">
      <c r="A1835">
        <v>718644</v>
      </c>
      <c r="B1835" t="str">
        <v>11546462-A</v>
      </c>
      <c r="C1835">
        <v>727</v>
      </c>
      <c r="E1835">
        <v>880</v>
      </c>
      <c r="F1835">
        <v>22000</v>
      </c>
      <c r="G1835" t="str">
        <v>193902</v>
      </c>
      <c r="H1835" s="1">
        <v>46275</v>
      </c>
      <c r="K1835">
        <f>IF(ISERROR(MATCH(WORKORDER[[#This Row],[TRAVELER]],Table1[TRAVELER],0)),K1835,"Shipped")</f>
        <v>0</v>
      </c>
      <c r="L1835">
        <f>+IF(ISERROR(MATCH(WORKORDER[[#This Row],[TRAVELER]],Table1[TRAVELER],0)),L1835,'PACKING SLIP'!$F$5)</f>
        <v>0</v>
      </c>
    </row>
    <row r="1836">
      <c r="A1836">
        <v>718645</v>
      </c>
      <c r="B1836" t="str">
        <v>11546462-A</v>
      </c>
      <c r="C1836">
        <v>973</v>
      </c>
      <c r="E1836">
        <v>915</v>
      </c>
      <c r="F1836">
        <v>22875</v>
      </c>
      <c r="G1836" t="str">
        <v>193902</v>
      </c>
      <c r="H1836" s="1">
        <v>46275</v>
      </c>
      <c r="K1836">
        <f>IF(ISERROR(MATCH(WORKORDER[[#This Row],[TRAVELER]],Table1[TRAVELER],0)),K1836,"Shipped")</f>
        <v>0</v>
      </c>
      <c r="L1836">
        <f>+IF(ISERROR(MATCH(WORKORDER[[#This Row],[TRAVELER]],Table1[TRAVELER],0)),L1836,'PACKING SLIP'!$F$5)</f>
        <v>0</v>
      </c>
    </row>
    <row r="1837">
      <c r="A1837">
        <v>718646</v>
      </c>
      <c r="B1837" t="str">
        <v>11546462-A</v>
      </c>
      <c r="C1837">
        <v>83</v>
      </c>
      <c r="E1837">
        <v>928</v>
      </c>
      <c r="F1837">
        <v>23200</v>
      </c>
      <c r="G1837" t="str">
        <v>193902</v>
      </c>
      <c r="H1837" s="1">
        <v>46275</v>
      </c>
      <c r="K1837">
        <f>IF(ISERROR(MATCH(WORKORDER[[#This Row],[TRAVELER]],Table1[TRAVELER],0)),K1837,"Shipped")</f>
        <v>0</v>
      </c>
      <c r="L1837">
        <f>+IF(ISERROR(MATCH(WORKORDER[[#This Row],[TRAVELER]],Table1[TRAVELER],0)),L1837,'PACKING SLIP'!$F$5)</f>
        <v>0</v>
      </c>
    </row>
    <row r="1838">
      <c r="A1838">
        <v>718864</v>
      </c>
      <c r="B1838" t="str">
        <v>11546377-T</v>
      </c>
      <c r="C1838">
        <v>1105</v>
      </c>
      <c r="E1838">
        <v>855</v>
      </c>
      <c r="F1838">
        <v>55519</v>
      </c>
      <c r="G1838" t="str">
        <v>193902</v>
      </c>
      <c r="H1838" s="1">
        <v>46275</v>
      </c>
      <c r="K1838">
        <f>IF(ISERROR(MATCH(WORKORDER[[#This Row],[TRAVELER]],Table1[TRAVELER],0)),K1838,"Shipped")</f>
        <v>0</v>
      </c>
      <c r="L1838">
        <f>+IF(ISERROR(MATCH(WORKORDER[[#This Row],[TRAVELER]],Table1[TRAVELER],0)),L1838,'PACKING SLIP'!$F$5)</f>
        <v>0</v>
      </c>
    </row>
    <row r="1839">
      <c r="A1839">
        <v>718865</v>
      </c>
      <c r="B1839" t="str">
        <v>11546377-T</v>
      </c>
      <c r="C1839">
        <v>1345</v>
      </c>
      <c r="E1839">
        <v>1181</v>
      </c>
      <c r="F1839">
        <v>76688</v>
      </c>
      <c r="G1839" t="str">
        <v>193902</v>
      </c>
      <c r="H1839" s="1">
        <v>46275</v>
      </c>
      <c r="K1839">
        <f>IF(ISERROR(MATCH(WORKORDER[[#This Row],[TRAVELER]],Table1[TRAVELER],0)),K1839,"Shipped")</f>
        <v>0</v>
      </c>
      <c r="L1839">
        <f>+IF(ISERROR(MATCH(WORKORDER[[#This Row],[TRAVELER]],Table1[TRAVELER],0)),L1839,'PACKING SLIP'!$F$5)</f>
        <v>0</v>
      </c>
    </row>
    <row r="1840">
      <c r="A1840">
        <v>718866</v>
      </c>
      <c r="B1840" t="str">
        <v>11546377-T</v>
      </c>
      <c r="C1840">
        <v>370</v>
      </c>
      <c r="E1840">
        <v>926</v>
      </c>
      <c r="F1840">
        <v>60130</v>
      </c>
      <c r="G1840" t="str">
        <v>193902</v>
      </c>
      <c r="H1840" s="1">
        <v>46275</v>
      </c>
      <c r="K1840">
        <f>IF(ISERROR(MATCH(WORKORDER[[#This Row],[TRAVELER]],Table1[TRAVELER],0)),K1840,"Shipped")</f>
        <v>0</v>
      </c>
      <c r="L1840">
        <f>+IF(ISERROR(MATCH(WORKORDER[[#This Row],[TRAVELER]],Table1[TRAVELER],0)),L1840,'PACKING SLIP'!$F$5)</f>
        <v>0</v>
      </c>
    </row>
    <row r="1841">
      <c r="A1841">
        <v>717185</v>
      </c>
      <c r="B1841" t="str">
        <v>11546370-IN-PN</v>
      </c>
      <c r="C1841">
        <v>249</v>
      </c>
      <c r="E1841">
        <v>1191</v>
      </c>
      <c r="F1841">
        <v>7993</v>
      </c>
      <c r="G1841">
        <v>193904</v>
      </c>
      <c r="K1841">
        <f>IF(ISERROR(MATCH(WORKORDER[[#This Row],[TRAVELER]],Table1[TRAVELER],0)),K1841,"Shipped")</f>
        <v>0</v>
      </c>
      <c r="L1841">
        <f>+IF(ISERROR(MATCH([1]!WORKORDER[[#This Row],[TRAVELER]],[1]!Table1[TRAVELER],0)),L1841,#REF!)</f>
        <v>0</v>
      </c>
    </row>
    <row r="1842">
      <c r="A1842">
        <v>717187</v>
      </c>
      <c r="B1842" t="str">
        <v>11546370-IN-PN</v>
      </c>
      <c r="C1842">
        <v>1804</v>
      </c>
      <c r="E1842">
        <v>1173</v>
      </c>
      <c r="F1842">
        <v>7872</v>
      </c>
      <c r="G1842">
        <v>193904</v>
      </c>
      <c r="K1842">
        <f>IF(ISERROR(MATCH(WORKORDER[[#This Row],[TRAVELER]],Table1[TRAVELER],0)),K1842,"Shipped")</f>
        <v>0</v>
      </c>
      <c r="L1842">
        <f>+IF(ISERROR(MATCH([1]!WORKORDER[[#This Row],[TRAVELER]],[1]!Table1[TRAVELER],0)),L1842,#REF!)</f>
        <v>0</v>
      </c>
    </row>
    <row r="1843">
      <c r="A1843">
        <v>717189</v>
      </c>
      <c r="B1843" t="str">
        <v>11546370-IN-PN</v>
      </c>
      <c r="C1843">
        <v>1361</v>
      </c>
      <c r="E1843">
        <v>1200</v>
      </c>
      <c r="F1843">
        <v>8054</v>
      </c>
      <c r="G1843">
        <v>193904</v>
      </c>
      <c r="K1843">
        <f>IF(ISERROR(MATCH(WORKORDER[[#This Row],[TRAVELER]],Table1[TRAVELER],0)),K1843,"Shipped")</f>
        <v>0</v>
      </c>
      <c r="L1843">
        <f>+IF(ISERROR(MATCH([1]!WORKORDER[[#This Row],[TRAVELER]],[1]!Table1[TRAVELER],0)),L1843,#REF!)</f>
        <v>0</v>
      </c>
    </row>
    <row r="1844">
      <c r="A1844">
        <v>717191</v>
      </c>
      <c r="B1844" t="str">
        <v>11546370-IN-PN</v>
      </c>
      <c r="C1844">
        <v>3</v>
      </c>
      <c r="E1844">
        <v>1200</v>
      </c>
      <c r="F1844">
        <v>8054</v>
      </c>
      <c r="G1844">
        <v>193904</v>
      </c>
      <c r="K1844">
        <f>IF(ISERROR(MATCH(WORKORDER[[#This Row],[TRAVELER]],Table1[TRAVELER],0)),K1844,"Shipped")</f>
        <v>0</v>
      </c>
      <c r="L1844">
        <f>+IF(ISERROR(MATCH([1]!WORKORDER[[#This Row],[TRAVELER]],[1]!Table1[TRAVELER],0)),L1844,#REF!)</f>
        <v>0</v>
      </c>
    </row>
    <row r="1845">
      <c r="A1845">
        <v>717193</v>
      </c>
      <c r="B1845" t="str">
        <v>11546370-IN-PN</v>
      </c>
      <c r="C1845">
        <v>786</v>
      </c>
      <c r="E1845">
        <v>1135</v>
      </c>
      <c r="F1845">
        <v>7617</v>
      </c>
      <c r="G1845">
        <v>193904</v>
      </c>
      <c r="K1845">
        <f>IF(ISERROR(MATCH(WORKORDER[[#This Row],[TRAVELER]],Table1[TRAVELER],0)),K1845,"Shipped")</f>
        <v>0</v>
      </c>
      <c r="L1845">
        <f>+IF(ISERROR(MATCH([1]!WORKORDER[[#This Row],[TRAVELER]],[1]!Table1[TRAVELER],0)),L1845,#REF!)</f>
        <v>0</v>
      </c>
    </row>
    <row r="1846">
      <c r="A1846">
        <v>717195</v>
      </c>
      <c r="B1846" t="str">
        <v>11546370-IN-PN</v>
      </c>
      <c r="C1846">
        <v>1786</v>
      </c>
      <c r="E1846">
        <v>1130</v>
      </c>
      <c r="F1846">
        <v>7584</v>
      </c>
      <c r="G1846">
        <v>193904</v>
      </c>
      <c r="K1846">
        <f>IF(ISERROR(MATCH(WORKORDER[[#This Row],[TRAVELER]],Table1[TRAVELER],0)),K1846,"Shipped")</f>
        <v>0</v>
      </c>
      <c r="L1846">
        <f>+IF(ISERROR(MATCH([1]!WORKORDER[[#This Row],[TRAVELER]],[1]!Table1[TRAVELER],0)),L1846,#REF!)</f>
        <v>0</v>
      </c>
    </row>
    <row r="1847">
      <c r="A1847">
        <v>717447</v>
      </c>
      <c r="B1847" t="str">
        <v>11546370-IN-PN</v>
      </c>
      <c r="C1847">
        <v>663</v>
      </c>
      <c r="E1847">
        <v>1195</v>
      </c>
      <c r="F1847">
        <v>8020</v>
      </c>
      <c r="K1847">
        <f>IF(ISERROR(MATCH(WORKORDER[[#This Row],[TRAVELER]],Table1[TRAVELER],0)),K1847,"Shipped")</f>
        <v>0</v>
      </c>
      <c r="L1847">
        <f>+IF(ISERROR(MATCH([1]!WORKORDER[[#This Row],[TRAVELER]],[1]!Table1[TRAVELER],0)),L1847,#REF!)</f>
        <v>0</v>
      </c>
    </row>
    <row r="1848">
      <c r="A1848">
        <v>717492</v>
      </c>
      <c r="B1848" t="str">
        <v>11546370-IN-PN</v>
      </c>
      <c r="C1848">
        <v>174</v>
      </c>
      <c r="E1848">
        <v>1150</v>
      </c>
      <c r="F1848">
        <v>7718</v>
      </c>
      <c r="K1848">
        <f>IF(ISERROR(MATCH(WORKORDER[[#This Row],[TRAVELER]],Table1[TRAVELER],0)),K1848,"Shipped")</f>
        <v>0</v>
      </c>
      <c r="L1848">
        <f>+IF(ISERROR(MATCH([1]!WORKORDER[[#This Row],[TRAVELER]],[1]!Table1[TRAVELER],0)),L1848,#REF!)</f>
        <v>0</v>
      </c>
    </row>
    <row r="1849">
      <c r="A1849">
        <v>717549</v>
      </c>
      <c r="B1849">
        <v>11549204</v>
      </c>
      <c r="C1849">
        <v>1445</v>
      </c>
      <c r="E1849">
        <v>1217</v>
      </c>
      <c r="F1849">
        <v>8000</v>
      </c>
      <c r="K1849">
        <f>IF(ISERROR(MATCH(WORKORDER[[#This Row],[TRAVELER]],Table1[TRAVELER],0)),K1849,"Shipped")</f>
        <v>0</v>
      </c>
      <c r="L1849">
        <f>+IF(ISERROR(MATCH([1]!WORKORDER[[#This Row],[TRAVELER]],[1]!Table1[TRAVELER],0)),L1849,#REF!)</f>
        <v>0</v>
      </c>
    </row>
    <row r="1850">
      <c r="A1850">
        <v>717550</v>
      </c>
      <c r="B1850">
        <v>11549204</v>
      </c>
      <c r="C1850">
        <v>534</v>
      </c>
      <c r="E1850">
        <v>1217</v>
      </c>
      <c r="F1850">
        <v>8000</v>
      </c>
      <c r="K1850">
        <f>IF(ISERROR(MATCH(WORKORDER[[#This Row],[TRAVELER]],Table1[TRAVELER],0)),K1850,"Shipped")</f>
        <v>0</v>
      </c>
      <c r="L1850">
        <f>+IF(ISERROR(MATCH([1]!WORKORDER[[#This Row],[TRAVELER]],[1]!Table1[TRAVELER],0)),L1850,#REF!)</f>
        <v>0</v>
      </c>
    </row>
    <row r="1851">
      <c r="A1851">
        <v>717551</v>
      </c>
      <c r="B1851">
        <v>11549204</v>
      </c>
      <c r="C1851">
        <v>63</v>
      </c>
      <c r="E1851">
        <v>1217</v>
      </c>
      <c r="F1851">
        <v>8000</v>
      </c>
      <c r="K1851">
        <f>IF(ISERROR(MATCH(WORKORDER[[#This Row],[TRAVELER]],Table1[TRAVELER],0)),K1851,"Shipped")</f>
        <v>0</v>
      </c>
      <c r="L1851">
        <f>+IF(ISERROR(MATCH([1]!WORKORDER[[#This Row],[TRAVELER]],[1]!Table1[TRAVELER],0)),L1851,#REF!)</f>
        <v>0</v>
      </c>
    </row>
    <row r="1852">
      <c r="A1852">
        <v>717590</v>
      </c>
      <c r="B1852" t="str">
        <v>11546370-MY-AK</v>
      </c>
      <c r="C1852">
        <v>984</v>
      </c>
      <c r="E1852">
        <v>1214</v>
      </c>
      <c r="F1852">
        <v>8148</v>
      </c>
      <c r="K1852">
        <f>IF(ISERROR(MATCH(WORKORDER[[#This Row],[TRAVELER]],Table1[TRAVELER],0)),K1852,"Shipped")</f>
        <v>0</v>
      </c>
      <c r="L1852">
        <f>+IF(ISERROR(MATCH([1]!WORKORDER[[#This Row],[TRAVELER]],[1]!Table1[TRAVELER],0)),L1852,#REF!)</f>
        <v>0</v>
      </c>
    </row>
    <row r="1853">
      <c r="A1853">
        <v>717591</v>
      </c>
      <c r="B1853" t="str">
        <v>11546370-MY-AK</v>
      </c>
      <c r="C1853">
        <v>602</v>
      </c>
      <c r="E1853">
        <v>1145</v>
      </c>
      <c r="F1853">
        <v>7685</v>
      </c>
      <c r="K1853">
        <f>IF(ISERROR(MATCH(WORKORDER[[#This Row],[TRAVELER]],Table1[TRAVELER],0)),K1853,"Shipped")</f>
        <v>0</v>
      </c>
      <c r="L1853">
        <f>+IF(ISERROR(MATCH([1]!WORKORDER[[#This Row],[TRAVELER]],[1]!Table1[TRAVELER],0)),L1853,#REF!)</f>
        <v>0</v>
      </c>
    </row>
    <row r="1854">
      <c r="A1854">
        <v>717592</v>
      </c>
      <c r="B1854" t="str">
        <v>11546370-MY-AK</v>
      </c>
      <c r="C1854">
        <v>824</v>
      </c>
      <c r="E1854">
        <v>1069</v>
      </c>
      <c r="F1854">
        <v>7174</v>
      </c>
      <c r="K1854">
        <f>IF(ISERROR(MATCH(WORKORDER[[#This Row],[TRAVELER]],Table1[TRAVELER],0)),K1854,"Shipped")</f>
        <v>0</v>
      </c>
      <c r="L1854">
        <f>+IF(ISERROR(MATCH([1]!WORKORDER[[#This Row],[TRAVELER]],[1]!Table1[TRAVELER],0)),L1854,#REF!)</f>
        <v>0</v>
      </c>
    </row>
  </sheetData>
  <pageMargins left="0.7480314960629921" right="0.7480314960629921" top="0.5905511811023623" bottom="0.5905511811023623" header="0.5118110236220472" footer="0.5118110236220472"/>
  <ignoredErrors>
    <ignoredError numberStoredAsText="1" sqref="A1:O18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