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Customer\INFASCO NUT\partial box\Partial Boxes 2026\"/>
    </mc:Choice>
  </mc:AlternateContent>
  <xr:revisionPtr revIDLastSave="0" documentId="13_ncr:1_{74FD07F0-2E29-4CD6-9EA6-4B392001D93D}" xr6:coauthVersionLast="47" xr6:coauthVersionMax="47" xr10:uidLastSave="{00000000-0000-0000-0000-000000000000}"/>
  <bookViews>
    <workbookView xWindow="-120" yWindow="-120" windowWidth="29040" windowHeight="15840" firstSheet="33" activeTab="43" xr2:uid="{7175F104-B7A4-40C6-A607-552ACE409767}"/>
  </bookViews>
  <sheets>
    <sheet name="JAN 1" sheetId="1" r:id="rId1"/>
    <sheet name="JAN 2" sheetId="2" r:id="rId2"/>
    <sheet name="JAN 3" sheetId="3" r:id="rId3"/>
    <sheet name="JAN 4" sheetId="4" r:id="rId4"/>
    <sheet name="JAN 5" sheetId="5" r:id="rId5"/>
    <sheet name="JAN 6" sheetId="6" r:id="rId6"/>
    <sheet name="MAR 6" sheetId="7" r:id="rId7"/>
    <sheet name="MAR" sheetId="8" r:id="rId8"/>
    <sheet name="MAR 7" sheetId="9" r:id="rId9"/>
    <sheet name="Apr 06" sheetId="11" r:id="rId10"/>
    <sheet name="Arp 6" sheetId="12" r:id="rId11"/>
    <sheet name="apr6" sheetId="13" r:id="rId12"/>
    <sheet name="Apr (4)" sheetId="16" r:id="rId13"/>
    <sheet name="Apr (5)" sheetId="15" r:id="rId14"/>
    <sheet name="Apr (6)" sheetId="17" r:id="rId15"/>
    <sheet name="Apr (7)" sheetId="18" r:id="rId16"/>
    <sheet name="Apr (8)" sheetId="19" r:id="rId17"/>
    <sheet name="MAY 1" sheetId="21" r:id="rId18"/>
    <sheet name="MAY 2" sheetId="23" r:id="rId19"/>
    <sheet name="MAY 3" sheetId="24" r:id="rId20"/>
    <sheet name="MAY 4" sheetId="25" r:id="rId21"/>
    <sheet name="MAY 5" sheetId="26" r:id="rId22"/>
    <sheet name="MAY 6" sheetId="27" r:id="rId23"/>
    <sheet name="MAY 7" sheetId="28" r:id="rId24"/>
    <sheet name="MAY 8" sheetId="29" r:id="rId25"/>
    <sheet name="JUNE 1" sheetId="32" r:id="rId26"/>
    <sheet name="JUNE 2" sheetId="33" r:id="rId27"/>
    <sheet name="JUNE 3" sheetId="34" r:id="rId28"/>
    <sheet name="JUNE 4" sheetId="35" r:id="rId29"/>
    <sheet name="JUNE 5" sheetId="36" r:id="rId30"/>
    <sheet name="JUNE 6" sheetId="37" r:id="rId31"/>
    <sheet name="July 24 2026" sheetId="38" r:id="rId32"/>
    <sheet name="July 23, 2026" sheetId="39" r:id="rId33"/>
    <sheet name="July 27, 2026" sheetId="40" r:id="rId34"/>
    <sheet name="July 28, 2026" sheetId="41" r:id="rId35"/>
    <sheet name="july-29" sheetId="43" r:id="rId36"/>
    <sheet name="INVENTORY" sheetId="42" r:id="rId37"/>
    <sheet name="Inventory1" sheetId="44" r:id="rId38"/>
    <sheet name="Sheet2" sheetId="46" r:id="rId39"/>
    <sheet name="AUG 25" sheetId="31" r:id="rId40"/>
    <sheet name="Aug 26" sheetId="45" r:id="rId41"/>
    <sheet name="Aug 27" sheetId="47" r:id="rId42"/>
    <sheet name="Aug 28" sheetId="48" r:id="rId43"/>
    <sheet name="Aug 31" sheetId="49" r:id="rId44"/>
    <sheet name="Sheet3" sheetId="50" r:id="rId45"/>
  </sheets>
  <definedNames>
    <definedName name="_xlnm._FilterDatabase" localSheetId="36" hidden="1">INVENTORY!$A$4:$F$898</definedName>
    <definedName name="_xlnm._FilterDatabase" localSheetId="37" hidden="1">Inventory1!$A$5:$F$5</definedName>
    <definedName name="_xlnm._FilterDatabase" localSheetId="0" hidden="1">'JAN 1'!$A$4:$D$41</definedName>
    <definedName name="_xlnm._FilterDatabase" localSheetId="1" hidden="1">'JAN 2'!$A$4:$D$42</definedName>
    <definedName name="_xlnm._FilterDatabase" localSheetId="2" hidden="1">'JAN 3'!$A$4:$D$42</definedName>
    <definedName name="_xlnm._FilterDatabase" localSheetId="3" hidden="1">'JAN 4'!$A$4:$D$42</definedName>
    <definedName name="_xlnm._FilterDatabase" localSheetId="4" hidden="1">'JAN 5'!$A$4:$D$42</definedName>
    <definedName name="_xlnm._FilterDatabase" localSheetId="5" hidden="1">'JAN 6'!$A$4:$D$42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49" l="1"/>
  <c r="D46" i="48"/>
  <c r="D49" i="47"/>
  <c r="D49" i="45"/>
  <c r="E537" i="42" l="1"/>
  <c r="E765" i="42"/>
  <c r="E139" i="42"/>
  <c r="E131" i="42"/>
  <c r="E522" i="42"/>
  <c r="E503" i="42"/>
  <c r="E492" i="42"/>
  <c r="E418" i="42"/>
  <c r="E348" i="42"/>
  <c r="E344" i="42"/>
  <c r="E414" i="42"/>
  <c r="E878" i="42"/>
  <c r="E802" i="42"/>
  <c r="E785" i="42"/>
  <c r="E210" i="42"/>
  <c r="E238" i="42"/>
  <c r="E112" i="42"/>
  <c r="E541" i="42"/>
  <c r="E528" i="42"/>
  <c r="E461" i="42"/>
  <c r="E448" i="42"/>
  <c r="E405" i="42"/>
  <c r="E402" i="42"/>
  <c r="E388" i="42"/>
  <c r="E353" i="42"/>
  <c r="E327" i="42"/>
  <c r="E141" i="42"/>
  <c r="E69" i="42"/>
  <c r="E55" i="42"/>
  <c r="E898" i="42"/>
  <c r="E896" i="42"/>
  <c r="E894" i="42"/>
  <c r="E892" i="42"/>
  <c r="E890" i="42"/>
  <c r="E888" i="42"/>
  <c r="E885" i="42"/>
  <c r="E883" i="42"/>
  <c r="E872" i="42"/>
  <c r="E869" i="42"/>
  <c r="E867" i="42"/>
  <c r="E865" i="42"/>
  <c r="E861" i="42"/>
  <c r="E859" i="42"/>
  <c r="E857" i="42"/>
  <c r="E855" i="42"/>
  <c r="E853" i="42"/>
  <c r="E850" i="42"/>
  <c r="E845" i="42"/>
  <c r="E843" i="42"/>
  <c r="E840" i="42"/>
  <c r="E838" i="42"/>
  <c r="E835" i="42"/>
  <c r="E833" i="42"/>
  <c r="E831" i="42"/>
  <c r="E823" i="42"/>
  <c r="E821" i="42"/>
  <c r="E819" i="42"/>
  <c r="E816" i="42"/>
  <c r="E814" i="42"/>
  <c r="E812" i="42"/>
  <c r="E810" i="42"/>
  <c r="E808" i="42"/>
  <c r="E806" i="42"/>
  <c r="E804" i="42"/>
  <c r="E798" i="42"/>
  <c r="E796" i="42"/>
  <c r="E794" i="42"/>
  <c r="E791" i="42"/>
  <c r="E788" i="42"/>
  <c r="E778" i="42"/>
  <c r="E776" i="42"/>
  <c r="E774" i="42"/>
  <c r="E772" i="42"/>
  <c r="E770" i="42"/>
  <c r="E768" i="42"/>
  <c r="E763" i="42"/>
  <c r="E761" i="42"/>
  <c r="E759" i="42"/>
  <c r="E757" i="42"/>
  <c r="E755" i="42"/>
  <c r="E753" i="42"/>
  <c r="E750" i="42"/>
  <c r="E748" i="42"/>
  <c r="E746" i="42"/>
  <c r="E744" i="42"/>
  <c r="E742" i="42"/>
  <c r="E740" i="42"/>
  <c r="E738" i="42"/>
  <c r="E736" i="42"/>
  <c r="E734" i="42"/>
  <c r="E729" i="42"/>
  <c r="E727" i="42"/>
  <c r="E723" i="42"/>
  <c r="E720" i="42"/>
  <c r="E718" i="42"/>
  <c r="E716" i="42"/>
  <c r="E714" i="42"/>
  <c r="E709" i="42"/>
  <c r="E706" i="42"/>
  <c r="E704" i="42"/>
  <c r="E702" i="42"/>
  <c r="E698" i="42"/>
  <c r="E696" i="42"/>
  <c r="E692" i="42"/>
  <c r="E690" i="42"/>
  <c r="E688" i="42"/>
  <c r="E686" i="42"/>
  <c r="E682" i="42"/>
  <c r="E680" i="42"/>
  <c r="E677" i="42"/>
  <c r="E674" i="42"/>
  <c r="E672" i="42"/>
  <c r="E669" i="42"/>
  <c r="E667" i="42"/>
  <c r="E664" i="42"/>
  <c r="E662" i="42"/>
  <c r="E657" i="42"/>
  <c r="E654" i="42"/>
  <c r="E647" i="42"/>
  <c r="E644" i="42"/>
  <c r="E638" i="42"/>
  <c r="E631" i="42"/>
  <c r="E629" i="42"/>
  <c r="E624" i="42"/>
  <c r="E615" i="42"/>
  <c r="E612" i="42"/>
  <c r="E606" i="42"/>
  <c r="E603" i="42"/>
  <c r="E596" i="42"/>
  <c r="E594" i="42"/>
  <c r="E592" i="42"/>
  <c r="E587" i="42"/>
  <c r="E585" i="42"/>
  <c r="E582" i="42"/>
  <c r="E580" i="42"/>
  <c r="E578" i="42"/>
  <c r="E576" i="42"/>
  <c r="E574" i="42"/>
  <c r="E572" i="42"/>
  <c r="E565" i="42"/>
  <c r="E563" i="42"/>
  <c r="E561" i="42"/>
  <c r="E559" i="42"/>
  <c r="E557" i="42"/>
  <c r="E555" i="42"/>
  <c r="E553" i="42"/>
  <c r="E551" i="42"/>
  <c r="E549" i="42"/>
  <c r="E547" i="42"/>
  <c r="E545" i="42"/>
  <c r="E543" i="42"/>
  <c r="E533" i="42"/>
  <c r="E530" i="42"/>
  <c r="E524" i="42"/>
  <c r="E518" i="42"/>
  <c r="E516" i="42"/>
  <c r="E514" i="42"/>
  <c r="E512" i="42"/>
  <c r="E509" i="42"/>
  <c r="E507" i="42"/>
  <c r="E499" i="42"/>
  <c r="E494" i="42"/>
  <c r="E489" i="42"/>
  <c r="E485" i="42"/>
  <c r="E482" i="42"/>
  <c r="E480" i="42"/>
  <c r="E478" i="42"/>
  <c r="E476" i="42"/>
  <c r="E474" i="42"/>
  <c r="E472" i="42"/>
  <c r="E470" i="42"/>
  <c r="E463" i="42"/>
  <c r="E457" i="42"/>
  <c r="E455" i="42"/>
  <c r="E443" i="42"/>
  <c r="E440" i="42"/>
  <c r="E437" i="42"/>
  <c r="E432" i="42"/>
  <c r="E425" i="42"/>
  <c r="E423" i="42"/>
  <c r="E421" i="42"/>
  <c r="E399" i="42"/>
  <c r="E395" i="42"/>
  <c r="E393" i="42"/>
  <c r="E391" i="42"/>
  <c r="E385" i="42"/>
  <c r="E383" i="42"/>
  <c r="E381" i="42"/>
  <c r="E373" i="42"/>
  <c r="E370" i="42"/>
  <c r="E368" i="42"/>
  <c r="E366" i="42"/>
  <c r="E364" i="42"/>
  <c r="E360" i="42"/>
  <c r="E357" i="42"/>
  <c r="E355" i="42"/>
  <c r="E350" i="42"/>
  <c r="E339" i="42"/>
  <c r="E337" i="42"/>
  <c r="E335" i="42"/>
  <c r="E333" i="42"/>
  <c r="E331" i="42"/>
  <c r="E329" i="42"/>
  <c r="E325" i="42"/>
  <c r="E322" i="42"/>
  <c r="E317" i="42"/>
  <c r="E315" i="42"/>
  <c r="E313" i="42"/>
  <c r="E310" i="42"/>
  <c r="E307" i="42"/>
  <c r="E304" i="42"/>
  <c r="E302" i="42"/>
  <c r="E300" i="42"/>
  <c r="E297" i="42"/>
  <c r="E294" i="42"/>
  <c r="E292" i="42"/>
  <c r="E290" i="42"/>
  <c r="E288" i="42"/>
  <c r="E286" i="42"/>
  <c r="E284" i="42"/>
  <c r="E281" i="42"/>
  <c r="E278" i="42"/>
  <c r="E275" i="42"/>
  <c r="E269" i="42"/>
  <c r="E267" i="42"/>
  <c r="E262" i="42"/>
  <c r="E260" i="42"/>
  <c r="E258" i="42"/>
  <c r="E254" i="42"/>
  <c r="E252" i="42"/>
  <c r="E250" i="42"/>
  <c r="E247" i="42"/>
  <c r="E245" i="42"/>
  <c r="E240" i="42"/>
  <c r="E232" i="42"/>
  <c r="E230" i="42"/>
  <c r="E212" i="42"/>
  <c r="E196" i="42"/>
  <c r="E194" i="42"/>
  <c r="E191" i="42"/>
  <c r="E185" i="42"/>
  <c r="E182" i="42"/>
  <c r="E180" i="42"/>
  <c r="E178" i="42"/>
  <c r="E176" i="42"/>
  <c r="E170" i="42"/>
  <c r="E166" i="42"/>
  <c r="E161" i="42"/>
  <c r="E159" i="42"/>
  <c r="E157" i="42"/>
  <c r="E155" i="42"/>
  <c r="E126" i="42"/>
  <c r="E122" i="42"/>
  <c r="E119" i="42"/>
  <c r="E103" i="42"/>
  <c r="E99" i="42"/>
  <c r="E95" i="42"/>
  <c r="E93" i="42"/>
  <c r="E91" i="42"/>
  <c r="E88" i="42"/>
  <c r="E81" i="42"/>
  <c r="E79" i="42"/>
  <c r="E77" i="42"/>
  <c r="E75" i="42"/>
  <c r="E73" i="42"/>
  <c r="E71" i="42"/>
  <c r="E67" i="42"/>
  <c r="E65" i="42"/>
  <c r="E63" i="42"/>
  <c r="E61" i="42"/>
  <c r="E59" i="42"/>
  <c r="E53" i="42"/>
  <c r="E51" i="42"/>
  <c r="E49" i="42"/>
  <c r="E46" i="42"/>
  <c r="E43" i="42"/>
  <c r="E41" i="42"/>
  <c r="E38" i="42"/>
  <c r="E36" i="42"/>
  <c r="E32" i="42"/>
  <c r="E29" i="42"/>
  <c r="E26" i="42"/>
  <c r="E22" i="42"/>
  <c r="E20" i="42"/>
  <c r="E18" i="42"/>
  <c r="E16" i="42"/>
  <c r="E14" i="42"/>
  <c r="E12" i="42"/>
  <c r="E9" i="42"/>
  <c r="D56" i="43"/>
  <c r="D54" i="41"/>
  <c r="D50" i="40"/>
  <c r="D48" i="39"/>
  <c r="D43" i="38"/>
  <c r="E899" i="42" l="1"/>
  <c r="D50" i="38"/>
  <c r="E18" i="36"/>
  <c r="D47" i="37"/>
  <c r="D48" i="36"/>
  <c r="E24" i="34"/>
  <c r="E22" i="34"/>
  <c r="E18" i="34"/>
  <c r="E17" i="34"/>
  <c r="E9" i="34"/>
  <c r="E8" i="34"/>
  <c r="E5" i="34"/>
  <c r="E21" i="33"/>
  <c r="E18" i="33"/>
  <c r="E17" i="33"/>
  <c r="E14" i="33"/>
  <c r="E12" i="33"/>
  <c r="E11" i="33"/>
  <c r="E10" i="33"/>
  <c r="E9" i="33"/>
  <c r="E7" i="33"/>
  <c r="E11" i="32"/>
  <c r="E10" i="32"/>
  <c r="E6" i="32"/>
  <c r="E5" i="32"/>
  <c r="D48" i="35"/>
  <c r="D48" i="34"/>
  <c r="D48" i="33"/>
  <c r="D48" i="32" l="1"/>
  <c r="D49" i="31"/>
  <c r="E14" i="29"/>
  <c r="E13" i="29"/>
  <c r="E12" i="29"/>
  <c r="E11" i="29"/>
  <c r="E10" i="29"/>
  <c r="E7" i="29"/>
  <c r="E5" i="29"/>
  <c r="E31" i="28"/>
  <c r="E11" i="28"/>
  <c r="E5" i="27"/>
  <c r="E25" i="26"/>
  <c r="E23" i="26"/>
  <c r="E18" i="26"/>
  <c r="E16" i="26"/>
  <c r="E5" i="26"/>
  <c r="E15" i="25"/>
  <c r="E10" i="24"/>
  <c r="E8" i="24"/>
  <c r="E7" i="24"/>
  <c r="E29" i="23"/>
  <c r="E18" i="23"/>
  <c r="E17" i="23"/>
  <c r="E15" i="23"/>
  <c r="E5" i="23"/>
  <c r="D49" i="29"/>
  <c r="D49" i="28" l="1"/>
  <c r="D44" i="27"/>
  <c r="D44" i="26"/>
  <c r="D45" i="25"/>
  <c r="D45" i="24"/>
  <c r="D45" i="23"/>
  <c r="D45" i="21"/>
  <c r="D45" i="19"/>
  <c r="D42" i="18"/>
  <c r="D42" i="17"/>
  <c r="D42" i="16"/>
  <c r="D42" i="15"/>
  <c r="D42" i="13"/>
  <c r="D44" i="12"/>
  <c r="D41" i="11" l="1"/>
  <c r="D41" i="9"/>
  <c r="D42" i="8"/>
  <c r="D31" i="7"/>
  <c r="D25" i="7"/>
  <c r="D24" i="7"/>
  <c r="D13" i="7"/>
  <c r="D42" i="6"/>
  <c r="D42" i="5" l="1"/>
  <c r="D42" i="4"/>
  <c r="D42" i="3" l="1"/>
  <c r="D42" i="2" l="1"/>
  <c r="D41" i="1"/>
</calcChain>
</file>

<file path=xl/sharedStrings.xml><?xml version="1.0" encoding="utf-8"?>
<sst xmlns="http://schemas.openxmlformats.org/spreadsheetml/2006/main" count="3583" uniqueCount="1601">
  <si>
    <t>TOTAL BOXES</t>
  </si>
  <si>
    <t>06105102AA</t>
  </si>
  <si>
    <t># OF CARTONS</t>
  </si>
  <si>
    <t>TRAVELER</t>
  </si>
  <si>
    <t>LOT #</t>
  </si>
  <si>
    <t>PART #</t>
  </si>
  <si>
    <t xml:space="preserve">PARTIAL BOXES </t>
  </si>
  <si>
    <t>Note: SKID# .1. OF 1, 2026</t>
  </si>
  <si>
    <t>06514720aa</t>
  </si>
  <si>
    <t>06513805AA</t>
  </si>
  <si>
    <t>06513554AA</t>
  </si>
  <si>
    <t>11514596-CA-IN</t>
  </si>
  <si>
    <t>06100050-A</t>
  </si>
  <si>
    <t>W711468-S437</t>
  </si>
  <si>
    <t>11546377BR</t>
  </si>
  <si>
    <t>F1302AB</t>
  </si>
  <si>
    <t>L0668498AA02</t>
  </si>
  <si>
    <t>W520101-S442</t>
  </si>
  <si>
    <t>W719080-s450</t>
  </si>
  <si>
    <t>6-012-34-B</t>
  </si>
  <si>
    <t>5-356-52-A</t>
  </si>
  <si>
    <t>6-019-30-A</t>
  </si>
  <si>
    <t>6-019-42-A</t>
  </si>
  <si>
    <t>6-020-16-A</t>
  </si>
  <si>
    <t>5-297-08-B</t>
  </si>
  <si>
    <t>5-350-10-A</t>
  </si>
  <si>
    <t>6-020-29-B</t>
  </si>
  <si>
    <t>6-006-14-A</t>
  </si>
  <si>
    <t>6-023-02-a</t>
  </si>
  <si>
    <t>5-328-38-A</t>
  </si>
  <si>
    <t>5-318-34-B</t>
  </si>
  <si>
    <t>5-331-01-F</t>
  </si>
  <si>
    <t>5-314-15-A</t>
  </si>
  <si>
    <t>5-321-10-A</t>
  </si>
  <si>
    <t>5-351-28-F</t>
  </si>
  <si>
    <t>6-023-13-a</t>
  </si>
  <si>
    <t>6-023-27-A</t>
  </si>
  <si>
    <t>5-321-08-A</t>
  </si>
  <si>
    <t>5-325-16-B</t>
  </si>
  <si>
    <t>5-328-03-I</t>
  </si>
  <si>
    <t>5-328-31-a</t>
  </si>
  <si>
    <t>5-336-19-a</t>
  </si>
  <si>
    <t>5-252-28-B</t>
  </si>
  <si>
    <t>5-259-16-A</t>
  </si>
  <si>
    <t>5-267-06-b</t>
  </si>
  <si>
    <t>Note: SKID# .2. OF 1, 2026</t>
  </si>
  <si>
    <t>06511701AA</t>
  </si>
  <si>
    <t>11546365-MY-AK</t>
  </si>
  <si>
    <t>11546367-CA-IN</t>
  </si>
  <si>
    <t>11546366-MY-AK</t>
  </si>
  <si>
    <t>W520113-S441</t>
  </si>
  <si>
    <t>P2152050</t>
  </si>
  <si>
    <t>06104388AA</t>
  </si>
  <si>
    <t>06105048AA</t>
  </si>
  <si>
    <t>W20-1028-016LT</t>
  </si>
  <si>
    <t>06509967AA</t>
  </si>
  <si>
    <t>06502979AA</t>
  </si>
  <si>
    <t>06512106AA</t>
  </si>
  <si>
    <t>5-267-15-c</t>
  </si>
  <si>
    <t>5-281-13-B</t>
  </si>
  <si>
    <t>5-301-17-B</t>
  </si>
  <si>
    <t>5-302-02-A</t>
  </si>
  <si>
    <t>5-266-14-b</t>
  </si>
  <si>
    <t>5-266-17-D</t>
  </si>
  <si>
    <t>5-302-12-A</t>
  </si>
  <si>
    <t>5-274-10-A</t>
  </si>
  <si>
    <t>5-272-37-A</t>
  </si>
  <si>
    <t>5-237-13-B</t>
  </si>
  <si>
    <t>5-279-16-B</t>
  </si>
  <si>
    <t>5-262-09-B</t>
  </si>
  <si>
    <t>5-279-04-A</t>
  </si>
  <si>
    <t>5-267-10-A</t>
  </si>
  <si>
    <t>5-284-09-D</t>
  </si>
  <si>
    <t>5-253-24-E</t>
  </si>
  <si>
    <t>5-303-13-lt</t>
  </si>
  <si>
    <t>5-274-19-F</t>
  </si>
  <si>
    <t>5-283-26-A</t>
  </si>
  <si>
    <t>5-287-30-A</t>
  </si>
  <si>
    <t>11547369-BR-HA</t>
  </si>
  <si>
    <t>5-247-28-G</t>
  </si>
  <si>
    <t>5-273-29-E</t>
  </si>
  <si>
    <t>5-264-52-a</t>
  </si>
  <si>
    <t>5-253-17-d</t>
  </si>
  <si>
    <t>5-212-19-a</t>
  </si>
  <si>
    <t>5-009-12-b</t>
  </si>
  <si>
    <t>Note: SKID# .3. OF 1, 2026</t>
  </si>
  <si>
    <t>E6267AB</t>
  </si>
  <si>
    <t>06101968-a</t>
  </si>
  <si>
    <t>06505246aa</t>
  </si>
  <si>
    <t>11549170-MY-AK</t>
  </si>
  <si>
    <t>11546364-MY-AK</t>
  </si>
  <si>
    <t>W520414-S440</t>
  </si>
  <si>
    <t>06101831-A</t>
  </si>
  <si>
    <t>06513904AA</t>
  </si>
  <si>
    <t>06511777AA</t>
  </si>
  <si>
    <t>06511799AA</t>
  </si>
  <si>
    <t>N620483-S2</t>
  </si>
  <si>
    <t>W715851-S450B</t>
  </si>
  <si>
    <t>06104725AA</t>
  </si>
  <si>
    <t>4519-19</t>
  </si>
  <si>
    <t>W705606-S440</t>
  </si>
  <si>
    <t>06511672AA</t>
  </si>
  <si>
    <t>11546368-MY-AK</t>
  </si>
  <si>
    <t>7150-3036-W0</t>
  </si>
  <si>
    <t>06504080-T</t>
  </si>
  <si>
    <t>5-003-15-a</t>
  </si>
  <si>
    <t>5-036-08-B</t>
  </si>
  <si>
    <t>5-036-20-b</t>
  </si>
  <si>
    <t>5-017-03-B</t>
  </si>
  <si>
    <t>5-328-28-P</t>
  </si>
  <si>
    <t>5-351-11-a</t>
  </si>
  <si>
    <t>5-331-01-E</t>
  </si>
  <si>
    <t>5-335-09-A</t>
  </si>
  <si>
    <t>5-279-13-C</t>
  </si>
  <si>
    <t>5-281-21-A</t>
  </si>
  <si>
    <t>5-308-23-A</t>
  </si>
  <si>
    <t>5-274-38-A</t>
  </si>
  <si>
    <t>5-264-52-b</t>
  </si>
  <si>
    <t>5-316-13-A</t>
  </si>
  <si>
    <t>5-279-05-B</t>
  </si>
  <si>
    <t>5-279-29-B</t>
  </si>
  <si>
    <t>5-275-21-A</t>
  </si>
  <si>
    <t>5-237-35-A</t>
  </si>
  <si>
    <t>5-286-05-B</t>
  </si>
  <si>
    <t>5-264-54-a</t>
  </si>
  <si>
    <t>5-274-24-B</t>
  </si>
  <si>
    <t>5-267-12-B</t>
  </si>
  <si>
    <t>5-295-16-E</t>
  </si>
  <si>
    <t>5-264-33-a</t>
  </si>
  <si>
    <t>5-266-01-l</t>
  </si>
  <si>
    <t>5-300-11-a</t>
  </si>
  <si>
    <t>5-268-29-C</t>
  </si>
  <si>
    <t>5-323-16-B</t>
  </si>
  <si>
    <t>5-062-13-b</t>
  </si>
  <si>
    <t>5-094-17-a</t>
  </si>
  <si>
    <t>Note: SKID# .4. OF 1, 2026</t>
  </si>
  <si>
    <t>W520217-S440</t>
  </si>
  <si>
    <t>06513485AA</t>
  </si>
  <si>
    <t>06511637AA</t>
  </si>
  <si>
    <t>W520514-S442</t>
  </si>
  <si>
    <t>E12538</t>
  </si>
  <si>
    <t>W520111-S440</t>
  </si>
  <si>
    <t>06105051AA</t>
  </si>
  <si>
    <t>06513804AA</t>
  </si>
  <si>
    <t>06512313AA</t>
  </si>
  <si>
    <t>11546368-CA-IN</t>
  </si>
  <si>
    <t>5-311-10-b</t>
  </si>
  <si>
    <t>5-321-41-b</t>
  </si>
  <si>
    <t>5-350-34-a</t>
  </si>
  <si>
    <t>5-314-36-a</t>
  </si>
  <si>
    <t>5-352-39-a</t>
  </si>
  <si>
    <t>5-335-57-a</t>
  </si>
  <si>
    <t>5-307-09-b</t>
  </si>
  <si>
    <t>5-318-17-b</t>
  </si>
  <si>
    <t>5-344-20-a</t>
  </si>
  <si>
    <t>5-350-10-a</t>
  </si>
  <si>
    <t>5-309-17-a</t>
  </si>
  <si>
    <t>5-349-54-b</t>
  </si>
  <si>
    <t>5-290-07-b</t>
  </si>
  <si>
    <t>5-197-13-a</t>
  </si>
  <si>
    <t>5-318-02-d</t>
  </si>
  <si>
    <t>5-328-41-d</t>
  </si>
  <si>
    <t>5-324-24-c</t>
  </si>
  <si>
    <t>5-318-10-d</t>
  </si>
  <si>
    <t>5-323-33-a</t>
  </si>
  <si>
    <t>5-351-27-a</t>
  </si>
  <si>
    <t>5-318-33-d</t>
  </si>
  <si>
    <t>5-325-23-a</t>
  </si>
  <si>
    <t>5-310-17-a</t>
  </si>
  <si>
    <t>5-316-09-b</t>
  </si>
  <si>
    <t>5-356-17-a</t>
  </si>
  <si>
    <t>5-314-03-e</t>
  </si>
  <si>
    <t>5-325-06-e</t>
  </si>
  <si>
    <t>5-287-60-a</t>
  </si>
  <si>
    <t>Note: SKID# .5. OF 1, 2026</t>
  </si>
  <si>
    <t>06511847AA</t>
  </si>
  <si>
    <t>7150-3033-02</t>
  </si>
  <si>
    <t>06509487AA</t>
  </si>
  <si>
    <t>06514094AA</t>
  </si>
  <si>
    <t>06506707AA</t>
  </si>
  <si>
    <t>06505668AA</t>
  </si>
  <si>
    <t>HL3W-4320-AA</t>
  </si>
  <si>
    <t>5-316-08-b</t>
  </si>
  <si>
    <t>5-311-07-a</t>
  </si>
  <si>
    <t>5-323-09-b</t>
  </si>
  <si>
    <t>5-323-16-b</t>
  </si>
  <si>
    <t>5-143-04-a</t>
  </si>
  <si>
    <t>5-157-14-a</t>
  </si>
  <si>
    <t>5-093-18-b</t>
  </si>
  <si>
    <t>5-174-37-b</t>
  </si>
  <si>
    <t>4-353-18-b</t>
  </si>
  <si>
    <t>4-345-17-A</t>
  </si>
  <si>
    <t>5-036-07-a</t>
  </si>
  <si>
    <t>5-307-08-a</t>
  </si>
  <si>
    <t>5-352-17-d</t>
  </si>
  <si>
    <t>5-321-15-b</t>
  </si>
  <si>
    <t>5-349-34-a</t>
  </si>
  <si>
    <t>5-217-37-a</t>
  </si>
  <si>
    <t>5-230-47-f</t>
  </si>
  <si>
    <t>5-259-18-f</t>
  </si>
  <si>
    <t>06513990AA</t>
  </si>
  <si>
    <t>5-344-18-a</t>
  </si>
  <si>
    <t>5-309-06-d</t>
  </si>
  <si>
    <t>5-324-08-b</t>
  </si>
  <si>
    <t>5-311-29-a</t>
  </si>
  <si>
    <t>4-264-35-a</t>
  </si>
  <si>
    <t>4-268-12-B</t>
  </si>
  <si>
    <t>Note: SKID# .6. OF 1, 2026</t>
  </si>
  <si>
    <t>11546367-MY-AK</t>
  </si>
  <si>
    <t>06512349AA</t>
  </si>
  <si>
    <t>11549170-CA-IN</t>
  </si>
  <si>
    <t>11516133-CA-IN</t>
  </si>
  <si>
    <t>06514720AA</t>
  </si>
  <si>
    <t>W711953-S900</t>
  </si>
  <si>
    <t>06512104AA</t>
  </si>
  <si>
    <t>SZ310C1901</t>
  </si>
  <si>
    <t>W520101-S450</t>
  </si>
  <si>
    <t>W20-1028-012</t>
  </si>
  <si>
    <t>6-014-16-a</t>
  </si>
  <si>
    <t>6-014-13-a</t>
  </si>
  <si>
    <t>6-008-11-a</t>
  </si>
  <si>
    <t>6-002-13-a</t>
  </si>
  <si>
    <t>6-014-01-a</t>
  </si>
  <si>
    <t>6-019-31-a</t>
  </si>
  <si>
    <t>5-353-14-b</t>
  </si>
  <si>
    <t>5-364-08-a</t>
  </si>
  <si>
    <t>5-350-04-c</t>
  </si>
  <si>
    <t>6-009-04-a</t>
  </si>
  <si>
    <t>6-002-25-a</t>
  </si>
  <si>
    <t>6-012-30-a</t>
  </si>
  <si>
    <t>6-002-10-a</t>
  </si>
  <si>
    <t>5-356-47-a</t>
  </si>
  <si>
    <t>6-009-09-a</t>
  </si>
  <si>
    <t>5-356-41-a</t>
  </si>
  <si>
    <t>6-005-12-a</t>
  </si>
  <si>
    <t>5-356-20-a</t>
  </si>
  <si>
    <t>6-019-09-a</t>
  </si>
  <si>
    <t>5-358-04-a</t>
  </si>
  <si>
    <t>6-020-20-a</t>
  </si>
  <si>
    <t>6-007-19-a</t>
  </si>
  <si>
    <t>6-040-07-b</t>
  </si>
  <si>
    <t>6-026-22-b</t>
  </si>
  <si>
    <t>W520413-S450L</t>
  </si>
  <si>
    <t>6-034-29-c</t>
  </si>
  <si>
    <t>6-050-29-c</t>
  </si>
  <si>
    <t>6-034-18-a</t>
  </si>
  <si>
    <t>6-035-14-a</t>
  </si>
  <si>
    <t>6-030-19-A</t>
  </si>
  <si>
    <t>6-030-16-b</t>
  </si>
  <si>
    <t>MARCH</t>
  </si>
  <si>
    <t>Note: SKID# .6. OF 8, 2026</t>
  </si>
  <si>
    <t>P2152051-L</t>
  </si>
  <si>
    <t>P7241950-HT</t>
  </si>
  <si>
    <t>11610122-HT</t>
  </si>
  <si>
    <t>11588293-P</t>
  </si>
  <si>
    <t>06513904AA-A</t>
  </si>
  <si>
    <t>06509967AA-HT</t>
  </si>
  <si>
    <t>54041001-HT</t>
  </si>
  <si>
    <t>06512834AA</t>
  </si>
  <si>
    <t>11561114-HT</t>
  </si>
  <si>
    <t>11516133-L</t>
  </si>
  <si>
    <t>06513554-AA-HT</t>
  </si>
  <si>
    <t>11549170-L</t>
  </si>
  <si>
    <t>5-314-07-a</t>
  </si>
  <si>
    <t>5-260-23-a</t>
  </si>
  <si>
    <t>1K2GZ0-00-A</t>
  </si>
  <si>
    <t>5-261-08-a</t>
  </si>
  <si>
    <t>5-238-35-c</t>
  </si>
  <si>
    <t>5-286-12-A</t>
  </si>
  <si>
    <t>5-245-27-a</t>
  </si>
  <si>
    <t>5-218-27-a</t>
  </si>
  <si>
    <t>5-218-27-b</t>
  </si>
  <si>
    <t>5-217-41-a</t>
  </si>
  <si>
    <t>5-223-16-b</t>
  </si>
  <si>
    <t>5-219-29-a</t>
  </si>
  <si>
    <t>5-223-28-d</t>
  </si>
  <si>
    <t>5-262-10-C</t>
  </si>
  <si>
    <t>5-225-05-d</t>
  </si>
  <si>
    <t>5-217-28-a</t>
  </si>
  <si>
    <t>5-240-39-b</t>
  </si>
  <si>
    <t>5-224-19-b</t>
  </si>
  <si>
    <t>5-217-38-b</t>
  </si>
  <si>
    <t>5-212-41-b</t>
  </si>
  <si>
    <t>5-323-15-a</t>
  </si>
  <si>
    <t>06512851AA-L</t>
  </si>
  <si>
    <t>40204491-L</t>
  </si>
  <si>
    <t>06502979-A</t>
  </si>
  <si>
    <t>11548414-HT</t>
  </si>
  <si>
    <t>47336AE-T</t>
  </si>
  <si>
    <t>5-328-29-e</t>
  </si>
  <si>
    <t>5-356-29-c</t>
  </si>
  <si>
    <t>5-349-39-C</t>
  </si>
  <si>
    <t>5-328-04-b</t>
  </si>
  <si>
    <t>5-231-25-a</t>
  </si>
  <si>
    <t>5-202-22-a</t>
  </si>
  <si>
    <t>5-253-17-e</t>
  </si>
  <si>
    <t>5-205-18-b</t>
  </si>
  <si>
    <t>5-323-19-a</t>
  </si>
  <si>
    <t>5-316-17-b</t>
  </si>
  <si>
    <t>5-323-06-d</t>
  </si>
  <si>
    <t>6-064-23-I</t>
  </si>
  <si>
    <t>11549171-L</t>
  </si>
  <si>
    <t>5-335-06-a</t>
  </si>
  <si>
    <t>06513804AA-HT</t>
  </si>
  <si>
    <t>5-350-15-b</t>
  </si>
  <si>
    <t>5-317-12-a</t>
  </si>
  <si>
    <t>11549204-HT</t>
  </si>
  <si>
    <t>5-304-30-c</t>
  </si>
  <si>
    <t>W711953-S900-A</t>
  </si>
  <si>
    <t>5-349-33-a</t>
  </si>
  <si>
    <t>5-316-21-g</t>
  </si>
  <si>
    <t>11546449-A</t>
  </si>
  <si>
    <t>5-307-11-c</t>
  </si>
  <si>
    <t>82248-L</t>
  </si>
  <si>
    <t>5-356-16-a</t>
  </si>
  <si>
    <t>5-315-01-e</t>
  </si>
  <si>
    <t>54043001-L</t>
  </si>
  <si>
    <t>5-311-02-b</t>
  </si>
  <si>
    <t>5-308-23-a</t>
  </si>
  <si>
    <t>06512686AA</t>
  </si>
  <si>
    <t>5-280-18-a</t>
  </si>
  <si>
    <t>11546545-A</t>
  </si>
  <si>
    <t>5-217-49-b</t>
  </si>
  <si>
    <t>85158B-HT</t>
  </si>
  <si>
    <t>5-052-32-c</t>
  </si>
  <si>
    <t>06105051AA-HT</t>
  </si>
  <si>
    <t>5-007-43-A</t>
  </si>
  <si>
    <t>W520111-S450B</t>
  </si>
  <si>
    <t>5-027-16-B</t>
  </si>
  <si>
    <t>11547059-HT</t>
  </si>
  <si>
    <t>5-010-14-a</t>
  </si>
  <si>
    <t>06513514AA</t>
  </si>
  <si>
    <t>06105049AA</t>
  </si>
  <si>
    <t>11546463-A</t>
  </si>
  <si>
    <t>11602326-HT</t>
  </si>
  <si>
    <t>11548147-HT</t>
  </si>
  <si>
    <t>91054CH</t>
  </si>
  <si>
    <t>W520101-S437</t>
  </si>
  <si>
    <t>06104384AA</t>
  </si>
  <si>
    <t>06101968-A</t>
  </si>
  <si>
    <t>4519-19L</t>
  </si>
  <si>
    <t>06101736-A</t>
  </si>
  <si>
    <t>5-309-20-b</t>
  </si>
  <si>
    <t>5-328-09-a</t>
  </si>
  <si>
    <t>5-335-48-c</t>
  </si>
  <si>
    <t>5-314-43-a</t>
  </si>
  <si>
    <t>5-300-14-a</t>
  </si>
  <si>
    <t>5-289-22-b</t>
  </si>
  <si>
    <t>5-295-13-b</t>
  </si>
  <si>
    <t>5-310-22-d</t>
  </si>
  <si>
    <t>5-290-19-a</t>
  </si>
  <si>
    <t>5-289-05-a</t>
  </si>
  <si>
    <t>5-287-50-a</t>
  </si>
  <si>
    <t>5-289-25-A</t>
  </si>
  <si>
    <t>5-288-24-b</t>
  </si>
  <si>
    <t>5-309-24-a</t>
  </si>
  <si>
    <t>5-293-21-a</t>
  </si>
  <si>
    <t>11610091-HT</t>
  </si>
  <si>
    <t>W719080-S450-HT</t>
  </si>
  <si>
    <t>W520113-S440</t>
  </si>
  <si>
    <t>11549168-CA-IN</t>
  </si>
  <si>
    <t>11547369-T</t>
  </si>
  <si>
    <t>06513555AA</t>
  </si>
  <si>
    <t>61525-T</t>
  </si>
  <si>
    <t>F1302AB-HT</t>
  </si>
  <si>
    <t>11549168-MY-AK</t>
  </si>
  <si>
    <t>5-342-03-a</t>
  </si>
  <si>
    <t>5-293-47-b</t>
  </si>
  <si>
    <t>5-308-24-a</t>
  </si>
  <si>
    <t>5-310-21-b</t>
  </si>
  <si>
    <t>5-339-03-a</t>
  </si>
  <si>
    <t>W520514-S442-T</t>
  </si>
  <si>
    <t>5-233-20-a</t>
  </si>
  <si>
    <t>5-281-10-a</t>
  </si>
  <si>
    <t>5-218-08-f</t>
  </si>
  <si>
    <t>5-213-14-a</t>
  </si>
  <si>
    <t>5-224-17-h</t>
  </si>
  <si>
    <t>5-213-13-a</t>
  </si>
  <si>
    <t>5-217-41-f</t>
  </si>
  <si>
    <t>5-302-02-a</t>
  </si>
  <si>
    <t>5-288-30-a</t>
  </si>
  <si>
    <t>5-294-30-B</t>
  </si>
  <si>
    <t>6-069-33-b</t>
  </si>
  <si>
    <t>APRIL 06,2026</t>
  </si>
  <si>
    <t>06514095AA</t>
  </si>
  <si>
    <t>06509475AA</t>
  </si>
  <si>
    <t>11546370-MY-AK</t>
  </si>
  <si>
    <t>N620482-S2</t>
  </si>
  <si>
    <t>W20-1028-012NA</t>
  </si>
  <si>
    <t>11549171-MY-AK</t>
  </si>
  <si>
    <t>11546389-PH-RO</t>
  </si>
  <si>
    <t>11546389-MY-AK</t>
  </si>
  <si>
    <t>06102398AA</t>
  </si>
  <si>
    <t>06505246AA</t>
  </si>
  <si>
    <t>11546379-IN-BA</t>
  </si>
  <si>
    <t>11546378-CA-IN</t>
  </si>
  <si>
    <t>06511689AA</t>
  </si>
  <si>
    <t>06512851AA</t>
  </si>
  <si>
    <t>06512278AA</t>
  </si>
  <si>
    <t>11546377-PH-RO</t>
  </si>
  <si>
    <t>W520203-S440</t>
  </si>
  <si>
    <t>22800396-IN-PN</t>
  </si>
  <si>
    <t>11549169-CA-IN-B</t>
  </si>
  <si>
    <t>07366-54-D01</t>
  </si>
  <si>
    <t>11502717-TH-TC</t>
  </si>
  <si>
    <t>382802-S440-L</t>
  </si>
  <si>
    <t>11610376-5</t>
  </si>
  <si>
    <t>5-331-01-e</t>
  </si>
  <si>
    <t>5-324-08-a</t>
  </si>
  <si>
    <t>5-323-17-c</t>
  </si>
  <si>
    <t>5-325-06-b</t>
  </si>
  <si>
    <t>5-335-05-a</t>
  </si>
  <si>
    <t>5-310-29-a</t>
  </si>
  <si>
    <t>6-005-11-a</t>
  </si>
  <si>
    <t>6-061-04-e</t>
  </si>
  <si>
    <t>5-323-20-a</t>
  </si>
  <si>
    <t>5-329-35-a</t>
  </si>
  <si>
    <t>5-342-10-b</t>
  </si>
  <si>
    <t>5-349-16-a</t>
  </si>
  <si>
    <t>5-352-17-a</t>
  </si>
  <si>
    <t>6-014-22-a</t>
  </si>
  <si>
    <t>5-356-26-a</t>
  </si>
  <si>
    <t>6-012-17-b</t>
  </si>
  <si>
    <t>6-068-04-a</t>
  </si>
  <si>
    <t>6-055-04-B</t>
  </si>
  <si>
    <t>6-041-21-D</t>
  </si>
  <si>
    <t>6-061-06-a</t>
  </si>
  <si>
    <t>6-065-11-b</t>
  </si>
  <si>
    <t>5-231-13-i</t>
  </si>
  <si>
    <t>5-321-30-b</t>
  </si>
  <si>
    <t>Note: SKID# .1. OF 8, April 2026</t>
  </si>
  <si>
    <t>Note: SKID# .2. OF 8, April 2026</t>
  </si>
  <si>
    <t>Note: SKID# .3. OF 8, April 2026</t>
  </si>
  <si>
    <t>11546365-CA-IN-B</t>
  </si>
  <si>
    <t>11516078-CA-IN-B</t>
  </si>
  <si>
    <t>55364498AA</t>
  </si>
  <si>
    <t>11546774-MY-AK</t>
  </si>
  <si>
    <t>06509787AA</t>
  </si>
  <si>
    <t>APRIL</t>
  </si>
  <si>
    <t>6-064-23-h</t>
  </si>
  <si>
    <t>6-055-34-g</t>
  </si>
  <si>
    <t>6-068-40-d</t>
  </si>
  <si>
    <t>6-064-18-a</t>
  </si>
  <si>
    <t>5-339-14-a</t>
  </si>
  <si>
    <t>6-055-37-b</t>
  </si>
  <si>
    <t>6-050-26-A</t>
  </si>
  <si>
    <t>5-317-17-b</t>
  </si>
  <si>
    <t>5-350-33-b</t>
  </si>
  <si>
    <t>5-321-23-a</t>
  </si>
  <si>
    <t>5-345-22-b</t>
  </si>
  <si>
    <t>5-350-30-a</t>
  </si>
  <si>
    <t>6-044-03-A</t>
  </si>
  <si>
    <t>5-356-28-a</t>
  </si>
  <si>
    <t>6-012-33-a</t>
  </si>
  <si>
    <t>5-356-14-a</t>
  </si>
  <si>
    <t>6-015-12-b</t>
  </si>
  <si>
    <t>6-009-17-b</t>
  </si>
  <si>
    <t>6-057-29-d</t>
  </si>
  <si>
    <t>M1482AC</t>
  </si>
  <si>
    <t>11546378-MY-AK</t>
  </si>
  <si>
    <t>11546449-MY-AK</t>
  </si>
  <si>
    <t>6-065-19-b</t>
  </si>
  <si>
    <t>6-050-24-B</t>
  </si>
  <si>
    <t>6-056-15-A</t>
  </si>
  <si>
    <t>6-012-20-a</t>
  </si>
  <si>
    <t>6-065-03-a</t>
  </si>
  <si>
    <t>6-054-30-b</t>
  </si>
  <si>
    <t>6-019-26-b</t>
  </si>
  <si>
    <t>6-068-09-d</t>
  </si>
  <si>
    <t>6-050-20-d</t>
  </si>
  <si>
    <t>6-061-11-b</t>
  </si>
  <si>
    <t>6-063-13-e</t>
  </si>
  <si>
    <t>6-065-04-c</t>
  </si>
  <si>
    <t>6-068-02-c</t>
  </si>
  <si>
    <t>6-063-01-b</t>
  </si>
  <si>
    <t>6-056-27-a</t>
  </si>
  <si>
    <t>6-063-22-d</t>
  </si>
  <si>
    <t>6-057-21-f</t>
  </si>
  <si>
    <t>6-064-32-a</t>
  </si>
  <si>
    <t>11516133-CA-IN-B</t>
  </si>
  <si>
    <t>K1046AB</t>
  </si>
  <si>
    <t>6-064-22-b</t>
  </si>
  <si>
    <t>6-065-18-c</t>
  </si>
  <si>
    <t>6-065-18-b</t>
  </si>
  <si>
    <t>6-068-07-a</t>
  </si>
  <si>
    <t>6-054-06-g</t>
  </si>
  <si>
    <t>6-054-36-b</t>
  </si>
  <si>
    <t>6-027-44-b</t>
  </si>
  <si>
    <t>6-064-41-a</t>
  </si>
  <si>
    <t>6-051-09-a</t>
  </si>
  <si>
    <t>6-033-10-b</t>
  </si>
  <si>
    <t>6-054-39-a</t>
  </si>
  <si>
    <t>5-323-11-b</t>
  </si>
  <si>
    <t>6-069-14-a</t>
  </si>
  <si>
    <t>6-064-30-c</t>
  </si>
  <si>
    <t>6-057-32-b</t>
  </si>
  <si>
    <t>6-061-18-d</t>
  </si>
  <si>
    <t>6-065-09-a</t>
  </si>
  <si>
    <t>6-055-32-a</t>
  </si>
  <si>
    <t>6-040-32-a</t>
  </si>
  <si>
    <t>6-057-28-b</t>
  </si>
  <si>
    <t>6-056-09-a</t>
  </si>
  <si>
    <t>6-070-08-c</t>
  </si>
  <si>
    <t>6-082-13-B</t>
  </si>
  <si>
    <t>6-099-14-E</t>
  </si>
  <si>
    <t>11610376-S</t>
  </si>
  <si>
    <t>1420503001-B</t>
  </si>
  <si>
    <t>6-054-25-a</t>
  </si>
  <si>
    <t>6-012-35-a</t>
  </si>
  <si>
    <t>6-054-33-b</t>
  </si>
  <si>
    <t>6-062-27-b</t>
  </si>
  <si>
    <t>6-030-11-a</t>
  </si>
  <si>
    <t>5-237-05-a</t>
  </si>
  <si>
    <t>6-054-11-a</t>
  </si>
  <si>
    <t>6-054-10-c</t>
  </si>
  <si>
    <t>6-023-17-b</t>
  </si>
  <si>
    <t>6-002-06-a</t>
  </si>
  <si>
    <t>6-016-15-a</t>
  </si>
  <si>
    <t>5-321-14-a</t>
  </si>
  <si>
    <t>5-324-08-f</t>
  </si>
  <si>
    <t>5-321-32-d</t>
  </si>
  <si>
    <t>5-309-14-c</t>
  </si>
  <si>
    <t>5-321-22-a</t>
  </si>
  <si>
    <t>6-022-18-b</t>
  </si>
  <si>
    <t>6-054-24-a</t>
  </si>
  <si>
    <t>6-027-31-b</t>
  </si>
  <si>
    <t>6-063-18-b</t>
  </si>
  <si>
    <t>6-057-25-a</t>
  </si>
  <si>
    <t>6-049-39-a</t>
  </si>
  <si>
    <t>6-057-26-b</t>
  </si>
  <si>
    <t>6-023-04-a</t>
  </si>
  <si>
    <t>11546437-MY-AK</t>
  </si>
  <si>
    <t>H62534A</t>
  </si>
  <si>
    <t>W711468-W437</t>
  </si>
  <si>
    <t>M1495AB</t>
  </si>
  <si>
    <t>6-002-21-a</t>
  </si>
  <si>
    <t>6-055-28-a</t>
  </si>
  <si>
    <t>5-350-19-d</t>
  </si>
  <si>
    <t>5-323-32-a</t>
  </si>
  <si>
    <t>5-316-16-b</t>
  </si>
  <si>
    <t>5-316-06-c</t>
  </si>
  <si>
    <t>5-321-44-a</t>
  </si>
  <si>
    <t>5-335-41-b</t>
  </si>
  <si>
    <t>5-329-27-a</t>
  </si>
  <si>
    <t>5-318-18-b</t>
  </si>
  <si>
    <t>5-287-38-b</t>
  </si>
  <si>
    <t>6-068-12-e</t>
  </si>
  <si>
    <t>6-055-43-a</t>
  </si>
  <si>
    <t>6-055-03-a</t>
  </si>
  <si>
    <t>6-055-41-a</t>
  </si>
  <si>
    <t>6-064-07-g</t>
  </si>
  <si>
    <t>6-034-25-d</t>
  </si>
  <si>
    <t>6-007-20-a</t>
  </si>
  <si>
    <t>6-058-11-a</t>
  </si>
  <si>
    <t>6-040-25-A</t>
  </si>
  <si>
    <t>6-019-29-a</t>
  </si>
  <si>
    <t>6-063-22-E</t>
  </si>
  <si>
    <t>6-065-19-d</t>
  </si>
  <si>
    <t>6-037-17-A</t>
  </si>
  <si>
    <t>6-055-44-a</t>
  </si>
  <si>
    <t>6-023-01-b</t>
  </si>
  <si>
    <t>6-054-07-b</t>
  </si>
  <si>
    <t>6-040-23-c</t>
  </si>
  <si>
    <t>Note: SKID# .1. OF 8,  2026</t>
  </si>
  <si>
    <t>W20-1028-020</t>
  </si>
  <si>
    <t>6-063-12-a</t>
  </si>
  <si>
    <t>6-056-27-b</t>
  </si>
  <si>
    <t>6-043-08-C</t>
  </si>
  <si>
    <t>6-036-19-a</t>
  </si>
  <si>
    <t>6-064-19-a</t>
  </si>
  <si>
    <t>6-061-10-a</t>
  </si>
  <si>
    <t>6-047-07-B</t>
  </si>
  <si>
    <t>6-048-20-A</t>
  </si>
  <si>
    <t>6-037-20-a</t>
  </si>
  <si>
    <t>6-035-28-a</t>
  </si>
  <si>
    <t>6-021-07-G</t>
  </si>
  <si>
    <t>6-054-30-a</t>
  </si>
  <si>
    <t>6-008-20-a</t>
  </si>
  <si>
    <t>6-055-34-c</t>
  </si>
  <si>
    <t>06503825-A</t>
  </si>
  <si>
    <t>6-055-34-d</t>
  </si>
  <si>
    <t>6-035-23-a</t>
  </si>
  <si>
    <t>6-055-38-b</t>
  </si>
  <si>
    <t>6-049-39-B</t>
  </si>
  <si>
    <t>6-049-31-b</t>
  </si>
  <si>
    <t>6-043-08-b</t>
  </si>
  <si>
    <t>6-042-14-b</t>
  </si>
  <si>
    <t>6-034-25-c</t>
  </si>
  <si>
    <t>6-036-17-c</t>
  </si>
  <si>
    <t>6-027-28-b</t>
  </si>
  <si>
    <t>6-056-10-a</t>
  </si>
  <si>
    <t>6-055-09-a</t>
  </si>
  <si>
    <t>6-037-21-a</t>
  </si>
  <si>
    <t>6-033-03-e</t>
  </si>
  <si>
    <t>6-012-32-a</t>
  </si>
  <si>
    <t>6-040-15-a</t>
  </si>
  <si>
    <t>6-034-35-b</t>
  </si>
  <si>
    <t>6-033-06-c</t>
  </si>
  <si>
    <t>6-055-53-b</t>
  </si>
  <si>
    <t>6-029-16-a</t>
  </si>
  <si>
    <t>6-019-12-b</t>
  </si>
  <si>
    <t>5-213-03-A</t>
  </si>
  <si>
    <t>R38076595120</t>
  </si>
  <si>
    <t>11610091-MY-AK</t>
  </si>
  <si>
    <t>06509078AA</t>
  </si>
  <si>
    <t>A4495AB</t>
  </si>
  <si>
    <t>47336AE</t>
  </si>
  <si>
    <t>11516078-CA-IN</t>
  </si>
  <si>
    <t>06508200AA</t>
  </si>
  <si>
    <t>Note: SKID# .2. OF 8 ,  2026</t>
  </si>
  <si>
    <t>Note: SKID# .3. OF 8 ,  2026</t>
  </si>
  <si>
    <t>Note: SKID# .4. OF 8 ,  2026</t>
  </si>
  <si>
    <t>BL3W-4320-BA</t>
  </si>
  <si>
    <t>715150010W</t>
  </si>
  <si>
    <t>W20-1028-010</t>
  </si>
  <si>
    <t>06101447-A</t>
  </si>
  <si>
    <t>Note: SKID# .5. OF 8 ,  2026</t>
  </si>
  <si>
    <t>06514113AA</t>
  </si>
  <si>
    <t>Note: SKID# .6. OF 8 ,  2026</t>
  </si>
  <si>
    <t>11546379-my-ak</t>
  </si>
  <si>
    <t>06512149AA</t>
  </si>
  <si>
    <t>W520412-S442</t>
  </si>
  <si>
    <t>11516078-MY-AK</t>
  </si>
  <si>
    <t>11546364-BR-HA</t>
  </si>
  <si>
    <t>06512732AA</t>
  </si>
  <si>
    <t>W716298-S450</t>
  </si>
  <si>
    <t>06509474AA</t>
  </si>
  <si>
    <t>6-036-22-C</t>
  </si>
  <si>
    <t>6-064-07-e</t>
  </si>
  <si>
    <t>6-063-13-n</t>
  </si>
  <si>
    <t>6-054-33-a</t>
  </si>
  <si>
    <t>6-124-19-a</t>
  </si>
  <si>
    <t>6-054-24-b</t>
  </si>
  <si>
    <t>6-070-31-a</t>
  </si>
  <si>
    <t>6-068-29-d</t>
  </si>
  <si>
    <t>6-063-31-a</t>
  </si>
  <si>
    <t>5-356-27-d</t>
  </si>
  <si>
    <t>5-349-21-a</t>
  </si>
  <si>
    <t>5-357-24-b</t>
  </si>
  <si>
    <t>5-350-16-a</t>
  </si>
  <si>
    <t>6-019-17-a</t>
  </si>
  <si>
    <t>6-055-46-a</t>
  </si>
  <si>
    <t>6-061-28-c</t>
  </si>
  <si>
    <t>6-127-16-b</t>
  </si>
  <si>
    <t>6-131-09-b</t>
  </si>
  <si>
    <t>6-121-18-B</t>
  </si>
  <si>
    <t>6-127-10-d</t>
  </si>
  <si>
    <t>6-054-41-b</t>
  </si>
  <si>
    <t>6-047-19-a</t>
  </si>
  <si>
    <t>6-068-30-c</t>
  </si>
  <si>
    <t>6-056-09-b</t>
  </si>
  <si>
    <t>6-077-25-A</t>
  </si>
  <si>
    <t>6-061-32-a</t>
  </si>
  <si>
    <t>6-028-15-a</t>
  </si>
  <si>
    <t>6-027-42-a</t>
  </si>
  <si>
    <t>6-063-11-a</t>
  </si>
  <si>
    <t>6-035-32-a</t>
  </si>
  <si>
    <t>6-054-06-f</t>
  </si>
  <si>
    <t>6-070-08-d</t>
  </si>
  <si>
    <t>6-068-21-a</t>
  </si>
  <si>
    <t>6-056-16-a</t>
  </si>
  <si>
    <t>6-061-07-b</t>
  </si>
  <si>
    <t>5-051-05-a</t>
  </si>
  <si>
    <t>6-065-05-a</t>
  </si>
  <si>
    <t>6-034-24-b</t>
  </si>
  <si>
    <t>6-043-13-b</t>
  </si>
  <si>
    <t>6-029-16-b</t>
  </si>
  <si>
    <t>6-047-11-a</t>
  </si>
  <si>
    <t>6-043-10-a</t>
  </si>
  <si>
    <t>6-049-36-a</t>
  </si>
  <si>
    <t>6-061-06-b</t>
  </si>
  <si>
    <t>6-068-22-a</t>
  </si>
  <si>
    <t>6-063-15-a</t>
  </si>
  <si>
    <t>6-065-09-e</t>
  </si>
  <si>
    <t>6-033-25-b</t>
  </si>
  <si>
    <t>6-065-20-d</t>
  </si>
  <si>
    <t>6-027-22-a</t>
  </si>
  <si>
    <t>6-068-01-a</t>
  </si>
  <si>
    <t>6-036-22-b</t>
  </si>
  <si>
    <t>6-055-38-a</t>
  </si>
  <si>
    <t>6-065-11-a</t>
  </si>
  <si>
    <t>6-012-03-a</t>
  </si>
  <si>
    <t>6-002-29-a</t>
  </si>
  <si>
    <t>5-287-08-b</t>
  </si>
  <si>
    <t>6-069-15-b</t>
  </si>
  <si>
    <t>6-065-17-a</t>
  </si>
  <si>
    <t>6-068-26-a</t>
  </si>
  <si>
    <t>6-033-08-b</t>
  </si>
  <si>
    <t>6-033-05-b</t>
  </si>
  <si>
    <t>6-056-13-a</t>
  </si>
  <si>
    <t>6-061-18-c</t>
  </si>
  <si>
    <t>6-063-11-f</t>
  </si>
  <si>
    <t>6-058-01-b</t>
  </si>
  <si>
    <t>6-056-14-a</t>
  </si>
  <si>
    <t>6-061-03-b</t>
  </si>
  <si>
    <t>6-028-08-a</t>
  </si>
  <si>
    <t>6-063-32-a</t>
  </si>
  <si>
    <t>6-063-21-a</t>
  </si>
  <si>
    <t>6-057-27-b</t>
  </si>
  <si>
    <t>6-065-27-c</t>
  </si>
  <si>
    <t>6-022-35-a</t>
  </si>
  <si>
    <t>6-068-35-c</t>
  </si>
  <si>
    <t>6-058-08-a</t>
  </si>
  <si>
    <t>6-058-07-b</t>
  </si>
  <si>
    <t>6-058-14-b</t>
  </si>
  <si>
    <t>6-026-13-a</t>
  </si>
  <si>
    <t>6-065-08-a</t>
  </si>
  <si>
    <t>6-068-46-b</t>
  </si>
  <si>
    <t>6-012-04-b</t>
  </si>
  <si>
    <t>6-002-14-a</t>
  </si>
  <si>
    <t>5-357-28-a</t>
  </si>
  <si>
    <t>6-121-34-a</t>
  </si>
  <si>
    <t>6-030-08-b</t>
  </si>
  <si>
    <t>6-054-34-b</t>
  </si>
  <si>
    <t>6-027-45-a</t>
  </si>
  <si>
    <t>6-028-12-b</t>
  </si>
  <si>
    <t>6-055-58-A</t>
  </si>
  <si>
    <t>6-055-50-b</t>
  </si>
  <si>
    <t>6-055-35-a</t>
  </si>
  <si>
    <t>6-057-26-a</t>
  </si>
  <si>
    <t>5-310-17-b</t>
  </si>
  <si>
    <t>Note: SKID# .7. OF 8 ,  2026</t>
  </si>
  <si>
    <t>11549169-my-ak</t>
  </si>
  <si>
    <t>11546367-my-ak</t>
  </si>
  <si>
    <t>11549169-ca-in</t>
  </si>
  <si>
    <t>06505668aa</t>
  </si>
  <si>
    <t>06512834aa</t>
  </si>
  <si>
    <t>85158B</t>
  </si>
  <si>
    <t>11546369-IN-PN</t>
  </si>
  <si>
    <t>7150-1549-03</t>
  </si>
  <si>
    <t>06102612AA</t>
  </si>
  <si>
    <t>11546463-CA-IN</t>
  </si>
  <si>
    <t>6-019-24-a</t>
  </si>
  <si>
    <t>6-002-08-a</t>
  </si>
  <si>
    <t>6-002-05-a</t>
  </si>
  <si>
    <t>5-351-15-b</t>
  </si>
  <si>
    <t>6-028-18-B</t>
  </si>
  <si>
    <t>6-061-34-a</t>
  </si>
  <si>
    <t>6-009-12-a</t>
  </si>
  <si>
    <t>5-356-21-b</t>
  </si>
  <si>
    <t>6-009-04-b</t>
  </si>
  <si>
    <t>6-055-53-a</t>
  </si>
  <si>
    <t>6-061-25-B</t>
  </si>
  <si>
    <t>6-064-07-f</t>
  </si>
  <si>
    <t>6-068-02-a</t>
  </si>
  <si>
    <t>6-068-44-a</t>
  </si>
  <si>
    <t>6-065-31-a</t>
  </si>
  <si>
    <t>6-062-21-b</t>
  </si>
  <si>
    <t>6-058-16-b</t>
  </si>
  <si>
    <t>6-027-32-b</t>
  </si>
  <si>
    <t>6-056-02-b</t>
  </si>
  <si>
    <t>6-119-05-a</t>
  </si>
  <si>
    <t>6-124-19-c</t>
  </si>
  <si>
    <t>6-110-23-b</t>
  </si>
  <si>
    <t>6-110-05-b</t>
  </si>
  <si>
    <t>6-091-06-g</t>
  </si>
  <si>
    <t>6-098-14-a</t>
  </si>
  <si>
    <t>Note: SKID# .8. OF 8 ,  2026</t>
  </si>
  <si>
    <t>6-140-28-B</t>
  </si>
  <si>
    <t>6-135-05-B</t>
  </si>
  <si>
    <t>6-141-19-B</t>
  </si>
  <si>
    <t>6-135-30-B</t>
  </si>
  <si>
    <t>W520101-S440</t>
  </si>
  <si>
    <t>6-103-05-c</t>
  </si>
  <si>
    <t>6-089-33-b</t>
  </si>
  <si>
    <t>6-098-08-A</t>
  </si>
  <si>
    <t>6-111-18-b</t>
  </si>
  <si>
    <t>6-075-12-b</t>
  </si>
  <si>
    <t>5-231-32-b</t>
  </si>
  <si>
    <t>6-056-18-c</t>
  </si>
  <si>
    <t>6-089-34-b</t>
  </si>
  <si>
    <t>6-089-04-B</t>
  </si>
  <si>
    <t>6-089-10-b</t>
  </si>
  <si>
    <t>6-142-30-A</t>
  </si>
  <si>
    <t>6-057-29-c</t>
  </si>
  <si>
    <t>6-041-21-B</t>
  </si>
  <si>
    <t>need find new box. 2 of this box from bin 906(already return to customer)</t>
  </si>
  <si>
    <t>Note: SKID# .. OF  ,  2026</t>
  </si>
  <si>
    <t>Note: SKID# .1. OF 8 ,  2026</t>
  </si>
  <si>
    <t>6-050-12-b</t>
  </si>
  <si>
    <t>6-007-16-C</t>
  </si>
  <si>
    <t>6-008-21-B</t>
  </si>
  <si>
    <t>6-012-14-A</t>
  </si>
  <si>
    <t>6-009-02-C</t>
  </si>
  <si>
    <t>6-006-14-B</t>
  </si>
  <si>
    <t>5-357-27-D</t>
  </si>
  <si>
    <t>6-162-18-B</t>
  </si>
  <si>
    <t>6-033-02-A</t>
  </si>
  <si>
    <t>6-159-18-e</t>
  </si>
  <si>
    <t>11546369-MY-AK</t>
  </si>
  <si>
    <t>M93000340</t>
  </si>
  <si>
    <t>6-145-02-c</t>
  </si>
  <si>
    <t>6-131-14-B</t>
  </si>
  <si>
    <t>6-128-10-e</t>
  </si>
  <si>
    <t>6-161-31-B</t>
  </si>
  <si>
    <t>6-163-01-b</t>
  </si>
  <si>
    <t>6-159-19-A</t>
  </si>
  <si>
    <t>6-119-23-b</t>
  </si>
  <si>
    <t>6-120-35-b</t>
  </si>
  <si>
    <t>6-120-20-b</t>
  </si>
  <si>
    <t>6-139-21-b</t>
  </si>
  <si>
    <t>6-149-40-a</t>
  </si>
  <si>
    <t>6-152-23-d</t>
  </si>
  <si>
    <t>6-153-15-O</t>
  </si>
  <si>
    <t>6-153-12-a</t>
  </si>
  <si>
    <t>6-152-18-b</t>
  </si>
  <si>
    <t>6-152-28-b</t>
  </si>
  <si>
    <t>6-152-43-d</t>
  </si>
  <si>
    <t>11603389-MY-AK</t>
  </si>
  <si>
    <t>11516077-MY-AK</t>
  </si>
  <si>
    <t>6-152-29-b</t>
  </si>
  <si>
    <t>6-149-32-B</t>
  </si>
  <si>
    <t>6-145-19-b</t>
  </si>
  <si>
    <t>6-152-36-b</t>
  </si>
  <si>
    <t>6-131-37-b</t>
  </si>
  <si>
    <t>6-131-21-a</t>
  </si>
  <si>
    <t>6-135-25-b</t>
  </si>
  <si>
    <t>6-134-09-b</t>
  </si>
  <si>
    <t>6-152-43-a</t>
  </si>
  <si>
    <t>6-149-29-a</t>
  </si>
  <si>
    <t>6-156-25-d</t>
  </si>
  <si>
    <t>6-035-22-d</t>
  </si>
  <si>
    <t>6-055-45-a</t>
  </si>
  <si>
    <t>6-141-27-f</t>
  </si>
  <si>
    <t>6-141-23-a</t>
  </si>
  <si>
    <t>6-140-23-c</t>
  </si>
  <si>
    <t>6-141-22-a</t>
  </si>
  <si>
    <t>6-148-27-b</t>
  </si>
  <si>
    <t>6-089-35-d</t>
  </si>
  <si>
    <t>6-006-19-A</t>
  </si>
  <si>
    <t>5-356-47-A</t>
  </si>
  <si>
    <t>6-056-07-A</t>
  </si>
  <si>
    <t>06512544AA</t>
  </si>
  <si>
    <t>11610091-CA-IN</t>
  </si>
  <si>
    <t>11549168-VN-VT</t>
  </si>
  <si>
    <t>W714729-S442</t>
  </si>
  <si>
    <t>6-086-05-A</t>
  </si>
  <si>
    <t>6-117-49-a</t>
  </si>
  <si>
    <t>6-121-13-b</t>
  </si>
  <si>
    <t>6-014-24-B</t>
  </si>
  <si>
    <t>6-139-15-A</t>
  </si>
  <si>
    <t>6-161-02-d</t>
  </si>
  <si>
    <t>6-156-03-a</t>
  </si>
  <si>
    <t>6-159-31-b</t>
  </si>
  <si>
    <t>6-162-24-b</t>
  </si>
  <si>
    <t>6-126-15-a</t>
  </si>
  <si>
    <t>6-142-12-b</t>
  </si>
  <si>
    <t>6-124-18-B</t>
  </si>
  <si>
    <t>6-121-07-b</t>
  </si>
  <si>
    <t>6-141-03-d</t>
  </si>
  <si>
    <t>6-152-31-a</t>
  </si>
  <si>
    <t>6-152-33-b</t>
  </si>
  <si>
    <t>6-156-05-a</t>
  </si>
  <si>
    <t>6-161-12-a</t>
  </si>
  <si>
    <t>6-160-33-a</t>
  </si>
  <si>
    <t>6-133-29-b</t>
  </si>
  <si>
    <t>6-152-45-e</t>
  </si>
  <si>
    <t>6-156-29-a</t>
  </si>
  <si>
    <t>6-135-26-C</t>
  </si>
  <si>
    <t>6-159-42-b</t>
  </si>
  <si>
    <t>6-159-44-A</t>
  </si>
  <si>
    <t>6-140-10-a</t>
  </si>
  <si>
    <t>6-124-03-D</t>
  </si>
  <si>
    <t>6-127-12-f</t>
  </si>
  <si>
    <t>06101736-a</t>
  </si>
  <si>
    <t>SA-7000-13</t>
  </si>
  <si>
    <t>11610091S</t>
  </si>
  <si>
    <t>33771-S2</t>
  </si>
  <si>
    <t>11546364-PH-RO</t>
  </si>
  <si>
    <t>6-029-21-e</t>
  </si>
  <si>
    <t>6-029-11-a</t>
  </si>
  <si>
    <t>6-075-61-e</t>
  </si>
  <si>
    <t>6-079-08-b</t>
  </si>
  <si>
    <t>6-084-05-H</t>
  </si>
  <si>
    <t>6-090-20-A</t>
  </si>
  <si>
    <t>6-037-28-B</t>
  </si>
  <si>
    <t>6-020-34-C</t>
  </si>
  <si>
    <t>6-061-33-b</t>
  </si>
  <si>
    <t>6-072-30-a</t>
  </si>
  <si>
    <t>6-072-21-A</t>
  </si>
  <si>
    <t>6-105-07-B</t>
  </si>
  <si>
    <t>6-113-24-b</t>
  </si>
  <si>
    <t>6-086-02-C</t>
  </si>
  <si>
    <t>5-358-04-C</t>
  </si>
  <si>
    <t>6-035-30-A</t>
  </si>
  <si>
    <t>6-042-18-A</t>
  </si>
  <si>
    <t>6-042-22-A</t>
  </si>
  <si>
    <t>6-119-02-b</t>
  </si>
  <si>
    <t>6-007-21-C</t>
  </si>
  <si>
    <t>6-015-11-A</t>
  </si>
  <si>
    <t>6-068-12-f</t>
  </si>
  <si>
    <t>6-092-20-A</t>
  </si>
  <si>
    <t>6-120-29-a</t>
  </si>
  <si>
    <t>6-035-24-A</t>
  </si>
  <si>
    <t>6-056-01-B</t>
  </si>
  <si>
    <t>6-056-24-a</t>
  </si>
  <si>
    <t>382802-S440</t>
  </si>
  <si>
    <t>11549204-MY-AK</t>
  </si>
  <si>
    <t>06511834AA</t>
  </si>
  <si>
    <t>H62534AA</t>
  </si>
  <si>
    <t>11516077BR</t>
  </si>
  <si>
    <t>6-070-04-A</t>
  </si>
  <si>
    <t>6-142-13-A</t>
  </si>
  <si>
    <t>6-049-26-b</t>
  </si>
  <si>
    <t>6-110-33-A</t>
  </si>
  <si>
    <t>6-061-35-a</t>
  </si>
  <si>
    <t>6-070-25-A</t>
  </si>
  <si>
    <t>6-086-11-C</t>
  </si>
  <si>
    <t>6-114-05-J</t>
  </si>
  <si>
    <t>6-112-07-B</t>
  </si>
  <si>
    <t>6-167-25-a</t>
  </si>
  <si>
    <t>6-153-19-b</t>
  </si>
  <si>
    <t>6-161-08-c</t>
  </si>
  <si>
    <t>6-159-43-A</t>
  </si>
  <si>
    <t>6-044-18-b</t>
  </si>
  <si>
    <t>6-040-21-a</t>
  </si>
  <si>
    <t>6-070-23-b</t>
  </si>
  <si>
    <t>6-161-35-a</t>
  </si>
  <si>
    <t>6-133-12-a</t>
  </si>
  <si>
    <t>6-043-09-B</t>
  </si>
  <si>
    <t>6-058-09-a</t>
  </si>
  <si>
    <t>6-016-15-A</t>
  </si>
  <si>
    <t>6-069-06-a</t>
  </si>
  <si>
    <t>6-012-26-B</t>
  </si>
  <si>
    <t>6-139-28-A</t>
  </si>
  <si>
    <t>6-162-14-a</t>
  </si>
  <si>
    <t>06504080-t</t>
  </si>
  <si>
    <t>6-140-27-a</t>
  </si>
  <si>
    <t>6-140-21-A</t>
  </si>
  <si>
    <t>6-141-32-b</t>
  </si>
  <si>
    <t>6-152-08-a</t>
  </si>
  <si>
    <t>6-153-20-c</t>
  </si>
  <si>
    <t>5-120-14-B</t>
  </si>
  <si>
    <t>5-272-31-a</t>
  </si>
  <si>
    <t>6-124-04-b</t>
  </si>
  <si>
    <t>6-182-09-B</t>
  </si>
  <si>
    <t>6-174-07-C</t>
  </si>
  <si>
    <t>6-167-18-A</t>
  </si>
  <si>
    <t>6-176-67-B</t>
  </si>
  <si>
    <t>6-180-36-B</t>
  </si>
  <si>
    <t>6-182-19-D</t>
  </si>
  <si>
    <t>6-159-26-A</t>
  </si>
  <si>
    <t>6-175-29-G</t>
  </si>
  <si>
    <t>6-183-20-A</t>
  </si>
  <si>
    <t>6-187-20-A</t>
  </si>
  <si>
    <t>6-182-37-B</t>
  </si>
  <si>
    <t>6-205-04-A</t>
  </si>
  <si>
    <t>6-203-37-B</t>
  </si>
  <si>
    <t>6-203-01-A</t>
  </si>
  <si>
    <t>6-203-26-A</t>
  </si>
  <si>
    <t>6-205-08-A</t>
  </si>
  <si>
    <t>6-146-22-B</t>
  </si>
  <si>
    <t>6-173-40-B</t>
  </si>
  <si>
    <t>6-189-33-A</t>
  </si>
  <si>
    <t>6-190-34-F</t>
  </si>
  <si>
    <t>6-173-16-A</t>
  </si>
  <si>
    <t>6-180-31-A</t>
  </si>
  <si>
    <t>6-201-20-B</t>
  </si>
  <si>
    <t>6-188-28-B</t>
  </si>
  <si>
    <t>6-187-11-A</t>
  </si>
  <si>
    <t>6-196-05-A</t>
  </si>
  <si>
    <t>6-201-39-A</t>
  </si>
  <si>
    <t>6-198-37-A</t>
  </si>
  <si>
    <t>6-173-17-A</t>
  </si>
  <si>
    <t>6-195-53-A</t>
  </si>
  <si>
    <t>6-196-18-C</t>
  </si>
  <si>
    <t>6-198-08-C</t>
  </si>
  <si>
    <t>6-189-15-A</t>
  </si>
  <si>
    <t>6-091-28-A</t>
  </si>
  <si>
    <t>6-203-21-A</t>
  </si>
  <si>
    <t>6-030-15-A</t>
  </si>
  <si>
    <t>5-295-23-A</t>
  </si>
  <si>
    <t>6-153-20-A</t>
  </si>
  <si>
    <t>6-203-46-B</t>
  </si>
  <si>
    <t>6-203-16-A</t>
  </si>
  <si>
    <t>6-049-16-A</t>
  </si>
  <si>
    <t>6-012-27-A</t>
  </si>
  <si>
    <t>5-364-02-A</t>
  </si>
  <si>
    <t>6-050-09-B</t>
  </si>
  <si>
    <t>6-071-13-A</t>
  </si>
  <si>
    <t>6-146-25-B</t>
  </si>
  <si>
    <t>6-070-31-C</t>
  </si>
  <si>
    <t>6-191-28-C</t>
  </si>
  <si>
    <t>6-152-23-A</t>
  </si>
  <si>
    <t>6-152-22-A</t>
  </si>
  <si>
    <t>6-114-13-B</t>
  </si>
  <si>
    <t>6-197-15-C</t>
  </si>
  <si>
    <t>6-058-09-A</t>
  </si>
  <si>
    <t>6-145-21-A</t>
  </si>
  <si>
    <t>6-061-13-A</t>
  </si>
  <si>
    <t>5-267-12-A</t>
  </si>
  <si>
    <t>6-099-30-A</t>
  </si>
  <si>
    <t>6-050-25-A</t>
  </si>
  <si>
    <t>5-336-12-A</t>
  </si>
  <si>
    <t>6-068-23-A</t>
  </si>
  <si>
    <t>6-166-18-A</t>
  </si>
  <si>
    <t>5-284-18-A</t>
  </si>
  <si>
    <t>6-117-26-A</t>
  </si>
  <si>
    <t>6-022-36-A</t>
  </si>
  <si>
    <t>W719080-S450</t>
  </si>
  <si>
    <t>11549169-MY-AK</t>
  </si>
  <si>
    <t>W520413-S450</t>
  </si>
  <si>
    <t>1K2GZ0</t>
  </si>
  <si>
    <t>6-182-21-A</t>
  </si>
  <si>
    <t>6-114-34-B</t>
  </si>
  <si>
    <t>6-161-34-A</t>
  </si>
  <si>
    <t>6-113-25-A</t>
  </si>
  <si>
    <t>5-013-20-A</t>
  </si>
  <si>
    <t>6-068-06-A</t>
  </si>
  <si>
    <t>6-048-15-B</t>
  </si>
  <si>
    <t>6-174-25-A</t>
  </si>
  <si>
    <t>6-149-08-A</t>
  </si>
  <si>
    <t>6-026-22-A</t>
  </si>
  <si>
    <t>5-253-10-A</t>
  </si>
  <si>
    <t>6-149-01-A</t>
  </si>
  <si>
    <t>6-092-05-A</t>
  </si>
  <si>
    <t>6-201-12-A</t>
  </si>
  <si>
    <t>6-201-08-A</t>
  </si>
  <si>
    <t>5-261-08-A</t>
  </si>
  <si>
    <t>6-075-56-A</t>
  </si>
  <si>
    <t>4-323-26-B</t>
  </si>
  <si>
    <t>6-166-25-A</t>
  </si>
  <si>
    <t>6-126-14-A</t>
  </si>
  <si>
    <t>5-251-35-A</t>
  </si>
  <si>
    <t>6-172-03-A</t>
  </si>
  <si>
    <t>6-133-29-A</t>
  </si>
  <si>
    <t>6-145-07-A</t>
  </si>
  <si>
    <t>6-196-21-A</t>
  </si>
  <si>
    <t>0204788122-L</t>
  </si>
  <si>
    <t>6-107-10-A</t>
  </si>
  <si>
    <t>11548414-MY-AK</t>
  </si>
  <si>
    <t>68665167AA</t>
  </si>
  <si>
    <t>P2152051</t>
  </si>
  <si>
    <t>SKID #1</t>
  </si>
  <si>
    <t>SKID #4</t>
  </si>
  <si>
    <t>SKID #3</t>
  </si>
  <si>
    <t>SKID #2</t>
  </si>
  <si>
    <t>W718057-S442</t>
  </si>
  <si>
    <t>11612078-B</t>
  </si>
  <si>
    <t>06512435AA</t>
  </si>
  <si>
    <t>06508203AA</t>
  </si>
  <si>
    <t>W720071-S440</t>
  </si>
  <si>
    <t>06811689AA</t>
  </si>
  <si>
    <t>06510997AA</t>
  </si>
  <si>
    <t>11610126BR</t>
  </si>
  <si>
    <t>71503036WO</t>
  </si>
  <si>
    <t>6-159-46-B</t>
  </si>
  <si>
    <t>6-172-44-D</t>
  </si>
  <si>
    <t>6-208-27-B</t>
  </si>
  <si>
    <t>6-166-34-A</t>
  </si>
  <si>
    <t>6-205-06-B</t>
  </si>
  <si>
    <t>6-160-06-C</t>
  </si>
  <si>
    <t>6-204-21-C</t>
  </si>
  <si>
    <t>6-205-07-B</t>
  </si>
  <si>
    <t>6-208-18-D</t>
  </si>
  <si>
    <t>6-208-21-B</t>
  </si>
  <si>
    <t>6-208-08-B</t>
  </si>
  <si>
    <t>6-198-22-A</t>
  </si>
  <si>
    <t>6-208-15-G</t>
  </si>
  <si>
    <t>6-209-15-A</t>
  </si>
  <si>
    <t>6-166-51-A</t>
  </si>
  <si>
    <t>6-159-60-B</t>
  </si>
  <si>
    <t>6-161-42-A</t>
  </si>
  <si>
    <t>6-159-34-A</t>
  </si>
  <si>
    <t>6-145-03-B</t>
  </si>
  <si>
    <t>6-152-59-A</t>
  </si>
  <si>
    <t>6-173-20-E</t>
  </si>
  <si>
    <t>6-173-46-A</t>
  </si>
  <si>
    <t>6-152-04-A</t>
  </si>
  <si>
    <t>6-208-25-B</t>
  </si>
  <si>
    <t>6-161-32-A</t>
  </si>
  <si>
    <t>6-173-42-A</t>
  </si>
  <si>
    <t>6-156-39-A</t>
  </si>
  <si>
    <t>6-209-16-A</t>
  </si>
  <si>
    <t>6-209-26-A</t>
  </si>
  <si>
    <t>6-152-33-A</t>
  </si>
  <si>
    <t>W520142-S442</t>
  </si>
  <si>
    <t>SKID #5</t>
  </si>
  <si>
    <t>06514141AA</t>
  </si>
  <si>
    <t>CY5011-A1</t>
  </si>
  <si>
    <t>W20-1028-016</t>
  </si>
  <si>
    <t>11516382-MY-AK</t>
  </si>
  <si>
    <t>W20-1098-0121YA</t>
  </si>
  <si>
    <t>06512602AA</t>
  </si>
  <si>
    <t>07336-54-001</t>
  </si>
  <si>
    <t>06513404AA</t>
  </si>
  <si>
    <t>11547176BR-FY</t>
  </si>
  <si>
    <t>?</t>
  </si>
  <si>
    <t>Q2428</t>
  </si>
  <si>
    <t>W704247-S440</t>
  </si>
  <si>
    <t>NU1237</t>
  </si>
  <si>
    <t>P300450</t>
  </si>
  <si>
    <t>SKID #6</t>
  </si>
  <si>
    <t>11546368-IN-MR</t>
  </si>
  <si>
    <t>06509494AA</t>
  </si>
  <si>
    <t>BOB40770</t>
  </si>
  <si>
    <t>W704790-S440</t>
  </si>
  <si>
    <t>W722565-S900</t>
  </si>
  <si>
    <t>C51017</t>
  </si>
  <si>
    <t>06509462AA</t>
  </si>
  <si>
    <t>06571672AA</t>
  </si>
  <si>
    <t>11548147-IN-PN</t>
  </si>
  <si>
    <t>SKID #7</t>
  </si>
  <si>
    <t>11017996-MY-AK</t>
  </si>
  <si>
    <t>W720123-S440</t>
  </si>
  <si>
    <t>68508694AA</t>
  </si>
  <si>
    <t>06513430AA</t>
  </si>
  <si>
    <t>06514149AA</t>
  </si>
  <si>
    <t>06511800AA</t>
  </si>
  <si>
    <t>06102519AA</t>
  </si>
  <si>
    <t>W520111-S437</t>
  </si>
  <si>
    <t>06507109AA</t>
  </si>
  <si>
    <t>SKID #8</t>
  </si>
  <si>
    <t>4007547A</t>
  </si>
  <si>
    <t>6-191-28-A</t>
  </si>
  <si>
    <t>6-195-60-B</t>
  </si>
  <si>
    <t>6-201-25-B</t>
  </si>
  <si>
    <t>6-201-51-B</t>
  </si>
  <si>
    <t>6-198-18-B</t>
  </si>
  <si>
    <t>6-203-27-F</t>
  </si>
  <si>
    <t>P3001150</t>
  </si>
  <si>
    <t>6-203-40-C</t>
  </si>
  <si>
    <t>6-203-27-E</t>
  </si>
  <si>
    <t>6-203-28-B</t>
  </si>
  <si>
    <t>6-203-28-D</t>
  </si>
  <si>
    <t>6-203-42-B</t>
  </si>
  <si>
    <t>6-203-44-A</t>
  </si>
  <si>
    <t>6-205-03-C</t>
  </si>
  <si>
    <t>6-208-10-C</t>
  </si>
  <si>
    <t>6-208-13-D</t>
  </si>
  <si>
    <t>6-203-30-C</t>
  </si>
  <si>
    <t>5232-28</t>
  </si>
  <si>
    <t>6-205-09-A</t>
  </si>
  <si>
    <t>6-203-31-A</t>
  </si>
  <si>
    <t>P7241950-IN-PN</t>
  </si>
  <si>
    <t>6-208-25-A</t>
  </si>
  <si>
    <t>6-208-23-A</t>
  </si>
  <si>
    <t>6-210-17-C</t>
  </si>
  <si>
    <t>6-210-17-B</t>
  </si>
  <si>
    <t>10083390-B</t>
  </si>
  <si>
    <t>6-210-15-A</t>
  </si>
  <si>
    <t>H62324A</t>
  </si>
  <si>
    <t>6-209-23-A</t>
  </si>
  <si>
    <t>6-211-21-B</t>
  </si>
  <si>
    <t>6-170-16-A</t>
  </si>
  <si>
    <t>6-208-34-A</t>
  </si>
  <si>
    <t>6-211-12-B</t>
  </si>
  <si>
    <t>6-209-31-A</t>
  </si>
  <si>
    <t>6-208-35-B</t>
  </si>
  <si>
    <t>06113555AA</t>
  </si>
  <si>
    <t>6-210-11-A</t>
  </si>
  <si>
    <t>6-208-44-A</t>
  </si>
  <si>
    <t>6-203-32-A</t>
  </si>
  <si>
    <t>6-212-13-C</t>
  </si>
  <si>
    <t>6-183-25-A</t>
  </si>
  <si>
    <t>6-208-05-D</t>
  </si>
  <si>
    <t>6-195-37-B</t>
  </si>
  <si>
    <t>11546389BR</t>
  </si>
  <si>
    <t>6-212-04-A</t>
  </si>
  <si>
    <t>6-217-06-A</t>
  </si>
  <si>
    <t>11561645-MY-AK</t>
  </si>
  <si>
    <t>6-216-34-C</t>
  </si>
  <si>
    <t>6-216-40-A</t>
  </si>
  <si>
    <t>6-217-20-A</t>
  </si>
  <si>
    <t>6-217-06-B</t>
  </si>
  <si>
    <t>6-217-23-B</t>
  </si>
  <si>
    <t>6-216-36-A</t>
  </si>
  <si>
    <t>6-218-01-A</t>
  </si>
  <si>
    <t>6-218-24-E</t>
  </si>
  <si>
    <t>6-217-05-A</t>
  </si>
  <si>
    <t>6-218-38-A</t>
  </si>
  <si>
    <t>6-218-39-B</t>
  </si>
  <si>
    <t>11609789IN-MR</t>
  </si>
  <si>
    <t>6-218-43-B</t>
  </si>
  <si>
    <t>6-219-19-A</t>
  </si>
  <si>
    <t>6-216-28-A</t>
  </si>
  <si>
    <t>6-218-38-B</t>
  </si>
  <si>
    <t>6-216-43-A</t>
  </si>
  <si>
    <t>6-219-17-A</t>
  </si>
  <si>
    <t>06511672aa</t>
  </si>
  <si>
    <t>06512686aa</t>
  </si>
  <si>
    <t>06101831-a</t>
  </si>
  <si>
    <t>11546368-IN-PN</t>
  </si>
  <si>
    <t>6-22-37-A</t>
  </si>
  <si>
    <t>6-224-10-C</t>
  </si>
  <si>
    <t>6-223-14-D</t>
  </si>
  <si>
    <t>6-223-14-A</t>
  </si>
  <si>
    <t>6-223-01-B</t>
  </si>
  <si>
    <t>6-222-31-K</t>
  </si>
  <si>
    <t>6-223-18-H</t>
  </si>
  <si>
    <t>6-225-33-A</t>
  </si>
  <si>
    <t>11546545A</t>
  </si>
  <si>
    <t>6-229-44-B</t>
  </si>
  <si>
    <t>6-226-22-B</t>
  </si>
  <si>
    <t>6-226-22-C</t>
  </si>
  <si>
    <t>6-220-01-A</t>
  </si>
  <si>
    <t>6-226-17-J</t>
  </si>
  <si>
    <t>6-229-43-A</t>
  </si>
  <si>
    <t>6-230-40-B</t>
  </si>
  <si>
    <t>24576407-B</t>
  </si>
  <si>
    <t>6-230-34-A</t>
  </si>
  <si>
    <t>55718-S2</t>
  </si>
  <si>
    <t>6-230-39-A</t>
  </si>
  <si>
    <t>6-223-21-A</t>
  </si>
  <si>
    <t>6-226-11-D</t>
  </si>
  <si>
    <t>6-230-31-B</t>
  </si>
  <si>
    <t>6-229-20-A</t>
  </si>
  <si>
    <t>6-230-26-A</t>
  </si>
  <si>
    <t>06513399AA</t>
  </si>
  <si>
    <t>6-229-10-C</t>
  </si>
  <si>
    <t>6-229-02-A</t>
  </si>
  <si>
    <t>6-229-07-D</t>
  </si>
  <si>
    <t>6-229-06-B</t>
  </si>
  <si>
    <t>NA1055-02</t>
  </si>
  <si>
    <t>6-232-23-B</t>
  </si>
  <si>
    <t>6-226-26-A</t>
  </si>
  <si>
    <t>6-232-28-C</t>
  </si>
  <si>
    <t>61273 Total</t>
  </si>
  <si>
    <t>61525 Total</t>
  </si>
  <si>
    <t>62264 Total</t>
  </si>
  <si>
    <t>82218 Total</t>
  </si>
  <si>
    <t>82244 Total</t>
  </si>
  <si>
    <t>82248 Total</t>
  </si>
  <si>
    <t>82250 Total</t>
  </si>
  <si>
    <t>82253 Total</t>
  </si>
  <si>
    <t>91054 Total</t>
  </si>
  <si>
    <t>91058 Total</t>
  </si>
  <si>
    <t>92468 Total</t>
  </si>
  <si>
    <t>901657 Total</t>
  </si>
  <si>
    <t>3001150 Total</t>
  </si>
  <si>
    <t>6504080 Total</t>
  </si>
  <si>
    <t>7320491 Total</t>
  </si>
  <si>
    <t>10083390 Total</t>
  </si>
  <si>
    <t>11514597 Total</t>
  </si>
  <si>
    <t>11514598 Total</t>
  </si>
  <si>
    <t>11516074 Total</t>
  </si>
  <si>
    <t>11516076 Total</t>
  </si>
  <si>
    <t>11516133 Total</t>
  </si>
  <si>
    <t>11516172 Total</t>
  </si>
  <si>
    <t>11516382 Total</t>
  </si>
  <si>
    <t>11517665 Total</t>
  </si>
  <si>
    <t>11517996 Total</t>
  </si>
  <si>
    <t>11518428 Total</t>
  </si>
  <si>
    <t>11518532 Total</t>
  </si>
  <si>
    <t>11546365 Total</t>
  </si>
  <si>
    <t>11546366 Total</t>
  </si>
  <si>
    <t>11546367 Total</t>
  </si>
  <si>
    <t>11546368 Total</t>
  </si>
  <si>
    <t>11546377 Total</t>
  </si>
  <si>
    <t>11546378 Total</t>
  </si>
  <si>
    <t>11546379 Total</t>
  </si>
  <si>
    <t>11546388 Total</t>
  </si>
  <si>
    <t>11546389 Total</t>
  </si>
  <si>
    <t>11546391 Total</t>
  </si>
  <si>
    <t>11546448 Total</t>
  </si>
  <si>
    <t>11546449 Total</t>
  </si>
  <si>
    <t>11546456 Total</t>
  </si>
  <si>
    <t>11546463 Total</t>
  </si>
  <si>
    <t>11546545 Total</t>
  </si>
  <si>
    <t>11546566 Total</t>
  </si>
  <si>
    <t>11546571 Total</t>
  </si>
  <si>
    <t>11546593 Total</t>
  </si>
  <si>
    <t>11546703 Total</t>
  </si>
  <si>
    <t>11546774 Total</t>
  </si>
  <si>
    <t>11547059 Total</t>
  </si>
  <si>
    <t>11547103 Total</t>
  </si>
  <si>
    <t>11547176 Total</t>
  </si>
  <si>
    <t>11547349 Total</t>
  </si>
  <si>
    <t>11547369 Total</t>
  </si>
  <si>
    <t>11547423 Total</t>
  </si>
  <si>
    <t>11547463 Total</t>
  </si>
  <si>
    <t>11547830 Total</t>
  </si>
  <si>
    <t>11548147 Total</t>
  </si>
  <si>
    <t>11548414 Total</t>
  </si>
  <si>
    <t>11548535 Total</t>
  </si>
  <si>
    <t>11548875 Total</t>
  </si>
  <si>
    <t>11549168 Total</t>
  </si>
  <si>
    <t>11549169 Total</t>
  </si>
  <si>
    <t>11549170 Total</t>
  </si>
  <si>
    <t>11549171 Total</t>
  </si>
  <si>
    <t>11549204 Total</t>
  </si>
  <si>
    <t>11561114 Total</t>
  </si>
  <si>
    <t>11561645 Total</t>
  </si>
  <si>
    <t>11561662 Total</t>
  </si>
  <si>
    <t>11562515 Total</t>
  </si>
  <si>
    <t>11569605 Total</t>
  </si>
  <si>
    <t>11569637 Total</t>
  </si>
  <si>
    <t>11588293 Total</t>
  </si>
  <si>
    <t>11588325 Total</t>
  </si>
  <si>
    <t>11588709 Total</t>
  </si>
  <si>
    <t>11588714 Total</t>
  </si>
  <si>
    <t>11601733 Total</t>
  </si>
  <si>
    <t>11602031 Total</t>
  </si>
  <si>
    <t>11602292 Total</t>
  </si>
  <si>
    <t>11602326 Total</t>
  </si>
  <si>
    <t>11602659 Total</t>
  </si>
  <si>
    <t>11602904 Total</t>
  </si>
  <si>
    <t>11603904 Total</t>
  </si>
  <si>
    <t>11604000 Total</t>
  </si>
  <si>
    <t>11604183 Total</t>
  </si>
  <si>
    <t>11604820 Total</t>
  </si>
  <si>
    <t>11604852 Total</t>
  </si>
  <si>
    <t>11609280 Total</t>
  </si>
  <si>
    <t>11609746 Total</t>
  </si>
  <si>
    <t>11609826 Total</t>
  </si>
  <si>
    <t>11610091 Total</t>
  </si>
  <si>
    <t>11610126 Total</t>
  </si>
  <si>
    <t>11610128 Total</t>
  </si>
  <si>
    <t>11611121 Total</t>
  </si>
  <si>
    <t>11611122 Total</t>
  </si>
  <si>
    <t>11611548 Total</t>
  </si>
  <si>
    <t>11611883 Total</t>
  </si>
  <si>
    <t>11611960 Total</t>
  </si>
  <si>
    <t>11611990 Total</t>
  </si>
  <si>
    <t>11612078 Total</t>
  </si>
  <si>
    <t>11612261 Total</t>
  </si>
  <si>
    <t>15047463 Total</t>
  </si>
  <si>
    <t>22800396 Total</t>
  </si>
  <si>
    <t>30769388 Total</t>
  </si>
  <si>
    <t>40073474 Total</t>
  </si>
  <si>
    <t>40109970 Total</t>
  </si>
  <si>
    <t>40110160 Total</t>
  </si>
  <si>
    <t>40161567 Total</t>
  </si>
  <si>
    <t>40173371 Total</t>
  </si>
  <si>
    <t>40179995 Total</t>
  </si>
  <si>
    <t>40204491 Total</t>
  </si>
  <si>
    <t>42068967 Total</t>
  </si>
  <si>
    <t>54041001 Total</t>
  </si>
  <si>
    <t>89055704 Total</t>
  </si>
  <si>
    <t>94012038 Total</t>
  </si>
  <si>
    <t>94012039 Total</t>
  </si>
  <si>
    <t>94012078 Total</t>
  </si>
  <si>
    <t>98055704 Total</t>
  </si>
  <si>
    <t>500009196 Total</t>
  </si>
  <si>
    <t>500009297 Total</t>
  </si>
  <si>
    <t>1420503001 Total</t>
  </si>
  <si>
    <t>7151127803 Total</t>
  </si>
  <si>
    <t>0204788122-L Total</t>
  </si>
  <si>
    <t>06100050-A Total</t>
  </si>
  <si>
    <t>06101447-A Total</t>
  </si>
  <si>
    <t>06101736-A Total</t>
  </si>
  <si>
    <t>06101831-A Total</t>
  </si>
  <si>
    <t>06101968-A Total</t>
  </si>
  <si>
    <t>06102398AA Total</t>
  </si>
  <si>
    <t>06102519AA Total</t>
  </si>
  <si>
    <t>06102612AA Total</t>
  </si>
  <si>
    <t>06104388AA Total</t>
  </si>
  <si>
    <t>06104725AA Total</t>
  </si>
  <si>
    <t>06105048AA Total</t>
  </si>
  <si>
    <t>06105049AA Total</t>
  </si>
  <si>
    <t>06105051AA Total</t>
  </si>
  <si>
    <t>06105102AA Total</t>
  </si>
  <si>
    <t>06113555AA Total</t>
  </si>
  <si>
    <t>06502979-A Total</t>
  </si>
  <si>
    <t>06503825-A Total</t>
  </si>
  <si>
    <t>06505246AA Total</t>
  </si>
  <si>
    <t>06506707AA Total</t>
  </si>
  <si>
    <t>06507109AA Total</t>
  </si>
  <si>
    <t>06508203AA Total</t>
  </si>
  <si>
    <t>06509462AA Total</t>
  </si>
  <si>
    <t>06509494AA Total</t>
  </si>
  <si>
    <t>06509787AA Total</t>
  </si>
  <si>
    <t>06509967AA Total</t>
  </si>
  <si>
    <t>06510997AA Total</t>
  </si>
  <si>
    <t>06511637AA Total</t>
  </si>
  <si>
    <t>06511672aa Total</t>
  </si>
  <si>
    <t>06511701AA Total</t>
  </si>
  <si>
    <t>06511777AA Total</t>
  </si>
  <si>
    <t>06511799AA Total</t>
  </si>
  <si>
    <t>06511800AA Total</t>
  </si>
  <si>
    <t>06511834AA Total</t>
  </si>
  <si>
    <t>06511847AA Total</t>
  </si>
  <si>
    <t>06512106AA Total</t>
  </si>
  <si>
    <t>06512278AA Total</t>
  </si>
  <si>
    <t>06512349AA Total</t>
  </si>
  <si>
    <t>06512435AA Total</t>
  </si>
  <si>
    <t>06512544AA Total</t>
  </si>
  <si>
    <t>06512602AA Total</t>
  </si>
  <si>
    <t>06512686AA Total</t>
  </si>
  <si>
    <t>06512732AA Total</t>
  </si>
  <si>
    <t>06512834AA Total</t>
  </si>
  <si>
    <t>06513399AA Total</t>
  </si>
  <si>
    <t>06513404AA Total</t>
  </si>
  <si>
    <t>06513430AA Total</t>
  </si>
  <si>
    <t>06513485AA Total</t>
  </si>
  <si>
    <t>06513514AA Total</t>
  </si>
  <si>
    <t>06513554AA Total</t>
  </si>
  <si>
    <t>06513555AA Total</t>
  </si>
  <si>
    <t>06513804AA Total</t>
  </si>
  <si>
    <t>06513805AA Total</t>
  </si>
  <si>
    <t>06514141AA Total</t>
  </si>
  <si>
    <t>06514149AA Total</t>
  </si>
  <si>
    <t>06514720AA Total</t>
  </si>
  <si>
    <t>06571672AA Total</t>
  </si>
  <si>
    <t>06811689AA Total</t>
  </si>
  <si>
    <t>07336-54-001 Total</t>
  </si>
  <si>
    <t>10083390-B Total</t>
  </si>
  <si>
    <t>11017996-MY-AK Total</t>
  </si>
  <si>
    <t>11502717-TH-TC Total</t>
  </si>
  <si>
    <t>11516077-MY-AK Total</t>
  </si>
  <si>
    <t>11516078-CA-IN Total</t>
  </si>
  <si>
    <t>11516133-CA-IN Total</t>
  </si>
  <si>
    <t>11516382-MY-AK Total</t>
  </si>
  <si>
    <t>11546364-MY-AK Total</t>
  </si>
  <si>
    <t>11546365-MY-AK Total</t>
  </si>
  <si>
    <t>11546366-MY-AK Total</t>
  </si>
  <si>
    <t>11546367-CA-IN Total</t>
  </si>
  <si>
    <t>11546367-MY-AK Total</t>
  </si>
  <si>
    <t>11546368-CA-IN Total</t>
  </si>
  <si>
    <t>11546368-IN-MR Total</t>
  </si>
  <si>
    <t>11546368-IN-PN Total</t>
  </si>
  <si>
    <t>11546368-MY-AK Total</t>
  </si>
  <si>
    <t>11546369-MY-AK Total</t>
  </si>
  <si>
    <t>11546370-MY-AK Total</t>
  </si>
  <si>
    <t>11546377BR Total</t>
  </si>
  <si>
    <t>11546378-MY-AK Total</t>
  </si>
  <si>
    <t>11546389BR Total</t>
  </si>
  <si>
    <t>11546389-MY-AK Total</t>
  </si>
  <si>
    <t>11546389-PH-RO Total</t>
  </si>
  <si>
    <t>11546437-MY-AK Total</t>
  </si>
  <si>
    <t>11546449-MY-AK Total</t>
  </si>
  <si>
    <t>11546463-A Total</t>
  </si>
  <si>
    <t>11546545A Total</t>
  </si>
  <si>
    <t>11546774-MY-AK Total</t>
  </si>
  <si>
    <t>11547176BR-FY Total</t>
  </si>
  <si>
    <t>11548147-HT Total</t>
  </si>
  <si>
    <t>11548147-IN-PN Total</t>
  </si>
  <si>
    <t>11548414-HT Total</t>
  </si>
  <si>
    <t>11548414-MY-AK Total</t>
  </si>
  <si>
    <t>11549168-CA-IN Total</t>
  </si>
  <si>
    <t>11549168-MY-AK Total</t>
  </si>
  <si>
    <t>11549169-MY-AK Total</t>
  </si>
  <si>
    <t>11549170-MY-AK Total</t>
  </si>
  <si>
    <t>11549171-MY-AK Total</t>
  </si>
  <si>
    <t>11561645-MY-AK Total</t>
  </si>
  <si>
    <t>11603389-MY-AK Total</t>
  </si>
  <si>
    <t>11609789IN-MR Total</t>
  </si>
  <si>
    <t>11610091-CA-IN Total</t>
  </si>
  <si>
    <t>11610091-MY-AK Total</t>
  </si>
  <si>
    <t>11610126BR Total</t>
  </si>
  <si>
    <t>11610376-S Total</t>
  </si>
  <si>
    <t>11612078-B Total</t>
  </si>
  <si>
    <t>1K2GZ0-00-A Total</t>
  </si>
  <si>
    <t>24576407-B Total</t>
  </si>
  <si>
    <t>33771-S2 Total</t>
  </si>
  <si>
    <t>382802-S440 Total</t>
  </si>
  <si>
    <t>4007547A Total</t>
  </si>
  <si>
    <t>47336AE Total</t>
  </si>
  <si>
    <t>5232-28 Total</t>
  </si>
  <si>
    <t>55364498AA Total</t>
  </si>
  <si>
    <t>55718-S2 Total</t>
  </si>
  <si>
    <t>68508694AA Total</t>
  </si>
  <si>
    <t>68665167AA Total</t>
  </si>
  <si>
    <t>7150-3033-02 Total</t>
  </si>
  <si>
    <t>71503036WO Total</t>
  </si>
  <si>
    <t>715150010W Total</t>
  </si>
  <si>
    <t>82246-HT Total</t>
  </si>
  <si>
    <t>85158B Total</t>
  </si>
  <si>
    <t>BOB40770 Total</t>
  </si>
  <si>
    <t>C51017 Total</t>
  </si>
  <si>
    <t>CY5011-A1 Total</t>
  </si>
  <si>
    <t>E6267AB Total</t>
  </si>
  <si>
    <t>F1302AB Total</t>
  </si>
  <si>
    <t>H62324A Total</t>
  </si>
  <si>
    <t>H62534A Total</t>
  </si>
  <si>
    <t>HL3W-4320-AA Total</t>
  </si>
  <si>
    <t>K1046AB Total</t>
  </si>
  <si>
    <t>L0668498AA02 Total</t>
  </si>
  <si>
    <t>N620483-S2 Total</t>
  </si>
  <si>
    <t>NA1055-02 Total</t>
  </si>
  <si>
    <t>NU1237 Total</t>
  </si>
  <si>
    <t>P2152051 Total</t>
  </si>
  <si>
    <t>P3001150 Total</t>
  </si>
  <si>
    <t>P300450 Total</t>
  </si>
  <si>
    <t>P7241950-IN-PN Total</t>
  </si>
  <si>
    <t>Q2428 Total</t>
  </si>
  <si>
    <t>W20-1028-010 Total</t>
  </si>
  <si>
    <t>W20-1028-016 Total</t>
  </si>
  <si>
    <t>W20-1098-0121YA Total</t>
  </si>
  <si>
    <t>W520101-S437 Total</t>
  </si>
  <si>
    <t>W520101-S440 Total</t>
  </si>
  <si>
    <t>W520101-S442 Total</t>
  </si>
  <si>
    <t>W520101-S450 Total</t>
  </si>
  <si>
    <t>W520111-S437 Total</t>
  </si>
  <si>
    <t>W520111-S440 Total</t>
  </si>
  <si>
    <t>W520111-S450B Total</t>
  </si>
  <si>
    <t>W520113-S440 Total</t>
  </si>
  <si>
    <t>W520113-S441 Total</t>
  </si>
  <si>
    <t>W520142-S442 Total</t>
  </si>
  <si>
    <t>W520217-S440 Total</t>
  </si>
  <si>
    <t>W520412-S442 Total</t>
  </si>
  <si>
    <t>W520413-S450L Total</t>
  </si>
  <si>
    <t>W520414-S440 Total</t>
  </si>
  <si>
    <t>W704247-S440 Total</t>
  </si>
  <si>
    <t>W704790-S440 Total</t>
  </si>
  <si>
    <t>W705606-S440 Total</t>
  </si>
  <si>
    <t>W711468-S437 Total</t>
  </si>
  <si>
    <t>W711953-S900 Total</t>
  </si>
  <si>
    <t>W714729-S442 Total</t>
  </si>
  <si>
    <t>W715851-S450B Total</t>
  </si>
  <si>
    <t>W716298-S450 Total</t>
  </si>
  <si>
    <t>W718057-S442 Total</t>
  </si>
  <si>
    <t>W720071-S440 Total</t>
  </si>
  <si>
    <t>W720123-S440 Total</t>
  </si>
  <si>
    <t>W722565-S900 Total</t>
  </si>
  <si>
    <t>Grand Total</t>
  </si>
  <si>
    <t>06514060AA</t>
  </si>
  <si>
    <t>06514060AA Total</t>
  </si>
  <si>
    <t>11546462 Total</t>
  </si>
  <si>
    <t>SKID#1</t>
  </si>
  <si>
    <t>STANDARD QUANTITY</t>
  </si>
  <si>
    <t>PARTIAL QUANTITY</t>
  </si>
  <si>
    <t>SKID#6</t>
  </si>
  <si>
    <t>6-208-43-B</t>
  </si>
  <si>
    <t>6-222-29-B</t>
  </si>
  <si>
    <t>2-251-16-B</t>
  </si>
  <si>
    <t>6-191-06-A</t>
  </si>
  <si>
    <t>6-226-09-A</t>
  </si>
  <si>
    <t>6-212-05-A</t>
  </si>
  <si>
    <t>6-210-08-A</t>
  </si>
  <si>
    <t>6-216-34-A</t>
  </si>
  <si>
    <t>6-224-13-A</t>
  </si>
  <si>
    <t>6-236-21-A</t>
  </si>
  <si>
    <t>6-232-14-B</t>
  </si>
  <si>
    <t>6-229-05-A</t>
  </si>
  <si>
    <t>6-233-23-A</t>
  </si>
  <si>
    <t>6-236-05-A</t>
  </si>
  <si>
    <t>6-222-04-A</t>
  </si>
  <si>
    <t>6-194-31-A</t>
  </si>
  <si>
    <t>6-233-01-A</t>
  </si>
  <si>
    <t>6-203-05-A</t>
  </si>
  <si>
    <t>6-226-02-A</t>
  </si>
  <si>
    <t>6-231-03-A</t>
  </si>
  <si>
    <t>6-219-14-A</t>
  </si>
  <si>
    <t>5-274-28-C</t>
  </si>
  <si>
    <t xml:space="preserve">Date </t>
  </si>
  <si>
    <t>11546449-TH-TC</t>
  </si>
  <si>
    <t>W20-1028-020SL</t>
  </si>
  <si>
    <t>06503825</t>
  </si>
  <si>
    <t>HL320-4320-AA</t>
  </si>
  <si>
    <t>06506767AA</t>
  </si>
  <si>
    <t>55364498-AA</t>
  </si>
  <si>
    <t>11547369-BR-AA</t>
  </si>
  <si>
    <t>11546463-TH-TC</t>
  </si>
  <si>
    <t>W52017-S440</t>
  </si>
  <si>
    <t>L0668498AA</t>
  </si>
  <si>
    <t>22800396-IN-PH</t>
  </si>
  <si>
    <t>6-236-31-E</t>
  </si>
  <si>
    <t>6-236-35-B</t>
  </si>
  <si>
    <t>6-229-54-B</t>
  </si>
  <si>
    <t>6-236-06-B</t>
  </si>
  <si>
    <t>6-236-31-D</t>
  </si>
  <si>
    <t>6-232-29-C</t>
  </si>
  <si>
    <t>6-236-31-C</t>
  </si>
  <si>
    <t>6-236-16-C</t>
  </si>
  <si>
    <t>6-233-38-A</t>
  </si>
  <si>
    <t>6-236-30-A</t>
  </si>
  <si>
    <t>6-236-01-A</t>
  </si>
  <si>
    <t>6-231-09-F</t>
  </si>
  <si>
    <t>5-356-43-A</t>
  </si>
  <si>
    <t>4-045-02-A</t>
  </si>
  <si>
    <t>6-1363-11-B</t>
  </si>
  <si>
    <t>5-118-04-A</t>
  </si>
  <si>
    <t>6-216-04-A</t>
  </si>
  <si>
    <t>6-181-38-C</t>
  </si>
  <si>
    <t>5-356-37-B</t>
  </si>
  <si>
    <t>5-118-05-A</t>
  </si>
  <si>
    <t>6-173-36-A</t>
  </si>
  <si>
    <t>6-119-01-A</t>
  </si>
  <si>
    <t>6-117-17-A</t>
  </si>
  <si>
    <t>6-149-06-A</t>
  </si>
  <si>
    <t>6-097-14-B</t>
  </si>
  <si>
    <t>6-097-18-A</t>
  </si>
  <si>
    <t>5-356-39-B</t>
  </si>
  <si>
    <t>6-161-44-B</t>
  </si>
  <si>
    <t>6-198-31-A</t>
  </si>
  <si>
    <t>6-195-43-B</t>
  </si>
  <si>
    <t>5-339-01-A</t>
  </si>
  <si>
    <t>PARTIAL BOXES (1 of 2)</t>
  </si>
  <si>
    <t>01601968-A</t>
  </si>
  <si>
    <t>6105048AA</t>
  </si>
  <si>
    <t>6-222-05-A</t>
  </si>
  <si>
    <t>6-222-09-A</t>
  </si>
  <si>
    <t>6-222-08-A</t>
  </si>
  <si>
    <t>6-197-02-A</t>
  </si>
  <si>
    <t>6-208-25-F</t>
  </si>
  <si>
    <t>6-222-03-A</t>
  </si>
  <si>
    <t>6-216-42-A</t>
  </si>
  <si>
    <t>6-182-12-A</t>
  </si>
  <si>
    <t>6-175-24-A</t>
  </si>
  <si>
    <t>6-176-04-A</t>
  </si>
  <si>
    <t>6-105-05-A</t>
  </si>
  <si>
    <t>6-218-26-A</t>
  </si>
  <si>
    <t>6-222-06-A</t>
  </si>
  <si>
    <t>6-135-23-A</t>
  </si>
  <si>
    <t>6-159-36-A</t>
  </si>
  <si>
    <t>6-126-10-A</t>
  </si>
  <si>
    <t>2026-08-31 (1)</t>
  </si>
  <si>
    <t>06514720-AA</t>
  </si>
  <si>
    <t>11546368-IN-PN-T</t>
  </si>
  <si>
    <t>11546462-A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</si>
</sst>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7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3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2" fontId="0" fillId="0" borderId="0" xfId="0" applyNumberFormat="1"/>
    <xf numFmtId="0" fontId="6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top" wrapText="1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" fontId="0" fillId="0" borderId="3" xfId="0" applyNumberFormat="1" applyBorder="1"/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3" fillId="0" borderId="3" xfId="0" applyFont="1" applyBorder="1" applyAlignment="1">
      <alignment horizontal="right" vertical="center"/>
    </xf>
    <xf numFmtId="0" fontId="0" fillId="2" borderId="3" xfId="0" applyFill="1" applyBorder="1"/>
    <xf numFmtId="0" fontId="0" fillId="2" borderId="3" xfId="0" applyFill="1" applyBorder="1" applyAlignment="1">
      <alignment horizontal="right"/>
    </xf>
    <xf numFmtId="16" fontId="0" fillId="2" borderId="3" xfId="0" applyNumberFormat="1" applyFill="1" applyBorder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3" fillId="2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16" fontId="0" fillId="0" borderId="0" xfId="0" applyNumberFormat="1"/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6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18A31-62A7-4819-9666-A338944B5334}">
  <sheetPr codeName="Sheet1">
    <pageSetUpPr fitToPage="1"/>
  </sheetPr>
  <dimension ref="A1:D42"/>
  <sheetViews>
    <sheetView zoomScaleNormal="100" workbookViewId="0">
      <selection activeCell="A14" sqref="A14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46023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18</v>
      </c>
      <c r="B5" s="3" t="s">
        <v>19</v>
      </c>
      <c r="C5" s="3">
        <v>696218</v>
      </c>
      <c r="D5" s="3">
        <v>2</v>
      </c>
    </row>
    <row r="6" spans="1:4" ht="26.25" customHeight="1" x14ac:dyDescent="0.25">
      <c r="A6" s="3">
        <v>11611883</v>
      </c>
      <c r="B6" s="3" t="s">
        <v>20</v>
      </c>
      <c r="C6" s="3">
        <v>694710</v>
      </c>
      <c r="D6" s="3">
        <v>1</v>
      </c>
    </row>
    <row r="7" spans="1:4" ht="26.25" customHeight="1" x14ac:dyDescent="0.25">
      <c r="A7" s="3" t="s">
        <v>8</v>
      </c>
      <c r="B7" s="3" t="s">
        <v>21</v>
      </c>
      <c r="C7" s="3">
        <v>695981</v>
      </c>
      <c r="D7" s="3">
        <v>1</v>
      </c>
    </row>
    <row r="8" spans="1:4" ht="26.25" customHeight="1" x14ac:dyDescent="0.25">
      <c r="A8" s="3">
        <v>11546571</v>
      </c>
      <c r="B8" s="3" t="s">
        <v>22</v>
      </c>
      <c r="C8" s="3">
        <v>695722</v>
      </c>
      <c r="D8" s="3">
        <v>2</v>
      </c>
    </row>
    <row r="9" spans="1:4" ht="26.25" customHeight="1" x14ac:dyDescent="0.25">
      <c r="A9" s="3">
        <v>11546463</v>
      </c>
      <c r="B9" s="3" t="s">
        <v>23</v>
      </c>
      <c r="C9" s="3">
        <v>696580</v>
      </c>
      <c r="D9" s="3">
        <v>1</v>
      </c>
    </row>
    <row r="10" spans="1:4" ht="26.25" customHeight="1" x14ac:dyDescent="0.25">
      <c r="A10" s="3">
        <v>11546389</v>
      </c>
      <c r="B10" s="3" t="s">
        <v>24</v>
      </c>
      <c r="C10" s="3">
        <v>690553</v>
      </c>
      <c r="D10" s="3">
        <v>1</v>
      </c>
    </row>
    <row r="11" spans="1:4" ht="26.25" customHeight="1" x14ac:dyDescent="0.25">
      <c r="A11" s="3" t="s">
        <v>9</v>
      </c>
      <c r="B11" s="3" t="s">
        <v>25</v>
      </c>
      <c r="C11" s="3">
        <v>672909</v>
      </c>
      <c r="D11" s="3">
        <v>1</v>
      </c>
    </row>
    <row r="12" spans="1:4" ht="26.25" customHeight="1" x14ac:dyDescent="0.25">
      <c r="A12" s="3" t="s">
        <v>10</v>
      </c>
      <c r="B12" s="3" t="s">
        <v>26</v>
      </c>
      <c r="C12" s="3">
        <v>696392</v>
      </c>
      <c r="D12" s="3">
        <v>1</v>
      </c>
    </row>
    <row r="13" spans="1:4" ht="26.25" customHeight="1" x14ac:dyDescent="0.25">
      <c r="A13" s="3">
        <v>11546545</v>
      </c>
      <c r="B13" s="3" t="s">
        <v>27</v>
      </c>
      <c r="C13" s="3">
        <v>695687</v>
      </c>
      <c r="D13" s="3">
        <v>3</v>
      </c>
    </row>
    <row r="14" spans="1:4" ht="26.25" customHeight="1" x14ac:dyDescent="0.25">
      <c r="A14" s="3" t="s">
        <v>11</v>
      </c>
      <c r="B14" s="3" t="s">
        <v>28</v>
      </c>
      <c r="C14" s="3">
        <v>691263</v>
      </c>
      <c r="D14" s="3">
        <v>1</v>
      </c>
    </row>
    <row r="15" spans="1:4" ht="26.25" customHeight="1" x14ac:dyDescent="0.25">
      <c r="A15" s="3">
        <v>11546377</v>
      </c>
      <c r="B15" s="3" t="s">
        <v>44</v>
      </c>
      <c r="C15" s="3">
        <v>688488</v>
      </c>
      <c r="D15" s="3">
        <v>2</v>
      </c>
    </row>
    <row r="16" spans="1:4" ht="26.25" customHeight="1" x14ac:dyDescent="0.25">
      <c r="A16" s="3" t="s">
        <v>12</v>
      </c>
      <c r="B16" s="3" t="s">
        <v>29</v>
      </c>
      <c r="C16" s="3">
        <v>693298</v>
      </c>
      <c r="D16" s="3">
        <v>3</v>
      </c>
    </row>
    <row r="17" spans="1:4" ht="26.25" customHeight="1" x14ac:dyDescent="0.25">
      <c r="A17" s="3" t="s">
        <v>13</v>
      </c>
      <c r="B17" s="3" t="s">
        <v>30</v>
      </c>
      <c r="C17" s="3">
        <v>690460</v>
      </c>
      <c r="D17" s="3">
        <v>1</v>
      </c>
    </row>
    <row r="18" spans="1:4" ht="26.25" customHeight="1" x14ac:dyDescent="0.25">
      <c r="A18" s="3">
        <v>11546462</v>
      </c>
      <c r="B18" s="3" t="s">
        <v>31</v>
      </c>
      <c r="C18" s="3">
        <v>693420</v>
      </c>
      <c r="D18" s="3">
        <v>1</v>
      </c>
    </row>
    <row r="19" spans="1:4" ht="26.25" customHeight="1" x14ac:dyDescent="0.25">
      <c r="A19" s="3">
        <v>11546456</v>
      </c>
      <c r="B19" s="3" t="s">
        <v>32</v>
      </c>
      <c r="C19" s="3">
        <v>691210</v>
      </c>
      <c r="D19" s="3">
        <v>1</v>
      </c>
    </row>
    <row r="20" spans="1:4" ht="26.25" customHeight="1" x14ac:dyDescent="0.25">
      <c r="A20" s="3" t="s">
        <v>1</v>
      </c>
      <c r="B20" s="3" t="s">
        <v>33</v>
      </c>
      <c r="C20" s="3">
        <v>667202</v>
      </c>
      <c r="D20" s="3">
        <v>2</v>
      </c>
    </row>
    <row r="21" spans="1:4" ht="26.25" customHeight="1" x14ac:dyDescent="0.25">
      <c r="A21" s="3">
        <v>11546774</v>
      </c>
      <c r="B21" s="3" t="s">
        <v>34</v>
      </c>
      <c r="C21" s="3">
        <v>692943</v>
      </c>
      <c r="D21" s="3">
        <v>1</v>
      </c>
    </row>
    <row r="22" spans="1:4" ht="26.25" customHeight="1" x14ac:dyDescent="0.25">
      <c r="A22" s="3">
        <v>11546546</v>
      </c>
      <c r="B22" s="3" t="s">
        <v>35</v>
      </c>
      <c r="C22" s="3">
        <v>696501</v>
      </c>
      <c r="D22" s="3">
        <v>1</v>
      </c>
    </row>
    <row r="23" spans="1:4" ht="26.25" customHeight="1" x14ac:dyDescent="0.25">
      <c r="A23" s="3">
        <v>11549168</v>
      </c>
      <c r="B23" s="3" t="s">
        <v>36</v>
      </c>
      <c r="C23" s="3">
        <v>696699</v>
      </c>
      <c r="D23" s="3">
        <v>1</v>
      </c>
    </row>
    <row r="24" spans="1:4" ht="26.25" customHeight="1" x14ac:dyDescent="0.25">
      <c r="A24" s="3">
        <v>11516133</v>
      </c>
      <c r="B24" s="3" t="s">
        <v>37</v>
      </c>
      <c r="C24" s="3">
        <v>690977</v>
      </c>
      <c r="D24" s="3">
        <v>1</v>
      </c>
    </row>
    <row r="25" spans="1:4" ht="26.25" customHeight="1" x14ac:dyDescent="0.25">
      <c r="A25" s="3">
        <v>82218</v>
      </c>
      <c r="B25" s="3" t="s">
        <v>38</v>
      </c>
      <c r="C25" s="3">
        <v>692884</v>
      </c>
      <c r="D25" s="3">
        <v>1</v>
      </c>
    </row>
    <row r="26" spans="1:4" ht="26.25" customHeight="1" x14ac:dyDescent="0.25">
      <c r="A26" s="3">
        <v>11546370</v>
      </c>
      <c r="B26" s="3" t="s">
        <v>39</v>
      </c>
      <c r="C26" s="3">
        <v>691911</v>
      </c>
      <c r="D26" s="3">
        <v>2</v>
      </c>
    </row>
    <row r="27" spans="1:4" ht="26.25" customHeight="1" x14ac:dyDescent="0.25">
      <c r="A27" s="3" t="s">
        <v>14</v>
      </c>
      <c r="B27" s="3" t="s">
        <v>43</v>
      </c>
      <c r="C27" s="3">
        <v>687481</v>
      </c>
      <c r="D27" s="3">
        <v>2</v>
      </c>
    </row>
    <row r="28" spans="1:4" ht="26.25" customHeight="1" x14ac:dyDescent="0.25">
      <c r="A28" s="3" t="s">
        <v>15</v>
      </c>
      <c r="B28" s="3" t="s">
        <v>40</v>
      </c>
      <c r="C28" s="3">
        <v>690651</v>
      </c>
      <c r="D28" s="3">
        <v>1</v>
      </c>
    </row>
    <row r="29" spans="1:4" ht="26.25" customHeight="1" x14ac:dyDescent="0.25">
      <c r="A29" s="3" t="s">
        <v>16</v>
      </c>
      <c r="B29" s="3" t="s">
        <v>41</v>
      </c>
      <c r="C29" s="3">
        <v>693310</v>
      </c>
      <c r="D29" s="3">
        <v>1</v>
      </c>
    </row>
    <row r="30" spans="1:4" ht="26.25" customHeight="1" x14ac:dyDescent="0.25">
      <c r="A30" s="3" t="s">
        <v>17</v>
      </c>
      <c r="B30" s="3" t="s">
        <v>42</v>
      </c>
      <c r="C30" s="3">
        <v>687086</v>
      </c>
      <c r="D30" s="3">
        <v>1</v>
      </c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customHeight="1" x14ac:dyDescent="0.25">
      <c r="A40" s="40" t="s">
        <v>7</v>
      </c>
      <c r="B40" s="41"/>
      <c r="C40" s="42"/>
      <c r="D40" s="42"/>
    </row>
    <row r="41" spans="1:4" ht="26.25" customHeight="1" thickBot="1" x14ac:dyDescent="0.3">
      <c r="A41" s="39" t="s">
        <v>0</v>
      </c>
      <c r="B41" s="39"/>
      <c r="C41" s="2"/>
      <c r="D41" s="1">
        <f>+SUM(D5:D39)</f>
        <v>36</v>
      </c>
    </row>
    <row r="42" spans="1:4" ht="15.75" thickTop="1" x14ac:dyDescent="0.25"/>
  </sheetData>
  <autoFilter ref="A4:D41" xr:uid="{75A0629A-1B48-47BD-9495-F015C6254FE8}"/>
  <mergeCells count="4">
    <mergeCell ref="A1:D1"/>
    <mergeCell ref="A2:D2"/>
    <mergeCell ref="A40:D40"/>
    <mergeCell ref="A41:B41"/>
  </mergeCells>
  <conditionalFormatting sqref="A1:A1048576">
    <cfRule type="duplicateValues" dxfId="605" priority="16"/>
    <cfRule type="duplicateValues" dxfId="604" priority="17"/>
    <cfRule type="duplicateValues" dxfId="603" priority="18"/>
    <cfRule type="duplicateValues" dxfId="602" priority="19"/>
    <cfRule type="duplicateValues" dxfId="601" priority="20"/>
  </conditionalFormatting>
  <conditionalFormatting sqref="B5:C5">
    <cfRule type="duplicateValues" dxfId="600" priority="6"/>
    <cfRule type="duplicateValues" dxfId="599" priority="7"/>
    <cfRule type="duplicateValues" dxfId="598" priority="8"/>
    <cfRule type="duplicateValues" dxfId="597" priority="9"/>
    <cfRule type="duplicateValues" dxfId="596" priority="10"/>
  </conditionalFormatting>
  <conditionalFormatting sqref="B6:C30">
    <cfRule type="duplicateValues" dxfId="595" priority="1"/>
    <cfRule type="duplicateValues" dxfId="594" priority="2"/>
    <cfRule type="duplicateValues" dxfId="593" priority="3"/>
    <cfRule type="duplicateValues" dxfId="592" priority="4"/>
    <cfRule type="duplicateValues" dxfId="591" priority="5"/>
  </conditionalFormatting>
  <conditionalFormatting sqref="B31:C39">
    <cfRule type="duplicateValues" dxfId="590" priority="11"/>
    <cfRule type="duplicateValues" dxfId="589" priority="12"/>
    <cfRule type="duplicateValues" dxfId="588" priority="13"/>
    <cfRule type="duplicateValues" dxfId="587" priority="14"/>
    <cfRule type="duplicateValues" dxfId="586" priority="15"/>
  </conditionalFormatting>
  <printOptions horizontalCentered="1"/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9E82-F679-4641-8003-485D5B99780D}">
  <sheetPr codeName="Sheet2">
    <pageSetUpPr fitToPage="1"/>
  </sheetPr>
  <dimension ref="A1:D43"/>
  <sheetViews>
    <sheetView topLeftCell="A15" zoomScaleNormal="100" workbookViewId="0">
      <selection activeCell="D11" sqref="D11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46024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>
        <v>11611548</v>
      </c>
      <c r="B5" s="3" t="s">
        <v>58</v>
      </c>
      <c r="C5" s="3">
        <v>688050</v>
      </c>
      <c r="D5" s="3">
        <v>1</v>
      </c>
    </row>
    <row r="6" spans="1:4" ht="26.25" customHeight="1" x14ac:dyDescent="0.25">
      <c r="A6" s="3">
        <v>11546389</v>
      </c>
      <c r="B6" s="3" t="s">
        <v>59</v>
      </c>
      <c r="C6" s="3">
        <v>689404</v>
      </c>
      <c r="D6" s="3">
        <v>1</v>
      </c>
    </row>
    <row r="7" spans="1:4" ht="26.25" customHeight="1" x14ac:dyDescent="0.25">
      <c r="A7" s="3" t="s">
        <v>46</v>
      </c>
      <c r="B7" s="3" t="s">
        <v>60</v>
      </c>
      <c r="C7" s="3">
        <v>691259</v>
      </c>
      <c r="D7" s="3">
        <v>2</v>
      </c>
    </row>
    <row r="8" spans="1:4" ht="26.25" customHeight="1" x14ac:dyDescent="0.25">
      <c r="A8" s="3" t="s">
        <v>47</v>
      </c>
      <c r="B8" s="3" t="s">
        <v>61</v>
      </c>
      <c r="C8" s="3">
        <v>690051</v>
      </c>
      <c r="D8" s="3">
        <v>1</v>
      </c>
    </row>
    <row r="9" spans="1:4" ht="26.25" customHeight="1" x14ac:dyDescent="0.25">
      <c r="A9" s="3">
        <v>11546370</v>
      </c>
      <c r="B9" s="3" t="s">
        <v>62</v>
      </c>
      <c r="C9" s="3">
        <v>686639</v>
      </c>
      <c r="D9" s="3">
        <v>2</v>
      </c>
    </row>
    <row r="10" spans="1:4" ht="26.25" customHeight="1" x14ac:dyDescent="0.25">
      <c r="A10" s="3" t="s">
        <v>48</v>
      </c>
      <c r="B10" s="3" t="s">
        <v>63</v>
      </c>
      <c r="C10" s="3">
        <v>686245</v>
      </c>
      <c r="D10" s="3">
        <v>1</v>
      </c>
    </row>
    <row r="11" spans="1:4" ht="26.25" customHeight="1" x14ac:dyDescent="0.25">
      <c r="A11" s="3" t="s">
        <v>49</v>
      </c>
      <c r="B11" s="3" t="s">
        <v>64</v>
      </c>
      <c r="C11" s="3">
        <v>689358</v>
      </c>
      <c r="D11" s="3">
        <v>1</v>
      </c>
    </row>
    <row r="12" spans="1:4" ht="26.25" customHeight="1" x14ac:dyDescent="0.25">
      <c r="A12" s="3" t="s">
        <v>57</v>
      </c>
      <c r="B12" s="3" t="s">
        <v>65</v>
      </c>
      <c r="C12" s="3">
        <v>688674</v>
      </c>
      <c r="D12" s="3">
        <v>1</v>
      </c>
    </row>
    <row r="13" spans="1:4" ht="26.25" customHeight="1" x14ac:dyDescent="0.25">
      <c r="A13" s="3">
        <v>11610128</v>
      </c>
      <c r="B13" s="3" t="s">
        <v>66</v>
      </c>
      <c r="C13" s="3">
        <v>688446</v>
      </c>
      <c r="D13" s="3">
        <v>1</v>
      </c>
    </row>
    <row r="14" spans="1:4" ht="26.25" customHeight="1" x14ac:dyDescent="0.25">
      <c r="A14" s="3" t="s">
        <v>50</v>
      </c>
      <c r="B14" s="3" t="s">
        <v>67</v>
      </c>
      <c r="C14" s="3">
        <v>684533</v>
      </c>
      <c r="D14" s="3">
        <v>1</v>
      </c>
    </row>
    <row r="15" spans="1:4" ht="26.25" customHeight="1" x14ac:dyDescent="0.25">
      <c r="A15" s="3">
        <v>11547349</v>
      </c>
      <c r="B15" s="3" t="s">
        <v>68</v>
      </c>
      <c r="C15" s="3">
        <v>689069</v>
      </c>
      <c r="D15" s="3">
        <v>1</v>
      </c>
    </row>
    <row r="16" spans="1:4" ht="26.25" customHeight="1" x14ac:dyDescent="0.25">
      <c r="A16" s="3">
        <v>40173371</v>
      </c>
      <c r="B16" s="3" t="s">
        <v>69</v>
      </c>
      <c r="C16" s="3">
        <v>686383</v>
      </c>
      <c r="D16" s="3">
        <v>1</v>
      </c>
    </row>
    <row r="17" spans="1:4" ht="26.25" customHeight="1" x14ac:dyDescent="0.25">
      <c r="A17" s="3" t="s">
        <v>51</v>
      </c>
      <c r="B17" s="3" t="s">
        <v>84</v>
      </c>
      <c r="C17" s="3">
        <v>667184</v>
      </c>
      <c r="D17" s="3">
        <v>1</v>
      </c>
    </row>
    <row r="18" spans="1:4" ht="26.25" customHeight="1" x14ac:dyDescent="0.25">
      <c r="A18" s="3" t="s">
        <v>52</v>
      </c>
      <c r="B18" s="3" t="s">
        <v>70</v>
      </c>
      <c r="C18" s="3">
        <v>689091</v>
      </c>
      <c r="D18" s="3">
        <v>2</v>
      </c>
    </row>
    <row r="19" spans="1:4" ht="26.25" customHeight="1" x14ac:dyDescent="0.25">
      <c r="A19" s="3">
        <v>11546456</v>
      </c>
      <c r="B19" s="3" t="s">
        <v>71</v>
      </c>
      <c r="C19" s="3">
        <v>688276</v>
      </c>
      <c r="D19" s="3">
        <v>1</v>
      </c>
    </row>
    <row r="20" spans="1:4" ht="26.25" customHeight="1" x14ac:dyDescent="0.25">
      <c r="A20" s="3" t="s">
        <v>53</v>
      </c>
      <c r="B20" s="3" t="s">
        <v>72</v>
      </c>
      <c r="C20" s="3">
        <v>690277</v>
      </c>
      <c r="D20" s="3">
        <v>1</v>
      </c>
    </row>
    <row r="21" spans="1:4" ht="26.25" customHeight="1" x14ac:dyDescent="0.25">
      <c r="A21" s="3">
        <v>94012078</v>
      </c>
      <c r="B21" s="3" t="s">
        <v>73</v>
      </c>
      <c r="C21" s="3">
        <v>686763</v>
      </c>
      <c r="D21" s="3">
        <v>2</v>
      </c>
    </row>
    <row r="22" spans="1:4" ht="26.25" customHeight="1" x14ac:dyDescent="0.25">
      <c r="A22" s="3" t="s">
        <v>54</v>
      </c>
      <c r="B22" s="3" t="s">
        <v>74</v>
      </c>
      <c r="C22" s="3">
        <v>679351</v>
      </c>
      <c r="D22" s="3">
        <v>3</v>
      </c>
    </row>
    <row r="23" spans="1:4" ht="26.25" customHeight="1" x14ac:dyDescent="0.25">
      <c r="A23" s="3" t="s">
        <v>55</v>
      </c>
      <c r="B23" s="3" t="s">
        <v>75</v>
      </c>
      <c r="C23" s="3">
        <v>688799</v>
      </c>
      <c r="D23" s="3">
        <v>3</v>
      </c>
    </row>
    <row r="24" spans="1:4" ht="26.25" customHeight="1" x14ac:dyDescent="0.25">
      <c r="A24" s="3" t="s">
        <v>56</v>
      </c>
      <c r="B24" s="3" t="s">
        <v>82</v>
      </c>
      <c r="C24" s="3">
        <v>687016</v>
      </c>
      <c r="D24" s="3">
        <v>1</v>
      </c>
    </row>
    <row r="25" spans="1:4" ht="26.25" customHeight="1" x14ac:dyDescent="0.25">
      <c r="A25" s="3">
        <v>11547369</v>
      </c>
      <c r="B25" s="3" t="s">
        <v>76</v>
      </c>
      <c r="C25" s="3">
        <v>688461</v>
      </c>
      <c r="D25" s="3">
        <v>1</v>
      </c>
    </row>
    <row r="26" spans="1:4" ht="26.25" customHeight="1" x14ac:dyDescent="0.25">
      <c r="A26" s="3">
        <v>11546449</v>
      </c>
      <c r="B26" s="3" t="s">
        <v>77</v>
      </c>
      <c r="C26" s="3">
        <v>689272</v>
      </c>
      <c r="D26" s="3">
        <v>2</v>
      </c>
    </row>
    <row r="27" spans="1:4" ht="26.25" customHeight="1" x14ac:dyDescent="0.25">
      <c r="A27" s="3" t="s">
        <v>78</v>
      </c>
      <c r="B27" s="3" t="s">
        <v>83</v>
      </c>
      <c r="C27" s="3">
        <v>684132</v>
      </c>
      <c r="D27" s="3">
        <v>1</v>
      </c>
    </row>
    <row r="28" spans="1:4" ht="26.25" customHeight="1" x14ac:dyDescent="0.25">
      <c r="A28" s="3">
        <v>11516133</v>
      </c>
      <c r="B28" s="3" t="s">
        <v>79</v>
      </c>
      <c r="C28" s="3">
        <v>685658</v>
      </c>
      <c r="D28" s="3">
        <v>1</v>
      </c>
    </row>
    <row r="29" spans="1:4" ht="26.25" customHeight="1" x14ac:dyDescent="0.25">
      <c r="A29" s="3">
        <v>11604000</v>
      </c>
      <c r="B29" s="3" t="s">
        <v>80</v>
      </c>
      <c r="C29" s="3">
        <v>689367</v>
      </c>
      <c r="D29" s="3">
        <v>2</v>
      </c>
    </row>
    <row r="30" spans="1:4" ht="26.25" customHeight="1" x14ac:dyDescent="0.25">
      <c r="A30" s="3">
        <v>11561645</v>
      </c>
      <c r="B30" s="3" t="s">
        <v>81</v>
      </c>
      <c r="C30" s="3">
        <v>687960</v>
      </c>
      <c r="D30" s="3">
        <v>1</v>
      </c>
    </row>
    <row r="31" spans="1:4" ht="26.25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45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autoFilter ref="A4:D42" xr:uid="{75A0629A-1B48-47BD-9495-F015C6254FE8}"/>
  <mergeCells count="4">
    <mergeCell ref="A1:D1"/>
    <mergeCell ref="A2:D2"/>
    <mergeCell ref="A41:D41"/>
    <mergeCell ref="A42:B42"/>
  </mergeCells>
  <conditionalFormatting sqref="A1:A1048576">
    <cfRule type="duplicateValues" dxfId="585" priority="26"/>
    <cfRule type="duplicateValues" dxfId="584" priority="27"/>
    <cfRule type="duplicateValues" dxfId="583" priority="28"/>
    <cfRule type="duplicateValues" dxfId="582" priority="29"/>
    <cfRule type="duplicateValues" dxfId="581" priority="30"/>
  </conditionalFormatting>
  <conditionalFormatting sqref="B5:C5">
    <cfRule type="duplicateValues" dxfId="580" priority="6"/>
    <cfRule type="duplicateValues" dxfId="579" priority="7"/>
    <cfRule type="duplicateValues" dxfId="578" priority="8"/>
    <cfRule type="duplicateValues" dxfId="577" priority="9"/>
    <cfRule type="duplicateValues" dxfId="576" priority="10"/>
  </conditionalFormatting>
  <conditionalFormatting sqref="B6:C30">
    <cfRule type="duplicateValues" dxfId="575" priority="1"/>
    <cfRule type="duplicateValues" dxfId="574" priority="2"/>
    <cfRule type="duplicateValues" dxfId="573" priority="3"/>
    <cfRule type="duplicateValues" dxfId="572" priority="4"/>
    <cfRule type="duplicateValues" dxfId="571" priority="5"/>
  </conditionalFormatting>
  <conditionalFormatting sqref="B31:C31">
    <cfRule type="duplicateValues" dxfId="570" priority="11"/>
    <cfRule type="duplicateValues" dxfId="569" priority="12"/>
    <cfRule type="duplicateValues" dxfId="568" priority="13"/>
    <cfRule type="duplicateValues" dxfId="567" priority="14"/>
    <cfRule type="duplicateValues" dxfId="566" priority="15"/>
  </conditionalFormatting>
  <conditionalFormatting sqref="B32:C40">
    <cfRule type="duplicateValues" dxfId="565" priority="21"/>
    <cfRule type="duplicateValues" dxfId="564" priority="22"/>
    <cfRule type="duplicateValues" dxfId="563" priority="23"/>
    <cfRule type="duplicateValues" dxfId="562" priority="24"/>
    <cfRule type="duplicateValues" dxfId="561" priority="25"/>
  </conditionalFormatting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236E-19E0-41BA-9301-9197B9451655}">
  <sheetPr codeName="Sheet3">
    <pageSetUpPr fitToPage="1"/>
  </sheetPr>
  <dimension ref="A1:D43"/>
  <sheetViews>
    <sheetView topLeftCell="A29" zoomScaleNormal="100" workbookViewId="0">
      <selection activeCell="D29" sqref="D29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46025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86</v>
      </c>
      <c r="B5" s="3" t="s">
        <v>105</v>
      </c>
      <c r="C5" s="3">
        <v>667782</v>
      </c>
      <c r="D5" s="3">
        <v>2</v>
      </c>
    </row>
    <row r="6" spans="1:4" ht="26.25" customHeight="1" x14ac:dyDescent="0.25">
      <c r="A6" s="3" t="s">
        <v>87</v>
      </c>
      <c r="B6" s="3" t="s">
        <v>106</v>
      </c>
      <c r="C6" s="3">
        <v>657597</v>
      </c>
      <c r="D6" s="3">
        <v>1</v>
      </c>
    </row>
    <row r="7" spans="1:4" ht="26.25" customHeight="1" x14ac:dyDescent="0.25">
      <c r="A7" s="3" t="s">
        <v>88</v>
      </c>
      <c r="B7" s="3" t="s">
        <v>107</v>
      </c>
      <c r="C7" s="3">
        <v>662586</v>
      </c>
      <c r="D7" s="3">
        <v>2</v>
      </c>
    </row>
    <row r="8" spans="1:4" ht="26.25" customHeight="1" x14ac:dyDescent="0.25">
      <c r="A8" s="3">
        <v>11546448</v>
      </c>
      <c r="B8" s="3" t="s">
        <v>108</v>
      </c>
      <c r="C8" s="3">
        <v>670566</v>
      </c>
      <c r="D8" s="3">
        <v>1</v>
      </c>
    </row>
    <row r="9" spans="1:4" ht="26.25" customHeight="1" x14ac:dyDescent="0.25">
      <c r="A9" s="3" t="s">
        <v>89</v>
      </c>
      <c r="B9" s="3" t="s">
        <v>109</v>
      </c>
      <c r="C9" s="3">
        <v>692598</v>
      </c>
      <c r="D9" s="3">
        <v>1</v>
      </c>
    </row>
    <row r="10" spans="1:4" ht="26.25" customHeight="1" x14ac:dyDescent="0.25">
      <c r="A10" s="3">
        <v>11548535</v>
      </c>
      <c r="B10" s="3" t="s">
        <v>110</v>
      </c>
      <c r="C10" s="3">
        <v>693074</v>
      </c>
      <c r="D10" s="3">
        <v>1</v>
      </c>
    </row>
    <row r="11" spans="1:4" ht="26.25" customHeight="1" x14ac:dyDescent="0.25">
      <c r="A11" s="3">
        <v>11546462</v>
      </c>
      <c r="B11" s="3" t="s">
        <v>111</v>
      </c>
      <c r="C11" s="3">
        <v>693419</v>
      </c>
      <c r="D11" s="3">
        <v>1</v>
      </c>
    </row>
    <row r="12" spans="1:4" ht="26.25" customHeight="1" x14ac:dyDescent="0.25">
      <c r="A12" s="3" t="s">
        <v>90</v>
      </c>
      <c r="B12" s="3" t="s">
        <v>112</v>
      </c>
      <c r="C12" s="3">
        <v>692675</v>
      </c>
      <c r="D12" s="3">
        <v>1</v>
      </c>
    </row>
    <row r="13" spans="1:4" ht="26.25" customHeight="1" x14ac:dyDescent="0.25">
      <c r="A13" s="3" t="s">
        <v>91</v>
      </c>
      <c r="B13" s="3" t="s">
        <v>113</v>
      </c>
      <c r="C13" s="3">
        <v>689302</v>
      </c>
      <c r="D13" s="3">
        <v>1</v>
      </c>
    </row>
    <row r="14" spans="1:4" ht="26.25" customHeight="1" x14ac:dyDescent="0.25">
      <c r="A14" s="3" t="s">
        <v>92</v>
      </c>
      <c r="B14" s="3" t="s">
        <v>114</v>
      </c>
      <c r="C14" s="3">
        <v>689284</v>
      </c>
      <c r="D14" s="3">
        <v>1</v>
      </c>
    </row>
    <row r="15" spans="1:4" ht="26.25" customHeight="1" x14ac:dyDescent="0.25">
      <c r="A15" s="3" t="s">
        <v>93</v>
      </c>
      <c r="B15" s="3" t="s">
        <v>115</v>
      </c>
      <c r="C15" s="3">
        <v>690892</v>
      </c>
      <c r="D15" s="3">
        <v>1</v>
      </c>
    </row>
    <row r="16" spans="1:4" ht="26.25" customHeight="1" x14ac:dyDescent="0.25">
      <c r="A16" s="3" t="s">
        <v>94</v>
      </c>
      <c r="B16" s="3" t="s">
        <v>116</v>
      </c>
      <c r="C16" s="3">
        <v>687604</v>
      </c>
      <c r="D16" s="3">
        <v>1</v>
      </c>
    </row>
    <row r="17" spans="1:4" ht="26.25" customHeight="1" x14ac:dyDescent="0.25">
      <c r="A17" s="3">
        <v>11561645</v>
      </c>
      <c r="B17" s="3" t="s">
        <v>117</v>
      </c>
      <c r="C17" s="3">
        <v>687961</v>
      </c>
      <c r="D17" s="3">
        <v>2</v>
      </c>
    </row>
    <row r="18" spans="1:4" ht="26.25" customHeight="1" x14ac:dyDescent="0.25">
      <c r="A18" s="3">
        <v>15047163</v>
      </c>
      <c r="B18" s="3" t="s">
        <v>118</v>
      </c>
      <c r="C18" s="3">
        <v>690590</v>
      </c>
      <c r="D18" s="3">
        <v>1</v>
      </c>
    </row>
    <row r="19" spans="1:4" ht="26.25" customHeight="1" x14ac:dyDescent="0.25">
      <c r="A19" s="3">
        <v>11547176</v>
      </c>
      <c r="B19" s="3" t="s">
        <v>119</v>
      </c>
      <c r="C19" s="3">
        <v>688407</v>
      </c>
      <c r="D19" s="3">
        <v>1</v>
      </c>
    </row>
    <row r="20" spans="1:4" ht="26.25" customHeight="1" x14ac:dyDescent="0.25">
      <c r="A20" s="3" t="s">
        <v>95</v>
      </c>
      <c r="B20" s="3" t="s">
        <v>120</v>
      </c>
      <c r="C20" s="3">
        <v>685470</v>
      </c>
      <c r="D20" s="3">
        <v>1</v>
      </c>
    </row>
    <row r="21" spans="1:4" ht="26.25" customHeight="1" x14ac:dyDescent="0.25">
      <c r="A21" s="3" t="s">
        <v>96</v>
      </c>
      <c r="B21" s="3" t="s">
        <v>121</v>
      </c>
      <c r="C21" s="3">
        <v>688308</v>
      </c>
      <c r="D21" s="3">
        <v>1</v>
      </c>
    </row>
    <row r="22" spans="1:4" ht="26.25" customHeight="1" x14ac:dyDescent="0.25">
      <c r="A22" s="3">
        <v>7151143403</v>
      </c>
      <c r="B22" s="3" t="s">
        <v>122</v>
      </c>
      <c r="C22" s="3">
        <v>685959</v>
      </c>
      <c r="D22" s="3">
        <v>1</v>
      </c>
    </row>
    <row r="23" spans="1:4" ht="26.25" customHeight="1" x14ac:dyDescent="0.25">
      <c r="A23" s="3" t="s">
        <v>97</v>
      </c>
      <c r="B23" s="3" t="s">
        <v>123</v>
      </c>
      <c r="C23" s="3">
        <v>689448</v>
      </c>
      <c r="D23" s="3">
        <v>1</v>
      </c>
    </row>
    <row r="24" spans="1:4" ht="26.25" customHeight="1" x14ac:dyDescent="0.25">
      <c r="A24" s="3">
        <v>22800396</v>
      </c>
      <c r="B24" s="3" t="s">
        <v>124</v>
      </c>
      <c r="C24" s="3">
        <v>687962</v>
      </c>
      <c r="D24" s="3">
        <v>1</v>
      </c>
    </row>
    <row r="25" spans="1:4" ht="26.25" customHeight="1" x14ac:dyDescent="0.25">
      <c r="A25" s="3">
        <v>11569605</v>
      </c>
      <c r="B25" s="3" t="s">
        <v>133</v>
      </c>
      <c r="C25" s="3">
        <v>664602</v>
      </c>
      <c r="D25" s="3">
        <v>1</v>
      </c>
    </row>
    <row r="26" spans="1:4" ht="26.25" customHeight="1" x14ac:dyDescent="0.25">
      <c r="A26" s="3" t="s">
        <v>98</v>
      </c>
      <c r="B26" s="3" t="s">
        <v>125</v>
      </c>
      <c r="C26" s="3">
        <v>688861</v>
      </c>
      <c r="D26" s="3">
        <v>1</v>
      </c>
    </row>
    <row r="27" spans="1:4" ht="26.25" customHeight="1" x14ac:dyDescent="0.25">
      <c r="A27" s="3" t="s">
        <v>99</v>
      </c>
      <c r="B27" s="3" t="s">
        <v>126</v>
      </c>
      <c r="C27" s="3">
        <v>686616</v>
      </c>
      <c r="D27" s="3">
        <v>1</v>
      </c>
    </row>
    <row r="28" spans="1:4" ht="26.25" customHeight="1" x14ac:dyDescent="0.25">
      <c r="A28" s="3" t="s">
        <v>100</v>
      </c>
      <c r="B28" s="3" t="s">
        <v>127</v>
      </c>
      <c r="C28" s="3">
        <v>690964</v>
      </c>
      <c r="D28" s="3">
        <v>4</v>
      </c>
    </row>
    <row r="29" spans="1:4" ht="26.25" customHeight="1" x14ac:dyDescent="0.25">
      <c r="A29" s="3" t="s">
        <v>101</v>
      </c>
      <c r="B29" s="3" t="s">
        <v>128</v>
      </c>
      <c r="C29" s="3">
        <v>686911</v>
      </c>
      <c r="D29" s="3">
        <v>1</v>
      </c>
    </row>
    <row r="30" spans="1:4" ht="26.25" customHeight="1" x14ac:dyDescent="0.25">
      <c r="A30" s="3">
        <v>11549204</v>
      </c>
      <c r="B30" s="3" t="s">
        <v>129</v>
      </c>
      <c r="C30" s="3">
        <v>688086</v>
      </c>
      <c r="D30" s="3">
        <v>1</v>
      </c>
    </row>
    <row r="31" spans="1:4" ht="26.25" customHeight="1" x14ac:dyDescent="0.25">
      <c r="A31" s="3" t="s">
        <v>102</v>
      </c>
      <c r="B31" s="3" t="s">
        <v>130</v>
      </c>
      <c r="C31" s="3">
        <v>689357</v>
      </c>
      <c r="D31" s="3">
        <v>1</v>
      </c>
    </row>
    <row r="32" spans="1:4" ht="26.25" customHeight="1" x14ac:dyDescent="0.25">
      <c r="A32" s="3">
        <v>91054</v>
      </c>
      <c r="B32" s="3" t="s">
        <v>131</v>
      </c>
      <c r="C32" s="3">
        <v>686384</v>
      </c>
      <c r="D32" s="3">
        <v>1</v>
      </c>
    </row>
    <row r="33" spans="1:4" ht="26.25" customHeight="1" x14ac:dyDescent="0.25">
      <c r="A33" s="3" t="s">
        <v>103</v>
      </c>
      <c r="B33" s="3" t="s">
        <v>132</v>
      </c>
      <c r="C33" s="3">
        <v>692549</v>
      </c>
      <c r="D33" s="3">
        <v>1</v>
      </c>
    </row>
    <row r="34" spans="1:4" ht="26.25" customHeight="1" x14ac:dyDescent="0.25">
      <c r="A34" s="3" t="s">
        <v>104</v>
      </c>
      <c r="B34" s="3" t="s">
        <v>134</v>
      </c>
      <c r="C34">
        <v>656436</v>
      </c>
      <c r="D34" s="3">
        <v>1</v>
      </c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85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autoFilter ref="A4:D42" xr:uid="{75A0629A-1B48-47BD-9495-F015C6254FE8}"/>
  <mergeCells count="4">
    <mergeCell ref="A1:D1"/>
    <mergeCell ref="A2:D2"/>
    <mergeCell ref="A41:D41"/>
    <mergeCell ref="A42:B42"/>
  </mergeCells>
  <conditionalFormatting sqref="A1:A1048576">
    <cfRule type="duplicateValues" dxfId="560" priority="36"/>
    <cfRule type="duplicateValues" dxfId="559" priority="37"/>
    <cfRule type="duplicateValues" dxfId="558" priority="38"/>
    <cfRule type="duplicateValues" dxfId="557" priority="39"/>
    <cfRule type="duplicateValues" dxfId="556" priority="40"/>
  </conditionalFormatting>
  <conditionalFormatting sqref="B34">
    <cfRule type="duplicateValues" dxfId="555" priority="1"/>
    <cfRule type="duplicateValues" dxfId="554" priority="2"/>
    <cfRule type="duplicateValues" dxfId="553" priority="3"/>
    <cfRule type="duplicateValues" dxfId="552" priority="4"/>
    <cfRule type="duplicateValues" dxfId="551" priority="5"/>
  </conditionalFormatting>
  <conditionalFormatting sqref="B5:C5">
    <cfRule type="duplicateValues" dxfId="550" priority="11"/>
    <cfRule type="duplicateValues" dxfId="549" priority="12"/>
    <cfRule type="duplicateValues" dxfId="548" priority="13"/>
    <cfRule type="duplicateValues" dxfId="547" priority="14"/>
    <cfRule type="duplicateValues" dxfId="546" priority="15"/>
  </conditionalFormatting>
  <conditionalFormatting sqref="B6:C33 C34">
    <cfRule type="duplicateValues" dxfId="545" priority="6"/>
    <cfRule type="duplicateValues" dxfId="544" priority="7"/>
    <cfRule type="duplicateValues" dxfId="543" priority="8"/>
    <cfRule type="duplicateValues" dxfId="542" priority="9"/>
    <cfRule type="duplicateValues" dxfId="541" priority="10"/>
  </conditionalFormatting>
  <conditionalFormatting sqref="B35:C40">
    <cfRule type="duplicateValues" dxfId="540" priority="31"/>
    <cfRule type="duplicateValues" dxfId="539" priority="32"/>
    <cfRule type="duplicateValues" dxfId="538" priority="33"/>
    <cfRule type="duplicateValues" dxfId="537" priority="34"/>
    <cfRule type="duplicateValues" dxfId="536" priority="35"/>
  </conditionalFormatting>
  <printOptions horizontalCentered="1"/>
  <pageMargins left="0.70866141732283472" right="0.70866141732283472" top="0.74803149606299213" bottom="0.74803149606299213" header="0.31496062992125984" footer="0.31496062992125984"/>
  <pageSetup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C2A2-ECCD-41C4-8F3F-28478E022C1F}">
  <sheetPr codeName="Sheet4">
    <pageSetUpPr fitToPage="1"/>
  </sheetPr>
  <dimension ref="A1:D43"/>
  <sheetViews>
    <sheetView topLeftCell="A28" zoomScaleNormal="100" workbookViewId="0">
      <selection activeCell="E52" sqref="E52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46026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136</v>
      </c>
      <c r="B5" s="3" t="s">
        <v>146</v>
      </c>
      <c r="C5" s="3">
        <v>691245</v>
      </c>
      <c r="D5" s="3">
        <v>1</v>
      </c>
    </row>
    <row r="6" spans="1:4" ht="26.25" customHeight="1" x14ac:dyDescent="0.25">
      <c r="A6" s="3">
        <v>54049001</v>
      </c>
      <c r="B6" s="3" t="s">
        <v>147</v>
      </c>
      <c r="C6" s="3">
        <v>692238</v>
      </c>
      <c r="D6" s="3">
        <v>1</v>
      </c>
    </row>
    <row r="7" spans="1:4" ht="26.25" customHeight="1" x14ac:dyDescent="0.25">
      <c r="A7" s="3" t="s">
        <v>137</v>
      </c>
      <c r="B7" s="3" t="s">
        <v>148</v>
      </c>
      <c r="C7" s="3">
        <v>694340</v>
      </c>
      <c r="D7" s="3">
        <v>1</v>
      </c>
    </row>
    <row r="8" spans="1:4" ht="26.25" customHeight="1" x14ac:dyDescent="0.25">
      <c r="A8" s="3" t="s">
        <v>138</v>
      </c>
      <c r="B8" s="3" t="s">
        <v>149</v>
      </c>
      <c r="C8" s="3">
        <v>691555</v>
      </c>
      <c r="D8" s="3">
        <v>1</v>
      </c>
    </row>
    <row r="9" spans="1:4" ht="26.25" customHeight="1" x14ac:dyDescent="0.25">
      <c r="A9" s="3">
        <v>82250</v>
      </c>
      <c r="B9" s="3" t="s">
        <v>150</v>
      </c>
      <c r="C9" s="3">
        <v>695436</v>
      </c>
      <c r="D9" s="3">
        <v>1</v>
      </c>
    </row>
    <row r="10" spans="1:4" ht="26.25" customHeight="1" x14ac:dyDescent="0.25">
      <c r="A10" s="3" t="s">
        <v>139</v>
      </c>
      <c r="B10" s="3" t="s">
        <v>151</v>
      </c>
      <c r="C10" s="3">
        <v>692395</v>
      </c>
      <c r="D10" s="3">
        <v>1</v>
      </c>
    </row>
    <row r="11" spans="1:4" ht="26.25" customHeight="1" x14ac:dyDescent="0.25">
      <c r="A11" s="3" t="s">
        <v>140</v>
      </c>
      <c r="B11" s="3" t="s">
        <v>152</v>
      </c>
      <c r="C11" s="3"/>
      <c r="D11" s="3">
        <v>1</v>
      </c>
    </row>
    <row r="12" spans="1:4" ht="26.25" customHeight="1" x14ac:dyDescent="0.25">
      <c r="A12" s="3">
        <v>54041001</v>
      </c>
      <c r="B12" s="3" t="s">
        <v>153</v>
      </c>
      <c r="C12" s="3">
        <v>692574</v>
      </c>
      <c r="D12" s="3">
        <v>1</v>
      </c>
    </row>
    <row r="13" spans="1:4" ht="26.25" customHeight="1" x14ac:dyDescent="0.25">
      <c r="A13" s="3">
        <v>11516077</v>
      </c>
      <c r="B13" s="3" t="s">
        <v>154</v>
      </c>
      <c r="C13" s="3">
        <v>694180</v>
      </c>
      <c r="D13" s="3">
        <v>1</v>
      </c>
    </row>
    <row r="14" spans="1:4" ht="26.25" customHeight="1" x14ac:dyDescent="0.25">
      <c r="A14" s="3" t="s">
        <v>9</v>
      </c>
      <c r="B14" s="3" t="s">
        <v>155</v>
      </c>
      <c r="C14" s="3">
        <v>672909</v>
      </c>
      <c r="D14" s="3">
        <v>1</v>
      </c>
    </row>
    <row r="15" spans="1:4" ht="26.25" customHeight="1" x14ac:dyDescent="0.25">
      <c r="A15" s="3">
        <v>11546378</v>
      </c>
      <c r="B15" s="3" t="s">
        <v>156</v>
      </c>
      <c r="C15" s="3">
        <v>690758</v>
      </c>
      <c r="D15" s="3">
        <v>2</v>
      </c>
    </row>
    <row r="16" spans="1:4" ht="26.25" customHeight="1" x14ac:dyDescent="0.25">
      <c r="A16" s="3">
        <v>11602292</v>
      </c>
      <c r="B16" s="3" t="s">
        <v>157</v>
      </c>
      <c r="C16" s="3">
        <v>694231</v>
      </c>
      <c r="D16" s="3">
        <v>1</v>
      </c>
    </row>
    <row r="17" spans="1:4" ht="26.25" customHeight="1" x14ac:dyDescent="0.25">
      <c r="A17" s="3" t="s">
        <v>141</v>
      </c>
      <c r="B17" s="3" t="s">
        <v>158</v>
      </c>
      <c r="C17" s="3">
        <v>689931</v>
      </c>
      <c r="D17" s="3">
        <v>1</v>
      </c>
    </row>
    <row r="18" spans="1:4" ht="26.25" customHeight="1" x14ac:dyDescent="0.25">
      <c r="A18" s="3">
        <v>11604852</v>
      </c>
      <c r="B18" s="3" t="s">
        <v>159</v>
      </c>
      <c r="C18" s="3"/>
      <c r="D18" s="3">
        <v>1</v>
      </c>
    </row>
    <row r="19" spans="1:4" ht="26.25" customHeight="1" x14ac:dyDescent="0.25">
      <c r="A19" s="3">
        <v>40110160</v>
      </c>
      <c r="B19" s="3" t="s">
        <v>160</v>
      </c>
      <c r="C19" s="3">
        <v>692086</v>
      </c>
      <c r="D19" s="3">
        <v>1</v>
      </c>
    </row>
    <row r="20" spans="1:4" ht="26.25" customHeight="1" x14ac:dyDescent="0.25">
      <c r="A20" s="3" t="s">
        <v>142</v>
      </c>
      <c r="B20" s="3" t="s">
        <v>161</v>
      </c>
      <c r="C20" s="3">
        <v>692969</v>
      </c>
      <c r="D20" s="3">
        <v>1</v>
      </c>
    </row>
    <row r="21" spans="1:4" ht="26.25" customHeight="1" x14ac:dyDescent="0.25">
      <c r="A21" s="3">
        <v>11602659</v>
      </c>
      <c r="B21" s="3" t="s">
        <v>162</v>
      </c>
      <c r="C21" s="3">
        <v>692040</v>
      </c>
      <c r="D21" s="3">
        <v>1</v>
      </c>
    </row>
    <row r="22" spans="1:4" ht="26.25" customHeight="1" x14ac:dyDescent="0.25">
      <c r="A22" s="3">
        <v>11546369</v>
      </c>
      <c r="B22" s="3" t="s">
        <v>163</v>
      </c>
      <c r="C22" s="3">
        <v>690981</v>
      </c>
      <c r="D22" s="3">
        <v>1</v>
      </c>
    </row>
    <row r="23" spans="1:4" ht="26.25" customHeight="1" x14ac:dyDescent="0.25">
      <c r="A23" s="3">
        <v>11547059</v>
      </c>
      <c r="B23" s="3" t="s">
        <v>164</v>
      </c>
      <c r="C23" s="3">
        <v>692033</v>
      </c>
      <c r="D23" s="3">
        <v>1</v>
      </c>
    </row>
    <row r="24" spans="1:4" ht="26.25" customHeight="1" x14ac:dyDescent="0.25">
      <c r="A24" s="3">
        <v>15685170</v>
      </c>
      <c r="B24" s="3" t="s">
        <v>165</v>
      </c>
      <c r="C24" s="3">
        <v>692832</v>
      </c>
      <c r="D24" s="3">
        <v>1</v>
      </c>
    </row>
    <row r="25" spans="1:4" ht="26.25" customHeight="1" x14ac:dyDescent="0.25">
      <c r="A25" s="3" t="s">
        <v>13</v>
      </c>
      <c r="B25" s="3" t="s">
        <v>166</v>
      </c>
      <c r="C25" s="3">
        <v>690388</v>
      </c>
      <c r="D25" s="3">
        <v>1</v>
      </c>
    </row>
    <row r="26" spans="1:4" ht="26.25" customHeight="1" x14ac:dyDescent="0.25">
      <c r="A26" s="3" t="s">
        <v>143</v>
      </c>
      <c r="B26" s="3" t="s">
        <v>167</v>
      </c>
      <c r="C26" s="3">
        <v>670126</v>
      </c>
      <c r="D26" s="3">
        <v>2</v>
      </c>
    </row>
    <row r="27" spans="1:4" ht="26.25" customHeight="1" x14ac:dyDescent="0.25">
      <c r="A27" s="3" t="s">
        <v>144</v>
      </c>
      <c r="B27" s="3" t="s">
        <v>173</v>
      </c>
      <c r="C27" s="3"/>
      <c r="D27" s="3">
        <v>1</v>
      </c>
    </row>
    <row r="28" spans="1:4" ht="26.25" customHeight="1" x14ac:dyDescent="0.25">
      <c r="A28" s="3" t="s">
        <v>145</v>
      </c>
      <c r="B28" s="3" t="s">
        <v>168</v>
      </c>
      <c r="C28" s="3">
        <v>689124</v>
      </c>
      <c r="D28" s="3">
        <v>2</v>
      </c>
    </row>
    <row r="29" spans="1:4" ht="26.25" customHeight="1" x14ac:dyDescent="0.25">
      <c r="A29" s="3" t="s">
        <v>98</v>
      </c>
      <c r="B29" s="3" t="s">
        <v>169</v>
      </c>
      <c r="C29" s="3">
        <v>692017</v>
      </c>
      <c r="D29" s="3">
        <v>2</v>
      </c>
    </row>
    <row r="30" spans="1:4" ht="26.25" customHeight="1" x14ac:dyDescent="0.25">
      <c r="A30" s="3">
        <v>11546462</v>
      </c>
      <c r="B30" s="3" t="s">
        <v>170</v>
      </c>
      <c r="C30" s="3">
        <v>695040</v>
      </c>
      <c r="D30" s="3">
        <v>3</v>
      </c>
    </row>
    <row r="31" spans="1:4" ht="26.25" customHeight="1" x14ac:dyDescent="0.25">
      <c r="A31" s="3" t="s">
        <v>48</v>
      </c>
      <c r="B31" s="3" t="s">
        <v>171</v>
      </c>
      <c r="C31" s="3">
        <v>690348</v>
      </c>
      <c r="D31" s="3">
        <v>3</v>
      </c>
    </row>
    <row r="32" spans="1:4" ht="26.25" customHeight="1" x14ac:dyDescent="0.25">
      <c r="A32" s="3" t="s">
        <v>102</v>
      </c>
      <c r="B32" s="3" t="s">
        <v>172</v>
      </c>
      <c r="C32" s="3">
        <v>692131</v>
      </c>
      <c r="D32" s="3">
        <v>1</v>
      </c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135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autoFilter ref="A4:D42" xr:uid="{75A0629A-1B48-47BD-9495-F015C6254FE8}"/>
  <mergeCells count="4">
    <mergeCell ref="A1:D1"/>
    <mergeCell ref="A2:D2"/>
    <mergeCell ref="A41:D41"/>
    <mergeCell ref="A42:B42"/>
  </mergeCells>
  <conditionalFormatting sqref="A1:A1048576">
    <cfRule type="duplicateValues" dxfId="535" priority="40"/>
    <cfRule type="duplicateValues" dxfId="534" priority="37"/>
    <cfRule type="duplicateValues" dxfId="533" priority="36"/>
    <cfRule type="duplicateValues" dxfId="532" priority="39"/>
    <cfRule type="duplicateValues" dxfId="531" priority="38"/>
  </conditionalFormatting>
  <conditionalFormatting sqref="B34">
    <cfRule type="duplicateValues" dxfId="530" priority="16"/>
    <cfRule type="duplicateValues" dxfId="529" priority="17"/>
    <cfRule type="duplicateValues" dxfId="528" priority="18"/>
    <cfRule type="duplicateValues" dxfId="527" priority="19"/>
    <cfRule type="duplicateValues" dxfId="526" priority="20"/>
  </conditionalFormatting>
  <conditionalFormatting sqref="B6:C6">
    <cfRule type="duplicateValues" dxfId="525" priority="6"/>
    <cfRule type="duplicateValues" dxfId="524" priority="7"/>
    <cfRule type="duplicateValues" dxfId="523" priority="8"/>
    <cfRule type="duplicateValues" dxfId="522" priority="9"/>
    <cfRule type="duplicateValues" dxfId="521" priority="10"/>
  </conditionalFormatting>
  <conditionalFormatting sqref="B7:C32">
    <cfRule type="duplicateValues" dxfId="520" priority="2"/>
    <cfRule type="duplicateValues" dxfId="519" priority="3"/>
    <cfRule type="duplicateValues" dxfId="518" priority="4"/>
    <cfRule type="duplicateValues" dxfId="517" priority="5"/>
    <cfRule type="duplicateValues" dxfId="516" priority="1"/>
  </conditionalFormatting>
  <conditionalFormatting sqref="B33:C33 C34">
    <cfRule type="duplicateValues" dxfId="515" priority="21"/>
    <cfRule type="duplicateValues" dxfId="514" priority="22"/>
    <cfRule type="duplicateValues" dxfId="513" priority="23"/>
    <cfRule type="duplicateValues" dxfId="512" priority="24"/>
    <cfRule type="duplicateValues" dxfId="511" priority="25"/>
  </conditionalFormatting>
  <conditionalFormatting sqref="B35:C40">
    <cfRule type="duplicateValues" dxfId="510" priority="31"/>
    <cfRule type="duplicateValues" dxfId="509" priority="32"/>
    <cfRule type="duplicateValues" dxfId="508" priority="33"/>
    <cfRule type="duplicateValues" dxfId="507" priority="34"/>
    <cfRule type="duplicateValues" dxfId="506" priority="35"/>
  </conditionalFormatting>
  <conditionalFormatting sqref="B5:D5">
    <cfRule type="duplicateValues" dxfId="505" priority="11"/>
    <cfRule type="duplicateValues" dxfId="504" priority="15"/>
    <cfRule type="duplicateValues" dxfId="503" priority="14"/>
    <cfRule type="duplicateValues" dxfId="502" priority="13"/>
    <cfRule type="duplicateValues" dxfId="501" priority="12"/>
  </conditionalFormatting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B332-89A5-43E7-874E-263A2323D852}">
  <sheetPr codeName="Sheet5">
    <pageSetUpPr fitToPage="1"/>
  </sheetPr>
  <dimension ref="A1:D43"/>
  <sheetViews>
    <sheetView topLeftCell="A20" zoomScaleNormal="100" workbookViewId="0">
      <selection activeCell="B26" sqref="B2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46027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98</v>
      </c>
      <c r="B5" s="3" t="s">
        <v>182</v>
      </c>
      <c r="C5" s="3">
        <v>692015</v>
      </c>
      <c r="D5" s="3">
        <v>4</v>
      </c>
    </row>
    <row r="6" spans="1:4" ht="26.25" customHeight="1" x14ac:dyDescent="0.25">
      <c r="A6" s="3" t="s">
        <v>90</v>
      </c>
      <c r="B6" s="3" t="s">
        <v>183</v>
      </c>
      <c r="C6" s="3">
        <v>689607</v>
      </c>
      <c r="D6" s="3">
        <v>2</v>
      </c>
    </row>
    <row r="7" spans="1:4" ht="26.25" customHeight="1" x14ac:dyDescent="0.25">
      <c r="A7" s="3" t="s">
        <v>175</v>
      </c>
      <c r="B7" s="3" t="s">
        <v>184</v>
      </c>
      <c r="C7" s="3">
        <v>692742</v>
      </c>
      <c r="D7" s="3">
        <v>1</v>
      </c>
    </row>
    <row r="8" spans="1:4" ht="26.25" customHeight="1" x14ac:dyDescent="0.25">
      <c r="A8" s="3" t="s">
        <v>103</v>
      </c>
      <c r="B8" s="3" t="s">
        <v>185</v>
      </c>
      <c r="C8" s="3">
        <v>692549</v>
      </c>
      <c r="D8" s="3">
        <v>1</v>
      </c>
    </row>
    <row r="9" spans="1:4" ht="26.25" customHeight="1" x14ac:dyDescent="0.25">
      <c r="A9" s="3">
        <v>40036961</v>
      </c>
      <c r="B9" s="3" t="s">
        <v>186</v>
      </c>
      <c r="C9" s="3">
        <v>676441</v>
      </c>
      <c r="D9" s="3">
        <v>1</v>
      </c>
    </row>
    <row r="10" spans="1:4" ht="26.25" customHeight="1" x14ac:dyDescent="0.25">
      <c r="A10" s="3">
        <v>40109770</v>
      </c>
      <c r="B10" s="3" t="s">
        <v>187</v>
      </c>
      <c r="C10" s="3">
        <v>680701</v>
      </c>
      <c r="D10" s="3">
        <v>1</v>
      </c>
    </row>
    <row r="11" spans="1:4" ht="26.25" customHeight="1" x14ac:dyDescent="0.25">
      <c r="A11" s="3" t="s">
        <v>176</v>
      </c>
      <c r="B11" s="3" t="s">
        <v>188</v>
      </c>
      <c r="C11" s="3">
        <v>674833</v>
      </c>
      <c r="D11" s="3">
        <v>1</v>
      </c>
    </row>
    <row r="12" spans="1:4" ht="26.25" customHeight="1" x14ac:dyDescent="0.25">
      <c r="A12" s="3" t="s">
        <v>95</v>
      </c>
      <c r="B12" s="3" t="s">
        <v>189</v>
      </c>
      <c r="C12" s="3">
        <v>677068</v>
      </c>
      <c r="D12" s="3">
        <v>1</v>
      </c>
    </row>
    <row r="13" spans="1:4" ht="26.25" customHeight="1" x14ac:dyDescent="0.25">
      <c r="A13" s="3" t="s">
        <v>177</v>
      </c>
      <c r="B13" s="3" t="s">
        <v>205</v>
      </c>
      <c r="C13" s="3">
        <v>663942</v>
      </c>
      <c r="D13" s="3">
        <v>1</v>
      </c>
    </row>
    <row r="14" spans="1:4" ht="26.25" customHeight="1" x14ac:dyDescent="0.25">
      <c r="A14" s="3">
        <v>11604183</v>
      </c>
      <c r="B14" s="3" t="s">
        <v>190</v>
      </c>
      <c r="C14" s="3">
        <v>659362</v>
      </c>
      <c r="D14" s="3">
        <v>1</v>
      </c>
    </row>
    <row r="15" spans="1:4" ht="26.25" customHeight="1" x14ac:dyDescent="0.25">
      <c r="A15" s="3">
        <v>11611883</v>
      </c>
      <c r="B15" s="3" t="s">
        <v>191</v>
      </c>
      <c r="C15" s="3">
        <v>666528</v>
      </c>
      <c r="D15" s="3">
        <v>1</v>
      </c>
    </row>
    <row r="16" spans="1:4" ht="26.25" customHeight="1" x14ac:dyDescent="0.25">
      <c r="A16" s="3">
        <v>11588709</v>
      </c>
      <c r="B16" s="3" t="s">
        <v>192</v>
      </c>
      <c r="C16" s="3">
        <v>671485</v>
      </c>
      <c r="D16" s="3">
        <v>2</v>
      </c>
    </row>
    <row r="17" spans="1:4" ht="26.25" customHeight="1" x14ac:dyDescent="0.25">
      <c r="A17" s="3">
        <v>11549204</v>
      </c>
      <c r="B17" s="3" t="s">
        <v>193</v>
      </c>
      <c r="C17" s="3">
        <v>691333</v>
      </c>
      <c r="D17" s="3">
        <v>1</v>
      </c>
    </row>
    <row r="18" spans="1:4" ht="26.25" customHeight="1" x14ac:dyDescent="0.25">
      <c r="A18" s="3" t="s">
        <v>144</v>
      </c>
      <c r="B18" s="3" t="s">
        <v>173</v>
      </c>
      <c r="C18" s="3"/>
      <c r="D18" s="3">
        <v>1</v>
      </c>
    </row>
    <row r="19" spans="1:4" ht="26.25" customHeight="1" x14ac:dyDescent="0.25">
      <c r="A19" s="3">
        <v>11604000</v>
      </c>
      <c r="B19" s="3" t="s">
        <v>194</v>
      </c>
      <c r="C19" s="3">
        <v>695409</v>
      </c>
      <c r="D19" s="3">
        <v>2</v>
      </c>
    </row>
    <row r="20" spans="1:4" ht="26.25" customHeight="1" x14ac:dyDescent="0.25">
      <c r="A20" s="3">
        <v>11610126</v>
      </c>
      <c r="B20" s="3" t="s">
        <v>195</v>
      </c>
      <c r="C20" s="3">
        <v>692254</v>
      </c>
      <c r="D20" s="3">
        <v>1</v>
      </c>
    </row>
    <row r="21" spans="1:4" ht="26.25" customHeight="1" x14ac:dyDescent="0.25">
      <c r="A21" s="3" t="s">
        <v>178</v>
      </c>
      <c r="B21" s="3" t="s">
        <v>196</v>
      </c>
      <c r="C21" s="3">
        <v>694220</v>
      </c>
      <c r="D21" s="3">
        <v>2</v>
      </c>
    </row>
    <row r="22" spans="1:4" ht="26.25" customHeight="1" x14ac:dyDescent="0.25">
      <c r="A22" s="3" t="s">
        <v>179</v>
      </c>
      <c r="B22" s="3" t="s">
        <v>197</v>
      </c>
      <c r="C22" s="3"/>
      <c r="D22" s="3">
        <v>1</v>
      </c>
    </row>
    <row r="23" spans="1:4" ht="26.25" customHeight="1" x14ac:dyDescent="0.25">
      <c r="A23" s="3" t="s">
        <v>52</v>
      </c>
      <c r="B23" s="3" t="s">
        <v>198</v>
      </c>
      <c r="C23" s="3"/>
      <c r="D23" s="3">
        <v>1</v>
      </c>
    </row>
    <row r="24" spans="1:4" ht="26.25" customHeight="1" x14ac:dyDescent="0.25">
      <c r="A24" s="3">
        <v>11548414</v>
      </c>
      <c r="B24" s="3" t="s">
        <v>199</v>
      </c>
      <c r="C24" s="3"/>
      <c r="D24" s="3">
        <v>2</v>
      </c>
    </row>
    <row r="25" spans="1:4" ht="26.25" customHeight="1" x14ac:dyDescent="0.25">
      <c r="A25" s="3" t="s">
        <v>200</v>
      </c>
      <c r="B25" s="3" t="s">
        <v>206</v>
      </c>
      <c r="C25" s="3">
        <v>656412</v>
      </c>
      <c r="D25" s="3">
        <v>1</v>
      </c>
    </row>
    <row r="26" spans="1:4" ht="26.25" customHeight="1" x14ac:dyDescent="0.25">
      <c r="A26" s="3" t="s">
        <v>180</v>
      </c>
      <c r="B26" s="3" t="s">
        <v>201</v>
      </c>
      <c r="C26" s="3">
        <v>694016</v>
      </c>
      <c r="D26" s="3">
        <v>1</v>
      </c>
    </row>
    <row r="27" spans="1:4" ht="26.25" customHeight="1" x14ac:dyDescent="0.25">
      <c r="A27" s="3" t="s">
        <v>92</v>
      </c>
      <c r="B27" s="3" t="s">
        <v>202</v>
      </c>
      <c r="C27" s="3">
        <v>691468</v>
      </c>
      <c r="D27" s="3">
        <v>2</v>
      </c>
    </row>
    <row r="28" spans="1:4" ht="26.25" customHeight="1" x14ac:dyDescent="0.25">
      <c r="A28" s="3" t="s">
        <v>181</v>
      </c>
      <c r="B28" s="3" t="s">
        <v>203</v>
      </c>
      <c r="C28" s="3">
        <v>691963</v>
      </c>
      <c r="D28" s="3">
        <v>2</v>
      </c>
    </row>
    <row r="29" spans="1:4" ht="26.25" customHeight="1" x14ac:dyDescent="0.25">
      <c r="A29" s="3">
        <v>55364498</v>
      </c>
      <c r="B29" s="3" t="s">
        <v>204</v>
      </c>
      <c r="C29" s="3">
        <v>691829</v>
      </c>
      <c r="D29" s="3">
        <v>2</v>
      </c>
    </row>
    <row r="30" spans="1:4" ht="26.25" hidden="1" customHeight="1" x14ac:dyDescent="0.25">
      <c r="A30" s="3"/>
      <c r="B30" s="3"/>
      <c r="C30" s="3"/>
      <c r="D30" s="3"/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174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autoFilter ref="A4:D42" xr:uid="{75A0629A-1B48-47BD-9495-F015C6254FE8}"/>
  <mergeCells count="4">
    <mergeCell ref="A1:D1"/>
    <mergeCell ref="A2:D2"/>
    <mergeCell ref="A41:D41"/>
    <mergeCell ref="A42:B42"/>
  </mergeCells>
  <conditionalFormatting sqref="A1:A1048576">
    <cfRule type="duplicateValues" dxfId="500" priority="45"/>
    <cfRule type="duplicateValues" dxfId="499" priority="43"/>
    <cfRule type="duplicateValues" dxfId="498" priority="42"/>
    <cfRule type="duplicateValues" dxfId="497" priority="41"/>
    <cfRule type="duplicateValues" dxfId="496" priority="44"/>
  </conditionalFormatting>
  <conditionalFormatting sqref="B34">
    <cfRule type="duplicateValues" dxfId="495" priority="26"/>
    <cfRule type="duplicateValues" dxfId="494" priority="27"/>
    <cfRule type="duplicateValues" dxfId="493" priority="28"/>
    <cfRule type="duplicateValues" dxfId="492" priority="29"/>
    <cfRule type="duplicateValues" dxfId="491" priority="30"/>
  </conditionalFormatting>
  <conditionalFormatting sqref="B5:C5">
    <cfRule type="duplicateValues" dxfId="490" priority="6"/>
    <cfRule type="duplicateValues" dxfId="489" priority="7"/>
    <cfRule type="duplicateValues" dxfId="488" priority="8"/>
    <cfRule type="duplicateValues" dxfId="487" priority="9"/>
    <cfRule type="duplicateValues" dxfId="486" priority="10"/>
  </conditionalFormatting>
  <conditionalFormatting sqref="B6:C29">
    <cfRule type="duplicateValues" dxfId="485" priority="2"/>
    <cfRule type="duplicateValues" dxfId="484" priority="3"/>
    <cfRule type="duplicateValues" dxfId="483" priority="4"/>
    <cfRule type="duplicateValues" dxfId="482" priority="5"/>
    <cfRule type="duplicateValues" dxfId="481" priority="1"/>
  </conditionalFormatting>
  <conditionalFormatting sqref="B30:C32">
    <cfRule type="duplicateValues" dxfId="480" priority="11"/>
    <cfRule type="duplicateValues" dxfId="479" priority="12"/>
    <cfRule type="duplicateValues" dxfId="478" priority="13"/>
    <cfRule type="duplicateValues" dxfId="477" priority="14"/>
    <cfRule type="duplicateValues" dxfId="476" priority="15"/>
  </conditionalFormatting>
  <conditionalFormatting sqref="B33:C33 C34">
    <cfRule type="duplicateValues" dxfId="475" priority="31"/>
    <cfRule type="duplicateValues" dxfId="474" priority="32"/>
    <cfRule type="duplicateValues" dxfId="473" priority="33"/>
    <cfRule type="duplicateValues" dxfId="472" priority="34"/>
    <cfRule type="duplicateValues" dxfId="471" priority="35"/>
  </conditionalFormatting>
  <conditionalFormatting sqref="B35:C40">
    <cfRule type="duplicateValues" dxfId="470" priority="36"/>
    <cfRule type="duplicateValues" dxfId="469" priority="37"/>
    <cfRule type="duplicateValues" dxfId="468" priority="38"/>
    <cfRule type="duplicateValues" dxfId="467" priority="39"/>
    <cfRule type="duplicateValues" dxfId="466" priority="40"/>
  </conditionalFormatting>
  <conditionalFormatting sqref="D5">
    <cfRule type="duplicateValues" dxfId="465" priority="21"/>
    <cfRule type="duplicateValues" dxfId="464" priority="25"/>
    <cfRule type="duplicateValues" dxfId="463" priority="24"/>
    <cfRule type="duplicateValues" dxfId="462" priority="23"/>
    <cfRule type="duplicateValues" dxfId="461" priority="22"/>
  </conditionalFormatting>
  <printOptions horizontalCentered="1"/>
  <pageMargins left="0.70866141732283472" right="0.70866141732283472" top="0.74803149606299213" bottom="0.74803149606299213" header="0.31496062992125984" footer="0.31496062992125984"/>
  <pageSetup scale="8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0552-2AA9-4F01-87D9-A4D83B6CCA30}">
  <sheetPr codeName="Sheet6">
    <pageSetUpPr fitToPage="1"/>
  </sheetPr>
  <dimension ref="A1:D43"/>
  <sheetViews>
    <sheetView topLeftCell="A30" zoomScaleNormal="100" workbookViewId="0">
      <selection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46028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>
        <v>82253</v>
      </c>
      <c r="B5" s="3" t="s">
        <v>218</v>
      </c>
      <c r="C5" s="3">
        <v>695732</v>
      </c>
      <c r="D5" s="3">
        <v>1</v>
      </c>
    </row>
    <row r="6" spans="1:4" ht="26.25" customHeight="1" x14ac:dyDescent="0.25">
      <c r="A6" s="3" t="s">
        <v>17</v>
      </c>
      <c r="B6" s="3" t="s">
        <v>219</v>
      </c>
      <c r="C6" s="3">
        <v>695734</v>
      </c>
      <c r="D6" s="3">
        <v>1</v>
      </c>
    </row>
    <row r="7" spans="1:4" ht="26.25" customHeight="1" x14ac:dyDescent="0.25">
      <c r="A7" s="3" t="s">
        <v>141</v>
      </c>
      <c r="B7" s="3" t="s">
        <v>220</v>
      </c>
      <c r="C7" s="3">
        <v>689010</v>
      </c>
      <c r="D7" s="3">
        <v>1</v>
      </c>
    </row>
    <row r="8" spans="1:4" ht="26.25" customHeight="1" x14ac:dyDescent="0.25">
      <c r="A8" s="3" t="s">
        <v>16</v>
      </c>
      <c r="B8" s="3" t="s">
        <v>221</v>
      </c>
      <c r="C8" s="3">
        <v>695726</v>
      </c>
      <c r="D8" s="3">
        <v>1</v>
      </c>
    </row>
    <row r="9" spans="1:4" ht="26.25" customHeight="1" x14ac:dyDescent="0.25">
      <c r="A9" s="3" t="s">
        <v>208</v>
      </c>
      <c r="B9" s="3" t="s">
        <v>222</v>
      </c>
      <c r="C9" s="3">
        <v>695866</v>
      </c>
      <c r="D9" s="3">
        <v>1</v>
      </c>
    </row>
    <row r="10" spans="1:4" ht="26.25" customHeight="1" x14ac:dyDescent="0.25">
      <c r="A10" s="3" t="s">
        <v>209</v>
      </c>
      <c r="B10" s="3" t="s">
        <v>223</v>
      </c>
      <c r="C10" s="3">
        <v>696422</v>
      </c>
      <c r="D10" s="3">
        <v>1</v>
      </c>
    </row>
    <row r="11" spans="1:4" ht="26.25" customHeight="1" x14ac:dyDescent="0.25">
      <c r="A11" s="3">
        <v>11547349</v>
      </c>
      <c r="B11" s="3" t="s">
        <v>240</v>
      </c>
      <c r="C11" s="3"/>
      <c r="D11" s="3">
        <v>1</v>
      </c>
    </row>
    <row r="12" spans="1:4" ht="26.25" customHeight="1" x14ac:dyDescent="0.25">
      <c r="A12" s="3">
        <v>11588714</v>
      </c>
      <c r="B12" s="3" t="s">
        <v>224</v>
      </c>
      <c r="C12" s="3">
        <v>695005</v>
      </c>
      <c r="D12" s="3">
        <v>1</v>
      </c>
    </row>
    <row r="13" spans="1:4" ht="26.25" customHeight="1" x14ac:dyDescent="0.25">
      <c r="A13" s="3" t="s">
        <v>210</v>
      </c>
      <c r="B13" s="3" t="s">
        <v>225</v>
      </c>
      <c r="C13" s="3">
        <v>688636</v>
      </c>
      <c r="D13" s="3">
        <v>1</v>
      </c>
    </row>
    <row r="14" spans="1:4" ht="26.25" customHeight="1" x14ac:dyDescent="0.25">
      <c r="A14" s="3">
        <v>11546367</v>
      </c>
      <c r="B14" s="3"/>
      <c r="C14" s="3"/>
      <c r="D14" s="3">
        <v>1</v>
      </c>
    </row>
    <row r="15" spans="1:4" ht="26.25" customHeight="1" x14ac:dyDescent="0.25">
      <c r="A15" s="3">
        <v>11546463</v>
      </c>
      <c r="B15" s="3" t="s">
        <v>226</v>
      </c>
      <c r="C15" s="3">
        <v>694445</v>
      </c>
      <c r="D15" s="3">
        <v>1</v>
      </c>
    </row>
    <row r="16" spans="1:4" ht="26.25" customHeight="1" x14ac:dyDescent="0.25">
      <c r="A16" s="3" t="s">
        <v>211</v>
      </c>
      <c r="B16" s="3" t="s">
        <v>227</v>
      </c>
      <c r="C16" s="3">
        <v>695522</v>
      </c>
      <c r="D16" s="3">
        <v>1</v>
      </c>
    </row>
    <row r="17" spans="1:4" ht="26.25" customHeight="1" x14ac:dyDescent="0.25">
      <c r="A17" s="3" t="s">
        <v>242</v>
      </c>
      <c r="B17" s="3" t="s">
        <v>241</v>
      </c>
      <c r="C17" s="3"/>
      <c r="D17" s="3">
        <v>1</v>
      </c>
    </row>
    <row r="18" spans="1:4" ht="26.25" customHeight="1" x14ac:dyDescent="0.25">
      <c r="A18" s="3" t="s">
        <v>212</v>
      </c>
      <c r="B18" s="3" t="s">
        <v>228</v>
      </c>
      <c r="C18" s="3">
        <v>695580</v>
      </c>
      <c r="D18" s="3">
        <v>1</v>
      </c>
    </row>
    <row r="19" spans="1:4" ht="26.25" customHeight="1" x14ac:dyDescent="0.25">
      <c r="A19" s="3">
        <v>11611887</v>
      </c>
      <c r="B19" s="3" t="s">
        <v>229</v>
      </c>
      <c r="C19" s="3">
        <v>695549</v>
      </c>
      <c r="D19" s="3">
        <v>1</v>
      </c>
    </row>
    <row r="20" spans="1:4" ht="26.25" customHeight="1" x14ac:dyDescent="0.25">
      <c r="A20" s="3">
        <v>11548414</v>
      </c>
      <c r="B20" s="3" t="s">
        <v>230</v>
      </c>
      <c r="C20" s="3">
        <v>695750</v>
      </c>
      <c r="D20" s="3">
        <v>1</v>
      </c>
    </row>
    <row r="21" spans="1:4" ht="26.25" customHeight="1" x14ac:dyDescent="0.25">
      <c r="A21" s="3" t="s">
        <v>213</v>
      </c>
      <c r="B21" s="3" t="s">
        <v>231</v>
      </c>
      <c r="C21" s="3">
        <v>694799</v>
      </c>
      <c r="D21" s="3">
        <v>2</v>
      </c>
    </row>
    <row r="22" spans="1:4" ht="26.25" customHeight="1" x14ac:dyDescent="0.25">
      <c r="A22" s="3" t="s">
        <v>100</v>
      </c>
      <c r="B22" s="3" t="s">
        <v>232</v>
      </c>
      <c r="C22" s="3">
        <v>696522</v>
      </c>
      <c r="D22" s="3">
        <v>1</v>
      </c>
    </row>
    <row r="23" spans="1:4" ht="26.25" customHeight="1" x14ac:dyDescent="0.25">
      <c r="A23" s="3" t="s">
        <v>214</v>
      </c>
      <c r="B23" s="3" t="s">
        <v>243</v>
      </c>
      <c r="C23" s="3"/>
      <c r="D23" s="3">
        <v>1</v>
      </c>
    </row>
    <row r="24" spans="1:4" ht="26.25" customHeight="1" x14ac:dyDescent="0.25">
      <c r="A24" s="3" t="s">
        <v>215</v>
      </c>
      <c r="B24" s="3" t="s">
        <v>244</v>
      </c>
      <c r="C24" s="3"/>
      <c r="D24" s="3">
        <v>1</v>
      </c>
    </row>
    <row r="25" spans="1:4" ht="26.25" customHeight="1" x14ac:dyDescent="0.25">
      <c r="A25" s="3">
        <v>11546465</v>
      </c>
      <c r="B25" s="3" t="s">
        <v>245</v>
      </c>
      <c r="C25" s="3"/>
      <c r="D25" s="3">
        <v>1</v>
      </c>
    </row>
    <row r="26" spans="1:4" ht="26.25" customHeight="1" x14ac:dyDescent="0.25">
      <c r="A26" s="3">
        <v>11610091</v>
      </c>
      <c r="B26" s="3" t="s">
        <v>233</v>
      </c>
      <c r="C26" s="3">
        <v>694787</v>
      </c>
      <c r="D26" s="3">
        <v>1</v>
      </c>
    </row>
    <row r="27" spans="1:4" ht="26.25" customHeight="1" x14ac:dyDescent="0.25">
      <c r="A27" s="3" t="s">
        <v>47</v>
      </c>
      <c r="B27" s="3" t="s">
        <v>234</v>
      </c>
      <c r="C27" s="3">
        <v>695247</v>
      </c>
      <c r="D27" s="3">
        <v>1</v>
      </c>
    </row>
    <row r="28" spans="1:4" ht="26.25" customHeight="1" x14ac:dyDescent="0.25">
      <c r="A28" s="3">
        <v>11561662</v>
      </c>
      <c r="B28" s="3" t="s">
        <v>246</v>
      </c>
      <c r="C28" s="3"/>
      <c r="D28" s="3">
        <v>1</v>
      </c>
    </row>
    <row r="29" spans="1:4" ht="26.25" customHeight="1" x14ac:dyDescent="0.25">
      <c r="A29" s="3">
        <v>11611548</v>
      </c>
      <c r="B29" s="3" t="s">
        <v>235</v>
      </c>
      <c r="C29" s="3">
        <v>695316</v>
      </c>
      <c r="D29" s="3">
        <v>1</v>
      </c>
    </row>
    <row r="30" spans="1:4" ht="26.25" customHeight="1" x14ac:dyDescent="0.25">
      <c r="A30" s="3">
        <v>94012038</v>
      </c>
      <c r="B30" s="3" t="s">
        <v>247</v>
      </c>
      <c r="C30" s="3"/>
      <c r="D30" s="3">
        <v>1</v>
      </c>
    </row>
    <row r="31" spans="1:4" ht="26.25" customHeight="1" x14ac:dyDescent="0.25">
      <c r="A31" s="3" t="s">
        <v>216</v>
      </c>
      <c r="B31" s="3" t="s">
        <v>248</v>
      </c>
      <c r="C31" s="3"/>
      <c r="D31" s="3">
        <v>1</v>
      </c>
    </row>
    <row r="32" spans="1:4" ht="26.25" customHeight="1" x14ac:dyDescent="0.25">
      <c r="A32" s="3" t="s">
        <v>90</v>
      </c>
      <c r="B32" s="3" t="s">
        <v>236</v>
      </c>
      <c r="C32" s="3">
        <v>696247</v>
      </c>
      <c r="D32" s="3">
        <v>1</v>
      </c>
    </row>
    <row r="33" spans="1:4" ht="26.25" customHeight="1" x14ac:dyDescent="0.25">
      <c r="A33" s="3" t="s">
        <v>57</v>
      </c>
      <c r="B33" s="3" t="s">
        <v>237</v>
      </c>
      <c r="C33" s="3">
        <v>695422</v>
      </c>
      <c r="D33" s="3">
        <v>1</v>
      </c>
    </row>
    <row r="34" spans="1:4" ht="26.25" customHeight="1" x14ac:dyDescent="0.25">
      <c r="A34" s="3" t="s">
        <v>145</v>
      </c>
      <c r="B34" s="3" t="s">
        <v>168</v>
      </c>
      <c r="C34" s="3">
        <v>689124</v>
      </c>
      <c r="D34" s="3">
        <v>2</v>
      </c>
    </row>
    <row r="35" spans="1:4" ht="26.25" customHeight="1" x14ac:dyDescent="0.25">
      <c r="A35" s="3">
        <v>11516078</v>
      </c>
      <c r="B35" s="3" t="s">
        <v>238</v>
      </c>
      <c r="C35" s="3">
        <v>695033</v>
      </c>
      <c r="D35" s="3">
        <v>2</v>
      </c>
    </row>
    <row r="36" spans="1:4" ht="26.25" customHeight="1" x14ac:dyDescent="0.25">
      <c r="A36" s="3" t="s">
        <v>217</v>
      </c>
      <c r="B36" s="3" t="s">
        <v>239</v>
      </c>
      <c r="C36" s="3">
        <v>695493</v>
      </c>
      <c r="D36" s="3">
        <v>2</v>
      </c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207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autoFilter ref="A4:D42" xr:uid="{75A0629A-1B48-47BD-9495-F015C6254FE8}"/>
  <mergeCells count="4">
    <mergeCell ref="A1:D1"/>
    <mergeCell ref="A2:D2"/>
    <mergeCell ref="A41:D41"/>
    <mergeCell ref="A42:B42"/>
  </mergeCells>
  <conditionalFormatting sqref="A1:A1048576">
    <cfRule type="duplicateValues" dxfId="460" priority="28"/>
  </conditionalFormatting>
  <conditionalFormatting sqref="B1:B4 B37:B1048576">
    <cfRule type="duplicateValues" dxfId="459" priority="3"/>
    <cfRule type="duplicateValues" dxfId="458" priority="4"/>
  </conditionalFormatting>
  <conditionalFormatting sqref="B5:C5">
    <cfRule type="duplicateValues" dxfId="457" priority="2"/>
  </conditionalFormatting>
  <conditionalFormatting sqref="B6:C36">
    <cfRule type="duplicateValues" dxfId="456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130A-F49B-4483-8B6F-EE6FFA95F475}">
  <sheetPr codeName="Sheet7">
    <pageSetUpPr fitToPage="1"/>
  </sheetPr>
  <dimension ref="A1:D32"/>
  <sheetViews>
    <sheetView topLeftCell="A24" zoomScaleNormal="100" workbookViewId="0">
      <selection activeCell="H31" sqref="H31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 t="s">
        <v>249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52</v>
      </c>
      <c r="B5" s="3" t="s">
        <v>263</v>
      </c>
      <c r="C5" s="3"/>
      <c r="D5" s="3">
        <v>1</v>
      </c>
    </row>
    <row r="6" spans="1:4" ht="26.25" customHeight="1" x14ac:dyDescent="0.25">
      <c r="A6" s="3" t="s">
        <v>251</v>
      </c>
      <c r="B6" s="3" t="s">
        <v>264</v>
      </c>
      <c r="C6" s="3"/>
      <c r="D6" s="3">
        <v>1</v>
      </c>
    </row>
    <row r="7" spans="1:4" ht="26.25" customHeight="1" x14ac:dyDescent="0.25">
      <c r="A7" s="3" t="s">
        <v>265</v>
      </c>
      <c r="B7" s="3" t="s">
        <v>266</v>
      </c>
      <c r="C7" s="3"/>
      <c r="D7" s="3">
        <v>1</v>
      </c>
    </row>
    <row r="8" spans="1:4" ht="26.25" customHeight="1" x14ac:dyDescent="0.25">
      <c r="A8" s="3" t="s">
        <v>252</v>
      </c>
      <c r="B8" s="3" t="s">
        <v>267</v>
      </c>
      <c r="C8" s="3"/>
      <c r="D8" s="3">
        <v>1</v>
      </c>
    </row>
    <row r="9" spans="1:4" ht="26.25" customHeight="1" x14ac:dyDescent="0.25">
      <c r="A9" s="3" t="s">
        <v>253</v>
      </c>
      <c r="B9" s="3" t="s">
        <v>268</v>
      </c>
      <c r="C9" s="3"/>
      <c r="D9" s="3">
        <v>1</v>
      </c>
    </row>
    <row r="10" spans="1:4" ht="26.25" customHeight="1" x14ac:dyDescent="0.25">
      <c r="A10" s="3" t="s">
        <v>254</v>
      </c>
      <c r="B10" s="3" t="s">
        <v>269</v>
      </c>
      <c r="C10" s="3"/>
      <c r="D10" s="3">
        <v>1</v>
      </c>
    </row>
    <row r="11" spans="1:4" ht="26.25" customHeight="1" x14ac:dyDescent="0.25">
      <c r="A11" s="3">
        <v>82244</v>
      </c>
      <c r="B11" s="3" t="s">
        <v>270</v>
      </c>
      <c r="C11" s="3"/>
      <c r="D11" s="3">
        <v>1</v>
      </c>
    </row>
    <row r="12" spans="1:4" ht="26.25" customHeight="1" x14ac:dyDescent="0.25">
      <c r="A12" s="3">
        <v>11549204</v>
      </c>
      <c r="B12" s="3" t="s">
        <v>272</v>
      </c>
      <c r="C12" s="3"/>
      <c r="D12" s="3">
        <v>1</v>
      </c>
    </row>
    <row r="13" spans="1:4" ht="26.25" customHeight="1" x14ac:dyDescent="0.25">
      <c r="A13" s="3" t="s">
        <v>1</v>
      </c>
      <c r="B13" s="3" t="s">
        <v>273</v>
      </c>
      <c r="C13" s="3"/>
      <c r="D13" s="3">
        <f>1+1</f>
        <v>2</v>
      </c>
    </row>
    <row r="14" spans="1:4" ht="26.25" customHeight="1" x14ac:dyDescent="0.25">
      <c r="A14" s="3" t="s">
        <v>255</v>
      </c>
      <c r="B14" s="3" t="s">
        <v>274</v>
      </c>
      <c r="C14" s="3"/>
      <c r="D14" s="3">
        <v>1</v>
      </c>
    </row>
    <row r="15" spans="1:4" ht="26.25" customHeight="1" x14ac:dyDescent="0.25">
      <c r="A15" s="3" t="s">
        <v>256</v>
      </c>
      <c r="B15" s="3" t="s">
        <v>275</v>
      </c>
      <c r="C15" s="3"/>
      <c r="D15" s="3">
        <v>1</v>
      </c>
    </row>
    <row r="16" spans="1:4" ht="26.25" customHeight="1" x14ac:dyDescent="0.25">
      <c r="A16" s="3" t="s">
        <v>257</v>
      </c>
      <c r="B16" s="3" t="s">
        <v>276</v>
      </c>
      <c r="C16" s="3"/>
      <c r="D16" s="3">
        <v>1</v>
      </c>
    </row>
    <row r="17" spans="1:4" ht="26.25" customHeight="1" x14ac:dyDescent="0.25">
      <c r="A17" s="3">
        <v>11548147</v>
      </c>
      <c r="B17" s="3" t="s">
        <v>277</v>
      </c>
      <c r="C17" s="3"/>
      <c r="D17" s="3">
        <v>1</v>
      </c>
    </row>
    <row r="18" spans="1:4" ht="26.25" customHeight="1" x14ac:dyDescent="0.25">
      <c r="A18" s="3" t="s">
        <v>258</v>
      </c>
      <c r="B18" s="3" t="s">
        <v>278</v>
      </c>
      <c r="C18" s="3"/>
      <c r="D18" s="3">
        <v>1</v>
      </c>
    </row>
    <row r="19" spans="1:4" ht="26.25" customHeight="1" x14ac:dyDescent="0.25">
      <c r="A19" s="3" t="s">
        <v>259</v>
      </c>
      <c r="B19" s="3" t="s">
        <v>279</v>
      </c>
      <c r="C19" s="3"/>
      <c r="D19" s="3">
        <v>1</v>
      </c>
    </row>
    <row r="20" spans="1:4" ht="26.25" customHeight="1" x14ac:dyDescent="0.25">
      <c r="A20" s="3">
        <v>82244</v>
      </c>
      <c r="B20" s="3" t="s">
        <v>271</v>
      </c>
      <c r="C20" s="3"/>
      <c r="D20" s="3">
        <v>1</v>
      </c>
    </row>
    <row r="21" spans="1:4" ht="26.25" customHeight="1" x14ac:dyDescent="0.25">
      <c r="A21" s="3" t="s">
        <v>260</v>
      </c>
      <c r="B21" s="3" t="s">
        <v>280</v>
      </c>
      <c r="C21" s="3"/>
      <c r="D21" s="3">
        <v>1</v>
      </c>
    </row>
    <row r="22" spans="1:4" ht="26.25" customHeight="1" x14ac:dyDescent="0.25">
      <c r="A22" s="3" t="s">
        <v>261</v>
      </c>
      <c r="B22" s="3" t="s">
        <v>281</v>
      </c>
      <c r="C22" s="3"/>
      <c r="D22" s="3">
        <v>1</v>
      </c>
    </row>
    <row r="23" spans="1:4" ht="26.25" customHeight="1" x14ac:dyDescent="0.25">
      <c r="A23" s="3" t="s">
        <v>136</v>
      </c>
      <c r="B23" s="6" t="s">
        <v>300</v>
      </c>
      <c r="C23" s="3"/>
      <c r="D23" s="3">
        <v>1</v>
      </c>
    </row>
    <row r="24" spans="1:4" ht="26.25" customHeight="1" x14ac:dyDescent="0.25">
      <c r="A24" s="3" t="s">
        <v>262</v>
      </c>
      <c r="B24" s="3" t="s">
        <v>282</v>
      </c>
      <c r="C24" s="3"/>
      <c r="D24" s="3">
        <f>1+1+1+1+1+1+1+1</f>
        <v>8</v>
      </c>
    </row>
    <row r="25" spans="1:4" ht="26.25" customHeight="1" x14ac:dyDescent="0.25">
      <c r="A25" s="3" t="s">
        <v>89</v>
      </c>
      <c r="B25" s="3" t="s">
        <v>283</v>
      </c>
      <c r="C25" s="3"/>
      <c r="D25" s="3">
        <f>1+1+1+1+1+1+1+1</f>
        <v>8</v>
      </c>
    </row>
    <row r="26" spans="1:4" ht="26.25" customHeight="1" x14ac:dyDescent="0.25">
      <c r="A26" s="3"/>
      <c r="B26" s="3"/>
      <c r="C26" s="3"/>
      <c r="D26" s="3"/>
    </row>
    <row r="27" spans="1:4" ht="26.25" customHeight="1" x14ac:dyDescent="0.25">
      <c r="A27" s="3"/>
      <c r="B27" s="3"/>
      <c r="C27" s="3"/>
      <c r="D27" s="3"/>
    </row>
    <row r="28" spans="1:4" ht="26.25" customHeight="1" x14ac:dyDescent="0.25">
      <c r="A28" s="3"/>
      <c r="B28" s="3"/>
      <c r="C28" s="3"/>
      <c r="D28" s="3"/>
    </row>
    <row r="29" spans="1:4" ht="26.25" customHeight="1" x14ac:dyDescent="0.25">
      <c r="A29" s="3"/>
      <c r="B29" s="3"/>
      <c r="C29" s="3"/>
      <c r="D29" s="3"/>
    </row>
    <row r="30" spans="1:4" ht="26.25" customHeight="1" x14ac:dyDescent="0.25">
      <c r="A30" s="40" t="s">
        <v>250</v>
      </c>
      <c r="B30" s="41"/>
      <c r="C30" s="42"/>
      <c r="D30" s="42"/>
    </row>
    <row r="31" spans="1:4" ht="26.25" customHeight="1" thickBot="1" x14ac:dyDescent="0.3">
      <c r="A31" s="39" t="s">
        <v>0</v>
      </c>
      <c r="B31" s="39"/>
      <c r="C31" s="2"/>
      <c r="D31" s="1">
        <f>+SUM(D5:D29)</f>
        <v>36</v>
      </c>
    </row>
    <row r="32" spans="1:4" ht="15.75" thickTop="1" x14ac:dyDescent="0.25"/>
  </sheetData>
  <mergeCells count="4">
    <mergeCell ref="A1:D1"/>
    <mergeCell ref="A2:D2"/>
    <mergeCell ref="A30:D30"/>
    <mergeCell ref="A31:B31"/>
  </mergeCells>
  <conditionalFormatting sqref="A1:A1048576">
    <cfRule type="duplicateValues" dxfId="455" priority="5"/>
  </conditionalFormatting>
  <conditionalFormatting sqref="B26:B1048576 B1:B4">
    <cfRule type="duplicateValues" dxfId="454" priority="3"/>
    <cfRule type="duplicateValues" dxfId="453" priority="4"/>
  </conditionalFormatting>
  <conditionalFormatting sqref="B5:C5">
    <cfRule type="duplicateValues" dxfId="452" priority="2"/>
  </conditionalFormatting>
  <conditionalFormatting sqref="B6:C25">
    <cfRule type="duplicateValues" dxfId="451" priority="51"/>
  </conditionalFormatting>
  <pageMargins left="0.70866141732283472" right="0.70866141732283472" top="0.74803149606299213" bottom="0.74803149606299213" header="0.31496062992125984" footer="0.31496062992125984"/>
  <pageSetup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14ED-48AF-4FCD-B84F-3CD4F918A3A8}">
  <sheetPr codeName="Sheet8"/>
  <dimension ref="A1:D43"/>
  <sheetViews>
    <sheetView workbookViewId="0">
      <selection activeCell="E20" sqref="E20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 t="s">
        <v>249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89</v>
      </c>
      <c r="B5" s="3" t="s">
        <v>289</v>
      </c>
      <c r="C5" s="3"/>
      <c r="D5" s="3">
        <v>1</v>
      </c>
    </row>
    <row r="6" spans="1:4" ht="26.25" customHeight="1" x14ac:dyDescent="0.25">
      <c r="A6" s="3" t="s">
        <v>46</v>
      </c>
      <c r="B6" s="3" t="s">
        <v>290</v>
      </c>
      <c r="C6" s="3"/>
      <c r="D6" s="3">
        <v>5</v>
      </c>
    </row>
    <row r="7" spans="1:4" ht="26.25" customHeight="1" x14ac:dyDescent="0.25">
      <c r="A7" s="3" t="s">
        <v>101</v>
      </c>
      <c r="B7" s="3" t="s">
        <v>291</v>
      </c>
      <c r="C7" s="3"/>
      <c r="D7" s="3">
        <v>4</v>
      </c>
    </row>
    <row r="8" spans="1:4" ht="26.25" customHeight="1" x14ac:dyDescent="0.25">
      <c r="A8" s="3" t="s">
        <v>92</v>
      </c>
      <c r="B8" s="3" t="s">
        <v>292</v>
      </c>
      <c r="C8" s="3"/>
      <c r="D8" s="3">
        <v>6</v>
      </c>
    </row>
    <row r="9" spans="1:4" ht="26.25" customHeight="1" x14ac:dyDescent="0.25">
      <c r="A9" s="3" t="s">
        <v>284</v>
      </c>
      <c r="B9" s="3" t="s">
        <v>293</v>
      </c>
      <c r="C9" s="3"/>
      <c r="D9" s="3">
        <v>3</v>
      </c>
    </row>
    <row r="10" spans="1:4" ht="26.25" customHeight="1" x14ac:dyDescent="0.25">
      <c r="A10" s="3" t="s">
        <v>285</v>
      </c>
      <c r="B10" s="3" t="s">
        <v>294</v>
      </c>
      <c r="C10" s="3"/>
      <c r="D10" s="3">
        <v>5</v>
      </c>
    </row>
    <row r="11" spans="1:4" ht="26.25" customHeight="1" x14ac:dyDescent="0.25">
      <c r="A11" s="3" t="s">
        <v>286</v>
      </c>
      <c r="B11" s="3" t="s">
        <v>295</v>
      </c>
      <c r="C11" s="3"/>
      <c r="D11" s="3">
        <v>3</v>
      </c>
    </row>
    <row r="12" spans="1:4" ht="26.25" customHeight="1" x14ac:dyDescent="0.25">
      <c r="A12" s="3" t="s">
        <v>212</v>
      </c>
      <c r="B12" s="3" t="s">
        <v>296</v>
      </c>
      <c r="C12" s="3"/>
      <c r="D12" s="3">
        <v>2</v>
      </c>
    </row>
    <row r="13" spans="1:4" ht="26.25" customHeight="1" x14ac:dyDescent="0.25">
      <c r="A13" s="3" t="s">
        <v>47</v>
      </c>
      <c r="B13" s="3" t="s">
        <v>297</v>
      </c>
      <c r="C13" s="3"/>
      <c r="D13" s="3">
        <v>4</v>
      </c>
    </row>
    <row r="14" spans="1:4" ht="26.25" customHeight="1" x14ac:dyDescent="0.25">
      <c r="A14" s="3" t="s">
        <v>287</v>
      </c>
      <c r="B14" s="3" t="s">
        <v>298</v>
      </c>
      <c r="C14" s="3"/>
      <c r="D14" s="3">
        <v>2</v>
      </c>
    </row>
    <row r="15" spans="1:4" ht="26.25" customHeight="1" x14ac:dyDescent="0.25">
      <c r="A15" s="3" t="s">
        <v>288</v>
      </c>
      <c r="B15" s="3" t="s">
        <v>299</v>
      </c>
      <c r="C15" s="3"/>
      <c r="D15" s="3">
        <v>1</v>
      </c>
    </row>
    <row r="16" spans="1:4" ht="26.25" customHeight="1" x14ac:dyDescent="0.25">
      <c r="A16" s="3"/>
      <c r="B16" s="3"/>
      <c r="C16" s="3"/>
      <c r="D16" s="3"/>
    </row>
    <row r="17" spans="1:4" ht="26.25" customHeight="1" x14ac:dyDescent="0.25">
      <c r="A17" s="3"/>
      <c r="B17" s="3"/>
      <c r="C17" s="3"/>
      <c r="D17" s="3"/>
    </row>
    <row r="18" spans="1:4" ht="26.25" customHeight="1" x14ac:dyDescent="0.25">
      <c r="A18" s="3"/>
      <c r="B18" s="3"/>
      <c r="C18" s="3"/>
      <c r="D18" s="3"/>
    </row>
    <row r="19" spans="1:4" ht="26.25" customHeight="1" x14ac:dyDescent="0.25">
      <c r="A19" s="3"/>
      <c r="B19" s="3"/>
      <c r="C19" s="3"/>
      <c r="D19" s="3"/>
    </row>
    <row r="20" spans="1:4" ht="26.25" customHeight="1" x14ac:dyDescent="0.25">
      <c r="A20" s="3"/>
      <c r="B20" s="3"/>
      <c r="C20" s="3"/>
      <c r="D20" s="3"/>
    </row>
    <row r="21" spans="1:4" ht="26.25" customHeight="1" x14ac:dyDescent="0.25">
      <c r="A21" s="3"/>
      <c r="B21" s="3"/>
      <c r="C21" s="3"/>
      <c r="D21" s="3"/>
    </row>
    <row r="22" spans="1:4" ht="26.25" customHeight="1" x14ac:dyDescent="0.25">
      <c r="A22" s="3"/>
      <c r="B22" s="3"/>
      <c r="C22" s="3"/>
      <c r="D22" s="3"/>
    </row>
    <row r="23" spans="1:4" ht="26.25" customHeight="1" x14ac:dyDescent="0.25">
      <c r="A23" s="3"/>
      <c r="B23" s="3"/>
      <c r="C23" s="3"/>
      <c r="D23" s="3"/>
    </row>
    <row r="24" spans="1:4" ht="26.25" customHeight="1" x14ac:dyDescent="0.25">
      <c r="A24" s="3"/>
      <c r="B24" s="3"/>
      <c r="C24" s="3"/>
      <c r="D24" s="3"/>
    </row>
    <row r="25" spans="1:4" ht="26.25" customHeight="1" x14ac:dyDescent="0.25">
      <c r="A25" s="3"/>
      <c r="B25" s="3"/>
      <c r="C25" s="3"/>
      <c r="D25" s="3"/>
    </row>
    <row r="26" spans="1:4" ht="26.25" customHeight="1" x14ac:dyDescent="0.25">
      <c r="A26" s="3"/>
      <c r="B26" s="3"/>
      <c r="C26" s="3"/>
      <c r="D26" s="3"/>
    </row>
    <row r="27" spans="1:4" ht="26.25" customHeight="1" x14ac:dyDescent="0.25">
      <c r="A27" s="3"/>
      <c r="B27" s="3"/>
      <c r="C27" s="3"/>
      <c r="D27" s="3"/>
    </row>
    <row r="28" spans="1:4" ht="26.25" customHeight="1" x14ac:dyDescent="0.25">
      <c r="A28" s="3"/>
      <c r="B28" s="3"/>
      <c r="C28" s="3"/>
      <c r="D28" s="3"/>
    </row>
    <row r="29" spans="1:4" ht="26.25" customHeight="1" x14ac:dyDescent="0.25">
      <c r="A29" s="3"/>
      <c r="B29" s="3"/>
      <c r="C29" s="3"/>
      <c r="D29" s="3"/>
    </row>
    <row r="30" spans="1:4" ht="26.25" customHeight="1" x14ac:dyDescent="0.25">
      <c r="A30" s="3"/>
      <c r="B30" s="3"/>
      <c r="C30" s="3"/>
      <c r="D30" s="3"/>
    </row>
    <row r="31" spans="1:4" ht="26.25" customHeight="1" x14ac:dyDescent="0.25">
      <c r="A31" s="3"/>
      <c r="B31" s="3"/>
      <c r="C31" s="3"/>
      <c r="D31" s="3"/>
    </row>
    <row r="32" spans="1:4" ht="26.25" customHeight="1" x14ac:dyDescent="0.25">
      <c r="A32" s="3"/>
      <c r="B32" s="3"/>
      <c r="C32" s="3"/>
      <c r="D32" s="3"/>
    </row>
    <row r="33" spans="1:4" ht="26.25" customHeight="1" x14ac:dyDescent="0.25">
      <c r="A33" s="3"/>
      <c r="B33" s="3"/>
      <c r="C33" s="3"/>
      <c r="D33" s="3"/>
    </row>
    <row r="34" spans="1:4" ht="26.25" customHeight="1" x14ac:dyDescent="0.25">
      <c r="A34" s="3"/>
      <c r="B34" s="3"/>
      <c r="C34" s="3"/>
      <c r="D34" s="3"/>
    </row>
    <row r="35" spans="1:4" ht="26.25" customHeight="1" x14ac:dyDescent="0.25">
      <c r="A35" s="3"/>
      <c r="B35" s="3"/>
      <c r="C35" s="3"/>
      <c r="D35" s="3"/>
    </row>
    <row r="36" spans="1:4" ht="26.25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250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mergeCells count="4">
    <mergeCell ref="A1:D1"/>
    <mergeCell ref="A2:D2"/>
    <mergeCell ref="A41:D41"/>
    <mergeCell ref="A42:B42"/>
  </mergeCells>
  <conditionalFormatting sqref="A1:A1048576">
    <cfRule type="duplicateValues" dxfId="450" priority="5"/>
  </conditionalFormatting>
  <conditionalFormatting sqref="B1:B4 B37:B1048576">
    <cfRule type="duplicateValues" dxfId="449" priority="3"/>
    <cfRule type="duplicateValues" dxfId="448" priority="4"/>
  </conditionalFormatting>
  <conditionalFormatting sqref="B5:C5">
    <cfRule type="duplicateValues" dxfId="447" priority="2"/>
  </conditionalFormatting>
  <conditionalFormatting sqref="B6:C36">
    <cfRule type="duplicateValues" dxfId="446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A80D-CF40-4A72-829E-6CFC34309A1D}">
  <sheetPr codeName="Sheet9">
    <pageSetUpPr fitToPage="1"/>
  </sheetPr>
  <dimension ref="A1:D42"/>
  <sheetViews>
    <sheetView workbookViewId="0">
      <selection activeCell="A13" sqref="A13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 t="s">
        <v>249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98</v>
      </c>
      <c r="B5" s="3" t="s">
        <v>169</v>
      </c>
      <c r="C5" s="3"/>
      <c r="D5" s="3">
        <v>3</v>
      </c>
    </row>
    <row r="6" spans="1:4" ht="26.25" customHeight="1" x14ac:dyDescent="0.25">
      <c r="A6" s="3" t="s">
        <v>301</v>
      </c>
      <c r="B6" s="3" t="s">
        <v>302</v>
      </c>
      <c r="C6" s="3"/>
      <c r="D6" s="3">
        <v>3</v>
      </c>
    </row>
    <row r="7" spans="1:4" ht="26.25" customHeight="1" x14ac:dyDescent="0.25">
      <c r="A7" s="3" t="s">
        <v>303</v>
      </c>
      <c r="B7" s="3" t="s">
        <v>304</v>
      </c>
      <c r="C7" s="3"/>
      <c r="D7" s="3">
        <v>2</v>
      </c>
    </row>
    <row r="8" spans="1:4" ht="26.25" customHeight="1" x14ac:dyDescent="0.25">
      <c r="A8" s="3">
        <v>11546571</v>
      </c>
      <c r="B8" s="3" t="s">
        <v>305</v>
      </c>
      <c r="C8" s="3"/>
      <c r="D8" s="3">
        <v>1</v>
      </c>
    </row>
    <row r="9" spans="1:4" ht="26.25" customHeight="1" x14ac:dyDescent="0.25">
      <c r="A9" s="3" t="s">
        <v>306</v>
      </c>
      <c r="B9" s="3" t="s">
        <v>307</v>
      </c>
      <c r="C9" s="3"/>
      <c r="D9" s="3">
        <v>2</v>
      </c>
    </row>
    <row r="10" spans="1:4" ht="26.25" customHeight="1" x14ac:dyDescent="0.25">
      <c r="A10" s="3" t="s">
        <v>308</v>
      </c>
      <c r="B10" s="3" t="s">
        <v>309</v>
      </c>
      <c r="C10" s="3"/>
      <c r="D10" s="3">
        <v>3</v>
      </c>
    </row>
    <row r="11" spans="1:4" ht="26.25" customHeight="1" x14ac:dyDescent="0.25">
      <c r="A11" s="3" t="s">
        <v>55</v>
      </c>
      <c r="B11" s="3" t="s">
        <v>310</v>
      </c>
      <c r="C11" s="3"/>
      <c r="D11" s="3">
        <v>1</v>
      </c>
    </row>
    <row r="12" spans="1:4" ht="26.25" customHeight="1" x14ac:dyDescent="0.25">
      <c r="A12" s="3" t="s">
        <v>311</v>
      </c>
      <c r="B12" s="3" t="s">
        <v>312</v>
      </c>
      <c r="C12" s="3"/>
      <c r="D12" s="3">
        <v>4</v>
      </c>
    </row>
    <row r="13" spans="1:4" ht="26.25" customHeight="1" x14ac:dyDescent="0.25">
      <c r="A13" s="3" t="s">
        <v>313</v>
      </c>
      <c r="B13" s="3" t="s">
        <v>314</v>
      </c>
      <c r="C13" s="3"/>
      <c r="D13" s="3">
        <v>1</v>
      </c>
    </row>
    <row r="14" spans="1:4" ht="26.25" customHeight="1" x14ac:dyDescent="0.25">
      <c r="A14" s="3" t="s">
        <v>262</v>
      </c>
      <c r="B14" s="3" t="s">
        <v>315</v>
      </c>
      <c r="C14" s="3"/>
      <c r="D14" s="3">
        <v>1</v>
      </c>
    </row>
    <row r="15" spans="1:4" ht="26.25" customHeight="1" x14ac:dyDescent="0.25">
      <c r="A15" s="3" t="s">
        <v>316</v>
      </c>
      <c r="B15" s="3" t="s">
        <v>317</v>
      </c>
      <c r="C15" s="3"/>
      <c r="D15" s="3">
        <v>1</v>
      </c>
    </row>
    <row r="16" spans="1:4" ht="26.25" customHeight="1" x14ac:dyDescent="0.25">
      <c r="A16" s="3" t="s">
        <v>93</v>
      </c>
      <c r="B16" s="3" t="s">
        <v>318</v>
      </c>
      <c r="C16" s="3"/>
      <c r="D16" s="3">
        <v>1</v>
      </c>
    </row>
    <row r="17" spans="1:4" ht="26.25" customHeight="1" x14ac:dyDescent="0.25">
      <c r="A17" s="3" t="s">
        <v>319</v>
      </c>
      <c r="B17" s="3" t="s">
        <v>320</v>
      </c>
      <c r="C17" s="3"/>
      <c r="D17" s="3">
        <v>1</v>
      </c>
    </row>
    <row r="18" spans="1:4" ht="26.25" customHeight="1" x14ac:dyDescent="0.25">
      <c r="A18" s="3" t="s">
        <v>321</v>
      </c>
      <c r="B18" s="3" t="s">
        <v>322</v>
      </c>
      <c r="C18" s="3"/>
      <c r="D18" s="3">
        <v>4</v>
      </c>
    </row>
    <row r="19" spans="1:4" ht="26.25" customHeight="1" x14ac:dyDescent="0.25">
      <c r="A19" s="3" t="s">
        <v>323</v>
      </c>
      <c r="B19" s="3" t="s">
        <v>324</v>
      </c>
      <c r="C19" s="3"/>
      <c r="D19" s="3">
        <v>2</v>
      </c>
    </row>
    <row r="20" spans="1:4" ht="26.25" customHeight="1" x14ac:dyDescent="0.25">
      <c r="A20" s="3" t="s">
        <v>325</v>
      </c>
      <c r="B20" s="3" t="s">
        <v>326</v>
      </c>
      <c r="C20" s="3"/>
      <c r="D20" s="3">
        <v>3</v>
      </c>
    </row>
    <row r="21" spans="1:4" ht="26.25" customHeight="1" x14ac:dyDescent="0.25">
      <c r="A21" s="3" t="s">
        <v>327</v>
      </c>
      <c r="B21" s="3" t="s">
        <v>328</v>
      </c>
      <c r="C21" s="3"/>
      <c r="D21" s="3">
        <v>1</v>
      </c>
    </row>
    <row r="22" spans="1:4" ht="26.25" customHeight="1" x14ac:dyDescent="0.25">
      <c r="A22" s="3" t="s">
        <v>329</v>
      </c>
      <c r="B22" s="3" t="s">
        <v>330</v>
      </c>
      <c r="C22" s="3"/>
      <c r="D22" s="3">
        <v>2</v>
      </c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customHeight="1" x14ac:dyDescent="0.25">
      <c r="A28" s="3"/>
      <c r="B28" s="3"/>
      <c r="C28" s="3"/>
      <c r="D28" s="3"/>
    </row>
    <row r="29" spans="1:4" ht="26.25" customHeight="1" x14ac:dyDescent="0.25">
      <c r="A29" s="3"/>
      <c r="B29" s="3"/>
      <c r="C29" s="3"/>
      <c r="D29" s="3"/>
    </row>
    <row r="30" spans="1:4" ht="26.25" customHeight="1" x14ac:dyDescent="0.25">
      <c r="A30" s="3"/>
      <c r="B30" s="3"/>
      <c r="C30" s="3"/>
      <c r="D30" s="3"/>
    </row>
    <row r="31" spans="1:4" ht="26.25" customHeight="1" x14ac:dyDescent="0.25">
      <c r="A31" s="3"/>
      <c r="B31" s="3"/>
      <c r="C31" s="3"/>
      <c r="D31" s="3"/>
    </row>
    <row r="32" spans="1:4" ht="26.25" customHeight="1" x14ac:dyDescent="0.25">
      <c r="A32" s="3"/>
      <c r="B32" s="3"/>
      <c r="C32" s="3"/>
      <c r="D32" s="3"/>
    </row>
    <row r="33" spans="1:4" ht="26.25" customHeight="1" x14ac:dyDescent="0.25">
      <c r="A33" s="3"/>
      <c r="B33" s="3"/>
      <c r="C33" s="3"/>
      <c r="D33" s="3"/>
    </row>
    <row r="34" spans="1:4" ht="26.25" customHeight="1" x14ac:dyDescent="0.25">
      <c r="A34" s="3"/>
      <c r="B34" s="3"/>
      <c r="C34" s="3"/>
      <c r="D34" s="3"/>
    </row>
    <row r="35" spans="1:4" ht="26.25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customHeight="1" x14ac:dyDescent="0.25">
      <c r="A40" s="40" t="s">
        <v>250</v>
      </c>
      <c r="B40" s="41"/>
      <c r="C40" s="42"/>
      <c r="D40" s="42"/>
    </row>
    <row r="41" spans="1:4" ht="26.25" customHeight="1" thickBot="1" x14ac:dyDescent="0.3">
      <c r="A41" s="39" t="s">
        <v>0</v>
      </c>
      <c r="B41" s="39"/>
      <c r="C41" s="2"/>
      <c r="D41" s="1">
        <f>+SUM(D5:D39)</f>
        <v>36</v>
      </c>
    </row>
    <row r="42" spans="1:4" ht="15.75" thickTop="1" x14ac:dyDescent="0.25"/>
  </sheetData>
  <mergeCells count="4">
    <mergeCell ref="A1:D1"/>
    <mergeCell ref="A2:D2"/>
    <mergeCell ref="A40:D40"/>
    <mergeCell ref="A41:B41"/>
  </mergeCells>
  <conditionalFormatting sqref="A5:A22">
    <cfRule type="duplicateValues" dxfId="445" priority="55"/>
  </conditionalFormatting>
  <conditionalFormatting sqref="A23:A1048576 A1:A4">
    <cfRule type="duplicateValues" dxfId="444" priority="8"/>
  </conditionalFormatting>
  <conditionalFormatting sqref="B36:B1048576 B1:B4">
    <cfRule type="duplicateValues" dxfId="443" priority="6"/>
    <cfRule type="duplicateValues" dxfId="442" priority="7"/>
  </conditionalFormatting>
  <conditionalFormatting sqref="B5:C5">
    <cfRule type="duplicateValues" dxfId="441" priority="2"/>
  </conditionalFormatting>
  <conditionalFormatting sqref="B6:C22">
    <cfRule type="duplicateValues" dxfId="440" priority="57"/>
  </conditionalFormatting>
  <conditionalFormatting sqref="B23:C35">
    <cfRule type="duplicateValues" dxfId="439" priority="4"/>
  </conditionalFormatting>
  <pageMargins left="0.11811023622047245" right="0.11811023622047245" top="0.15748031496062992" bottom="0.15748031496062992" header="0.11811023622047245" footer="0.11811023622047245"/>
  <pageSetup scale="9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4C94-3C4A-4F6E-9E5F-596D03380BB7}">
  <sheetPr codeName="Sheet10"/>
  <dimension ref="A1:D42"/>
  <sheetViews>
    <sheetView zoomScaleNormal="100" workbookViewId="0">
      <selection activeCell="D19" sqref="D19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 t="s">
        <v>383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102</v>
      </c>
      <c r="B5" s="3" t="s">
        <v>172</v>
      </c>
      <c r="C5" s="3"/>
      <c r="D5" s="3">
        <v>2</v>
      </c>
    </row>
    <row r="6" spans="1:4" ht="26.25" customHeight="1" x14ac:dyDescent="0.25">
      <c r="A6" s="3">
        <v>11602031</v>
      </c>
      <c r="B6" s="3" t="s">
        <v>342</v>
      </c>
      <c r="C6" s="3"/>
      <c r="D6" s="3">
        <v>2</v>
      </c>
    </row>
    <row r="7" spans="1:4" ht="26.25" customHeight="1" x14ac:dyDescent="0.25">
      <c r="A7" s="3" t="s">
        <v>332</v>
      </c>
      <c r="B7" s="3" t="s">
        <v>343</v>
      </c>
      <c r="C7" s="3"/>
      <c r="D7" s="3">
        <v>2</v>
      </c>
    </row>
    <row r="8" spans="1:4" ht="26.25" customHeight="1" x14ac:dyDescent="0.25">
      <c r="A8" s="3">
        <v>40073474</v>
      </c>
      <c r="B8" s="3" t="s">
        <v>344</v>
      </c>
      <c r="C8" s="3"/>
      <c r="D8" s="3">
        <v>2</v>
      </c>
    </row>
    <row r="9" spans="1:4" ht="26.25" customHeight="1" x14ac:dyDescent="0.25">
      <c r="A9" s="3" t="s">
        <v>258</v>
      </c>
      <c r="B9" s="3" t="s">
        <v>345</v>
      </c>
      <c r="C9" s="3"/>
      <c r="D9" s="3">
        <v>3</v>
      </c>
    </row>
    <row r="10" spans="1:4" ht="26.25" customHeight="1" x14ac:dyDescent="0.25">
      <c r="A10" s="3" t="s">
        <v>333</v>
      </c>
      <c r="B10" s="3" t="s">
        <v>346</v>
      </c>
      <c r="C10" s="3"/>
      <c r="D10" s="3">
        <v>3</v>
      </c>
    </row>
    <row r="11" spans="1:4" ht="26.25" customHeight="1" x14ac:dyDescent="0.25">
      <c r="A11" s="3" t="s">
        <v>334</v>
      </c>
      <c r="B11" s="3" t="s">
        <v>347</v>
      </c>
      <c r="C11" s="3"/>
      <c r="D11" s="3">
        <v>2</v>
      </c>
    </row>
    <row r="12" spans="1:4" ht="26.25" customHeight="1" x14ac:dyDescent="0.25">
      <c r="A12" s="3" t="s">
        <v>335</v>
      </c>
      <c r="B12" s="3" t="s">
        <v>348</v>
      </c>
      <c r="C12" s="3"/>
      <c r="D12" s="3">
        <v>2</v>
      </c>
    </row>
    <row r="13" spans="1:4" ht="26.25" customHeight="1" x14ac:dyDescent="0.25">
      <c r="A13" s="3">
        <v>11546368</v>
      </c>
      <c r="B13" s="3" t="s">
        <v>349</v>
      </c>
      <c r="C13" s="3"/>
      <c r="D13" s="3">
        <v>3</v>
      </c>
    </row>
    <row r="14" spans="1:4" ht="26.25" customHeight="1" x14ac:dyDescent="0.25">
      <c r="A14" s="3" t="s">
        <v>336</v>
      </c>
      <c r="B14" s="3" t="s">
        <v>350</v>
      </c>
      <c r="C14" s="3"/>
      <c r="D14" s="3">
        <v>2</v>
      </c>
    </row>
    <row r="15" spans="1:4" ht="26.25" customHeight="1" x14ac:dyDescent="0.25">
      <c r="A15" s="3" t="s">
        <v>1</v>
      </c>
      <c r="B15" s="3" t="s">
        <v>351</v>
      </c>
      <c r="C15" s="3"/>
      <c r="D15" s="3">
        <v>1</v>
      </c>
    </row>
    <row r="16" spans="1:4" ht="26.25" customHeight="1" x14ac:dyDescent="0.25">
      <c r="A16" s="3" t="s">
        <v>337</v>
      </c>
      <c r="B16" s="3" t="s">
        <v>352</v>
      </c>
      <c r="C16" s="3"/>
      <c r="D16" s="3">
        <v>1</v>
      </c>
    </row>
    <row r="17" spans="1:4" ht="26.25" customHeight="1" x14ac:dyDescent="0.25">
      <c r="A17" s="3" t="s">
        <v>338</v>
      </c>
      <c r="B17" s="3" t="s">
        <v>353</v>
      </c>
      <c r="C17" s="3"/>
      <c r="D17" s="3">
        <v>1</v>
      </c>
    </row>
    <row r="18" spans="1:4" ht="26.25" customHeight="1" x14ac:dyDescent="0.25">
      <c r="A18" s="3" t="s">
        <v>339</v>
      </c>
      <c r="B18" s="3" t="s">
        <v>354</v>
      </c>
      <c r="C18" s="3"/>
      <c r="D18" s="3">
        <v>2</v>
      </c>
    </row>
    <row r="19" spans="1:4" ht="26.25" customHeight="1" x14ac:dyDescent="0.25">
      <c r="A19" s="3" t="s">
        <v>340</v>
      </c>
      <c r="B19" s="3" t="s">
        <v>355</v>
      </c>
      <c r="C19" s="3"/>
      <c r="D19" s="3">
        <v>4</v>
      </c>
    </row>
    <row r="20" spans="1:4" ht="26.25" customHeight="1" x14ac:dyDescent="0.25">
      <c r="A20" s="3" t="s">
        <v>341</v>
      </c>
      <c r="B20" s="3" t="s">
        <v>356</v>
      </c>
      <c r="C20" s="3"/>
      <c r="D20" s="3">
        <v>3</v>
      </c>
    </row>
    <row r="21" spans="1:4" ht="26.25" customHeight="1" x14ac:dyDescent="0.25">
      <c r="A21" s="3" t="s">
        <v>90</v>
      </c>
      <c r="B21" s="3" t="s">
        <v>183</v>
      </c>
      <c r="C21" s="3"/>
      <c r="D21" s="3">
        <v>1</v>
      </c>
    </row>
    <row r="22" spans="1:4" ht="26.25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customHeight="1" x14ac:dyDescent="0.25">
      <c r="A28" s="3"/>
      <c r="B28" s="3"/>
      <c r="C28" s="3"/>
      <c r="D28" s="3"/>
    </row>
    <row r="29" spans="1:4" ht="26.25" customHeight="1" x14ac:dyDescent="0.25">
      <c r="A29" s="3"/>
      <c r="B29" s="3"/>
      <c r="C29" s="3"/>
      <c r="D29" s="3"/>
    </row>
    <row r="30" spans="1:4" ht="26.25" customHeight="1" x14ac:dyDescent="0.25">
      <c r="A30" s="3"/>
      <c r="B30" s="3"/>
      <c r="C30" s="3"/>
      <c r="D30" s="3"/>
    </row>
    <row r="31" spans="1:4" ht="26.25" customHeight="1" x14ac:dyDescent="0.25">
      <c r="A31" s="3"/>
      <c r="B31" s="3"/>
      <c r="C31" s="3"/>
      <c r="D31" s="3"/>
    </row>
    <row r="32" spans="1:4" ht="26.25" customHeight="1" x14ac:dyDescent="0.25">
      <c r="A32" s="3"/>
      <c r="B32" s="3"/>
      <c r="C32" s="3"/>
      <c r="D32" s="3"/>
    </row>
    <row r="33" spans="1:4" ht="26.25" customHeight="1" x14ac:dyDescent="0.25">
      <c r="A33" s="3"/>
      <c r="B33" s="3"/>
      <c r="C33" s="3"/>
      <c r="D33" s="3"/>
    </row>
    <row r="34" spans="1:4" ht="26.25" customHeight="1" x14ac:dyDescent="0.25">
      <c r="A34" s="3"/>
      <c r="B34" s="3"/>
      <c r="C34" s="3"/>
      <c r="D34" s="3"/>
    </row>
    <row r="35" spans="1:4" ht="26.25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customHeight="1" x14ac:dyDescent="0.25">
      <c r="A40" s="40" t="s">
        <v>430</v>
      </c>
      <c r="B40" s="41"/>
      <c r="C40" s="42"/>
      <c r="D40" s="42"/>
    </row>
    <row r="41" spans="1:4" ht="26.25" customHeight="1" thickBot="1" x14ac:dyDescent="0.3">
      <c r="A41" s="39" t="s">
        <v>0</v>
      </c>
      <c r="B41" s="39"/>
      <c r="C41" s="2"/>
      <c r="D41" s="1">
        <f>+SUM(D5:D39)</f>
        <v>36</v>
      </c>
    </row>
    <row r="42" spans="1:4" ht="15.75" thickTop="1" x14ac:dyDescent="0.25"/>
  </sheetData>
  <mergeCells count="4">
    <mergeCell ref="A1:D1"/>
    <mergeCell ref="A2:D2"/>
    <mergeCell ref="A40:D40"/>
    <mergeCell ref="A41:B41"/>
  </mergeCells>
  <conditionalFormatting sqref="A5:A22">
    <cfRule type="duplicateValues" dxfId="438" priority="6"/>
  </conditionalFormatting>
  <conditionalFormatting sqref="A23:A1048576 A1:A4">
    <cfRule type="duplicateValues" dxfId="437" priority="5"/>
  </conditionalFormatting>
  <conditionalFormatting sqref="B36:B1048576 B1:B4">
    <cfRule type="duplicateValues" dxfId="436" priority="3"/>
    <cfRule type="duplicateValues" dxfId="435" priority="4"/>
  </conditionalFormatting>
  <conditionalFormatting sqref="B5:C5">
    <cfRule type="duplicateValues" dxfId="434" priority="1"/>
  </conditionalFormatting>
  <conditionalFormatting sqref="B6:C22">
    <cfRule type="duplicateValues" dxfId="433" priority="7"/>
  </conditionalFormatting>
  <conditionalFormatting sqref="B23:C35">
    <cfRule type="duplicateValues" dxfId="432" priority="2"/>
  </conditionalFormatting>
  <pageMargins left="0.7" right="0.7" top="0.75" bottom="0.75" header="0.3" footer="0.3"/>
  <pageSetup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14C7-E2F6-4BDE-9D3E-85918C237EFF}">
  <sheetPr codeName="Sheet11">
    <pageSetUpPr fitToPage="1"/>
  </sheetPr>
  <dimension ref="A1:D45"/>
  <sheetViews>
    <sheetView workbookViewId="0">
      <selection activeCell="A2" sqref="A2:D2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46118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357</v>
      </c>
      <c r="B5" s="3" t="s">
        <v>366</v>
      </c>
      <c r="C5" s="3"/>
      <c r="D5" s="3">
        <v>2</v>
      </c>
    </row>
    <row r="6" spans="1:4" ht="26.25" customHeight="1" x14ac:dyDescent="0.25">
      <c r="A6" s="3" t="s">
        <v>358</v>
      </c>
      <c r="B6" s="3" t="s">
        <v>367</v>
      </c>
      <c r="C6" s="3"/>
      <c r="D6" s="3">
        <v>1</v>
      </c>
    </row>
    <row r="7" spans="1:4" ht="26.25" customHeight="1" x14ac:dyDescent="0.25">
      <c r="A7" s="3" t="s">
        <v>359</v>
      </c>
      <c r="B7" s="3" t="s">
        <v>368</v>
      </c>
      <c r="C7" s="3"/>
      <c r="D7" s="3">
        <v>1</v>
      </c>
    </row>
    <row r="8" spans="1:4" ht="26.25" customHeight="1" x14ac:dyDescent="0.25">
      <c r="A8" s="3" t="s">
        <v>360</v>
      </c>
      <c r="B8" s="3" t="s">
        <v>369</v>
      </c>
      <c r="C8" s="3"/>
      <c r="D8" s="3">
        <v>1</v>
      </c>
    </row>
    <row r="9" spans="1:4" ht="26.25" customHeight="1" x14ac:dyDescent="0.25">
      <c r="A9" s="3" t="s">
        <v>361</v>
      </c>
      <c r="B9" s="3" t="s">
        <v>370</v>
      </c>
      <c r="C9" s="3"/>
      <c r="D9" s="3">
        <v>3</v>
      </c>
    </row>
    <row r="10" spans="1:4" ht="26.25" customHeight="1" x14ac:dyDescent="0.25">
      <c r="A10" s="3" t="s">
        <v>371</v>
      </c>
      <c r="B10" s="3" t="s">
        <v>372</v>
      </c>
      <c r="C10" s="3"/>
      <c r="D10" s="3">
        <v>3</v>
      </c>
    </row>
    <row r="11" spans="1:4" ht="26.25" customHeight="1" x14ac:dyDescent="0.25">
      <c r="A11" s="3" t="s">
        <v>208</v>
      </c>
      <c r="B11" s="3" t="s">
        <v>373</v>
      </c>
      <c r="C11" s="3"/>
      <c r="D11" s="3">
        <v>4</v>
      </c>
    </row>
    <row r="12" spans="1:4" ht="26.25" customHeight="1" x14ac:dyDescent="0.25">
      <c r="A12" s="3" t="s">
        <v>262</v>
      </c>
      <c r="B12" s="3" t="s">
        <v>374</v>
      </c>
      <c r="C12" s="3"/>
      <c r="D12" s="3">
        <v>3</v>
      </c>
    </row>
    <row r="13" spans="1:4" ht="26.25" customHeight="1" x14ac:dyDescent="0.25">
      <c r="A13" s="3" t="s">
        <v>327</v>
      </c>
      <c r="B13" s="3" t="s">
        <v>375</v>
      </c>
      <c r="C13" s="3"/>
      <c r="D13" s="3">
        <v>1</v>
      </c>
    </row>
    <row r="14" spans="1:4" ht="26.25" customHeight="1" x14ac:dyDescent="0.25">
      <c r="A14" s="3" t="s">
        <v>145</v>
      </c>
      <c r="B14" s="3" t="s">
        <v>376</v>
      </c>
      <c r="C14" s="3"/>
      <c r="D14" s="3">
        <v>2</v>
      </c>
    </row>
    <row r="15" spans="1:4" ht="26.25" customHeight="1" x14ac:dyDescent="0.25">
      <c r="A15" s="3" t="s">
        <v>362</v>
      </c>
      <c r="B15" s="3" t="s">
        <v>377</v>
      </c>
      <c r="C15" s="3"/>
      <c r="D15" s="3">
        <v>2</v>
      </c>
    </row>
    <row r="16" spans="1:4" ht="26.25" customHeight="1" x14ac:dyDescent="0.25">
      <c r="A16" s="3" t="s">
        <v>306</v>
      </c>
      <c r="B16" s="3" t="s">
        <v>378</v>
      </c>
      <c r="C16" s="3"/>
      <c r="D16" s="3">
        <v>5</v>
      </c>
    </row>
    <row r="17" spans="1:4" ht="26.25" customHeight="1" x14ac:dyDescent="0.25">
      <c r="A17" s="3" t="s">
        <v>47</v>
      </c>
      <c r="B17" s="3" t="s">
        <v>379</v>
      </c>
      <c r="C17" s="3"/>
      <c r="D17" s="3">
        <v>2</v>
      </c>
    </row>
    <row r="18" spans="1:4" ht="26.25" customHeight="1" x14ac:dyDescent="0.25">
      <c r="A18" s="3" t="s">
        <v>363</v>
      </c>
      <c r="B18" s="3" t="s">
        <v>380</v>
      </c>
      <c r="C18" s="3"/>
      <c r="D18" s="3">
        <v>3</v>
      </c>
    </row>
    <row r="19" spans="1:4" ht="26.25" customHeight="1" x14ac:dyDescent="0.25">
      <c r="A19" s="3" t="s">
        <v>364</v>
      </c>
      <c r="B19" s="3" t="s">
        <v>381</v>
      </c>
      <c r="C19" s="3"/>
      <c r="D19" s="3">
        <v>2</v>
      </c>
    </row>
    <row r="20" spans="1:4" ht="26.25" customHeight="1" x14ac:dyDescent="0.25">
      <c r="A20" s="3" t="s">
        <v>365</v>
      </c>
      <c r="B20" s="3" t="s">
        <v>382</v>
      </c>
      <c r="C20" s="3"/>
      <c r="D20" s="7">
        <v>1</v>
      </c>
    </row>
    <row r="21" spans="1:4" ht="26.25" customHeight="1" x14ac:dyDescent="0.25">
      <c r="A21" s="3"/>
      <c r="B21" s="3"/>
      <c r="C21" s="3"/>
      <c r="D21" s="3"/>
    </row>
    <row r="22" spans="1:4" ht="26.25" customHeight="1" x14ac:dyDescent="0.25">
      <c r="A22" s="3"/>
      <c r="B22" s="3"/>
      <c r="C22" s="3"/>
      <c r="D22" s="3"/>
    </row>
    <row r="23" spans="1:4" ht="26.25" customHeight="1" x14ac:dyDescent="0.25">
      <c r="A23" s="3"/>
      <c r="B23" s="3"/>
      <c r="C23" s="3"/>
      <c r="D23" s="3"/>
    </row>
    <row r="24" spans="1:4" ht="26.25" customHeight="1" x14ac:dyDescent="0.25">
      <c r="A24" s="3"/>
      <c r="B24" s="3"/>
      <c r="C24" s="3"/>
      <c r="D24" s="3"/>
    </row>
    <row r="25" spans="1:4" ht="26.25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hidden="1" customHeight="1" x14ac:dyDescent="0.25">
      <c r="A29" s="3"/>
      <c r="B29" s="3"/>
      <c r="C29" s="3"/>
      <c r="D29" s="3"/>
    </row>
    <row r="30" spans="1:4" ht="26.25" hidden="1" customHeight="1" x14ac:dyDescent="0.25">
      <c r="A30" s="3"/>
      <c r="B30" s="3"/>
      <c r="C30" s="3"/>
      <c r="D30" s="3"/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customHeight="1" x14ac:dyDescent="0.25">
      <c r="A34" s="3"/>
      <c r="B34" s="3"/>
      <c r="C34" s="3"/>
      <c r="D34" s="3"/>
    </row>
    <row r="35" spans="1:4" ht="26.25" customHeight="1" x14ac:dyDescent="0.25">
      <c r="A35" s="3"/>
      <c r="B35" s="3"/>
      <c r="C35" s="3"/>
      <c r="D35" s="3"/>
    </row>
    <row r="36" spans="1:4" ht="26.25" customHeight="1" x14ac:dyDescent="0.25">
      <c r="A36" s="3"/>
      <c r="B36" s="3"/>
      <c r="C36" s="3"/>
      <c r="D36" s="3"/>
    </row>
    <row r="37" spans="1:4" ht="26.25" customHeight="1" x14ac:dyDescent="0.25">
      <c r="A37" s="3"/>
      <c r="B37" s="3"/>
      <c r="C37" s="3"/>
      <c r="D37" s="3"/>
    </row>
    <row r="38" spans="1:4" ht="26.25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customHeight="1" x14ac:dyDescent="0.25">
      <c r="A43" s="40" t="s">
        <v>431</v>
      </c>
      <c r="B43" s="41"/>
      <c r="C43" s="42"/>
      <c r="D43" s="42"/>
    </row>
    <row r="44" spans="1:4" ht="26.25" customHeight="1" thickBot="1" x14ac:dyDescent="0.3">
      <c r="A44" s="39" t="s">
        <v>0</v>
      </c>
      <c r="B44" s="39"/>
      <c r="C44" s="2"/>
      <c r="D44" s="1">
        <f>+SUM(D5:D42)</f>
        <v>36</v>
      </c>
    </row>
    <row r="45" spans="1:4" ht="15.75" thickTop="1" x14ac:dyDescent="0.25"/>
  </sheetData>
  <mergeCells count="4">
    <mergeCell ref="A1:D1"/>
    <mergeCell ref="A2:D2"/>
    <mergeCell ref="A43:D43"/>
    <mergeCell ref="A44:B44"/>
  </mergeCells>
  <conditionalFormatting sqref="A5:A25">
    <cfRule type="duplicateValues" dxfId="431" priority="7"/>
  </conditionalFormatting>
  <conditionalFormatting sqref="A26:A1048576 A1:A4">
    <cfRule type="duplicateValues" dxfId="430" priority="6"/>
  </conditionalFormatting>
  <conditionalFormatting sqref="B39:B1048576 B1:B4">
    <cfRule type="duplicateValues" dxfId="429" priority="4"/>
    <cfRule type="duplicateValues" dxfId="428" priority="5"/>
  </conditionalFormatting>
  <conditionalFormatting sqref="B5:C5">
    <cfRule type="duplicateValues" dxfId="427" priority="2"/>
  </conditionalFormatting>
  <conditionalFormatting sqref="B6:C25">
    <cfRule type="duplicateValues" dxfId="426" priority="8"/>
  </conditionalFormatting>
  <conditionalFormatting sqref="B26:C38">
    <cfRule type="duplicateValues" dxfId="425" priority="3"/>
  </conditionalFormatting>
  <conditionalFormatting sqref="D21:D22">
    <cfRule type="duplicateValues" dxfId="424" priority="1"/>
  </conditionalFormatting>
  <pageMargins left="0.70866141732283472" right="0.70866141732283472" top="0.74803149606299213" bottom="0.74803149606299213" header="0.31496062992125984" footer="0.31496062992125984"/>
  <pageSetup scale="8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D72C-A46D-486C-9C67-BBC210CCA05A}">
  <sheetPr codeName="Sheet12">
    <pageSetUpPr fitToPage="1"/>
  </sheetPr>
  <dimension ref="A1:D43"/>
  <sheetViews>
    <sheetView workbookViewId="0">
      <selection activeCell="F36"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 t="s">
        <v>383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>
        <v>11546462</v>
      </c>
      <c r="B5" s="3" t="s">
        <v>407</v>
      </c>
      <c r="C5" s="3"/>
      <c r="D5" s="3">
        <v>3</v>
      </c>
    </row>
    <row r="6" spans="1:4" ht="26.25" customHeight="1" x14ac:dyDescent="0.25">
      <c r="A6" s="3" t="s">
        <v>181</v>
      </c>
      <c r="B6" s="3" t="s">
        <v>408</v>
      </c>
      <c r="C6" s="3"/>
      <c r="D6" s="3">
        <v>1</v>
      </c>
    </row>
    <row r="7" spans="1:4" ht="26.25" customHeight="1" x14ac:dyDescent="0.25">
      <c r="A7" s="3" t="s">
        <v>47</v>
      </c>
      <c r="B7" s="3" t="s">
        <v>409</v>
      </c>
      <c r="C7" s="3"/>
      <c r="D7" s="3">
        <v>2</v>
      </c>
    </row>
    <row r="8" spans="1:4" ht="26.25" customHeight="1" x14ac:dyDescent="0.25">
      <c r="A8" s="3" t="s">
        <v>102</v>
      </c>
      <c r="B8" s="3" t="s">
        <v>410</v>
      </c>
      <c r="C8" s="3"/>
      <c r="D8" s="3">
        <v>2</v>
      </c>
    </row>
    <row r="9" spans="1:4" ht="26.25" customHeight="1" x14ac:dyDescent="0.25">
      <c r="A9" s="3">
        <v>11612261</v>
      </c>
      <c r="B9" s="3" t="s">
        <v>411</v>
      </c>
      <c r="C9" s="3"/>
      <c r="D9" s="3">
        <v>1</v>
      </c>
    </row>
    <row r="10" spans="1:4" ht="26.25" customHeight="1" x14ac:dyDescent="0.25">
      <c r="A10" s="3">
        <v>11547059</v>
      </c>
      <c r="B10" s="3" t="s">
        <v>164</v>
      </c>
      <c r="C10" s="3"/>
      <c r="D10" s="3">
        <v>1</v>
      </c>
    </row>
    <row r="11" spans="1:4" ht="26.25" customHeight="1" x14ac:dyDescent="0.25">
      <c r="A11" s="3">
        <v>11546703</v>
      </c>
      <c r="B11" s="3" t="s">
        <v>412</v>
      </c>
      <c r="C11" s="3"/>
      <c r="D11" s="3">
        <v>1</v>
      </c>
    </row>
    <row r="12" spans="1:4" ht="26.25" customHeight="1" x14ac:dyDescent="0.25">
      <c r="A12" s="3" t="s">
        <v>391</v>
      </c>
      <c r="B12" s="3" t="s">
        <v>413</v>
      </c>
      <c r="C12" s="3"/>
      <c r="D12" s="3">
        <v>1</v>
      </c>
    </row>
    <row r="13" spans="1:4" ht="26.25" customHeight="1" x14ac:dyDescent="0.25">
      <c r="A13" s="3" t="s">
        <v>209</v>
      </c>
      <c r="B13" s="3" t="s">
        <v>223</v>
      </c>
      <c r="C13" s="3"/>
      <c r="D13" s="3">
        <v>1</v>
      </c>
    </row>
    <row r="14" spans="1:4" ht="26.25" customHeight="1" x14ac:dyDescent="0.25">
      <c r="A14" s="3" t="s">
        <v>402</v>
      </c>
      <c r="B14" s="3" t="s">
        <v>414</v>
      </c>
      <c r="C14" s="3"/>
      <c r="D14" s="3">
        <v>1</v>
      </c>
    </row>
    <row r="15" spans="1:4" ht="26.25" customHeight="1" x14ac:dyDescent="0.25">
      <c r="A15" s="3" t="s">
        <v>403</v>
      </c>
      <c r="B15" s="3" t="s">
        <v>415</v>
      </c>
      <c r="C15" s="3"/>
      <c r="D15" s="3">
        <v>1</v>
      </c>
    </row>
    <row r="16" spans="1:4" ht="26.25" customHeight="1" x14ac:dyDescent="0.25">
      <c r="A16" s="3" t="s">
        <v>387</v>
      </c>
      <c r="B16" s="3" t="s">
        <v>416</v>
      </c>
      <c r="C16" s="3"/>
      <c r="D16" s="3">
        <v>2</v>
      </c>
    </row>
    <row r="17" spans="1:4" ht="26.25" customHeight="1" x14ac:dyDescent="0.25">
      <c r="A17" s="3">
        <v>11561114</v>
      </c>
      <c r="B17" s="3" t="s">
        <v>417</v>
      </c>
      <c r="C17" s="3"/>
      <c r="D17" s="3">
        <v>1</v>
      </c>
    </row>
    <row r="18" spans="1:4" ht="26.25" customHeight="1" x14ac:dyDescent="0.25">
      <c r="A18" s="3">
        <v>11588709</v>
      </c>
      <c r="B18" s="3" t="s">
        <v>418</v>
      </c>
      <c r="C18" s="3"/>
      <c r="D18" s="3">
        <v>2</v>
      </c>
    </row>
    <row r="19" spans="1:4" ht="26.25" customHeight="1" x14ac:dyDescent="0.25">
      <c r="A19" s="3">
        <v>11604000</v>
      </c>
      <c r="B19" s="3" t="s">
        <v>419</v>
      </c>
      <c r="C19" s="3"/>
      <c r="D19" s="3">
        <v>2</v>
      </c>
    </row>
    <row r="20" spans="1:4" ht="26.25" customHeight="1" x14ac:dyDescent="0.25">
      <c r="A20" s="3" t="s">
        <v>11</v>
      </c>
      <c r="B20" s="3" t="s">
        <v>420</v>
      </c>
      <c r="C20" s="3"/>
      <c r="D20" s="3">
        <v>1</v>
      </c>
    </row>
    <row r="21" spans="1:4" ht="26.25" customHeight="1" x14ac:dyDescent="0.25">
      <c r="A21" s="3" t="s">
        <v>217</v>
      </c>
      <c r="B21" s="3" t="s">
        <v>239</v>
      </c>
      <c r="C21" s="3"/>
      <c r="D21" s="3">
        <v>1</v>
      </c>
    </row>
    <row r="22" spans="1:4" ht="26.25" customHeight="1" x14ac:dyDescent="0.25">
      <c r="A22" s="3" t="s">
        <v>52</v>
      </c>
      <c r="B22" s="3" t="s">
        <v>421</v>
      </c>
      <c r="C22" s="3"/>
      <c r="D22" s="3">
        <v>3</v>
      </c>
    </row>
    <row r="23" spans="1:4" ht="26.25" customHeight="1" x14ac:dyDescent="0.25">
      <c r="A23" s="3" t="s">
        <v>404</v>
      </c>
      <c r="B23" s="3" t="s">
        <v>422</v>
      </c>
      <c r="C23" s="3"/>
      <c r="D23" s="3">
        <v>1</v>
      </c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customHeight="1" x14ac:dyDescent="0.25">
      <c r="A29" s="3" t="s">
        <v>388</v>
      </c>
      <c r="B29" s="3" t="s">
        <v>423</v>
      </c>
      <c r="C29" s="3"/>
      <c r="D29" s="3">
        <v>2</v>
      </c>
    </row>
    <row r="30" spans="1:4" ht="26.25" customHeight="1" x14ac:dyDescent="0.25">
      <c r="A30" s="3" t="s">
        <v>405</v>
      </c>
      <c r="B30" s="3" t="s">
        <v>424</v>
      </c>
      <c r="C30" s="3"/>
      <c r="D30" s="3">
        <v>1</v>
      </c>
    </row>
    <row r="31" spans="1:4" ht="26.25" customHeight="1" x14ac:dyDescent="0.25">
      <c r="A31" s="3">
        <v>11546369</v>
      </c>
      <c r="B31" s="3" t="s">
        <v>425</v>
      </c>
      <c r="C31" s="3"/>
      <c r="D31" s="3">
        <v>1</v>
      </c>
    </row>
    <row r="32" spans="1:4" ht="26.25" customHeight="1" x14ac:dyDescent="0.25">
      <c r="A32" s="3">
        <v>11546449</v>
      </c>
      <c r="B32" s="3" t="s">
        <v>426</v>
      </c>
      <c r="C32" s="3"/>
      <c r="D32" s="3">
        <v>1</v>
      </c>
    </row>
    <row r="33" spans="1:4" ht="26.25" customHeight="1" x14ac:dyDescent="0.25">
      <c r="A33" s="3">
        <v>11546456</v>
      </c>
      <c r="B33" s="3" t="s">
        <v>427</v>
      </c>
      <c r="C33" s="3"/>
      <c r="D33" s="3">
        <v>1</v>
      </c>
    </row>
    <row r="34" spans="1:4" ht="26.25" customHeight="1" x14ac:dyDescent="0.25">
      <c r="A34" s="3" t="s">
        <v>406</v>
      </c>
      <c r="B34" s="3" t="s">
        <v>428</v>
      </c>
      <c r="C34" s="3"/>
      <c r="D34" s="3">
        <v>1</v>
      </c>
    </row>
    <row r="35" spans="1:4" ht="26.25" customHeight="1" x14ac:dyDescent="0.25">
      <c r="A35" s="3">
        <v>40161567</v>
      </c>
      <c r="B35" s="3" t="s">
        <v>429</v>
      </c>
      <c r="C35" s="3"/>
      <c r="D35" s="3">
        <v>1</v>
      </c>
    </row>
    <row r="36" spans="1:4" ht="26.25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432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mergeCells count="4">
    <mergeCell ref="A1:D1"/>
    <mergeCell ref="A2:D2"/>
    <mergeCell ref="A41:D41"/>
    <mergeCell ref="A42:B42"/>
  </mergeCells>
  <conditionalFormatting sqref="A5:A23">
    <cfRule type="duplicateValues" dxfId="423" priority="6"/>
  </conditionalFormatting>
  <conditionalFormatting sqref="A24:A1048576 A1:A4">
    <cfRule type="duplicateValues" dxfId="422" priority="5"/>
  </conditionalFormatting>
  <conditionalFormatting sqref="B37:B1048576 B1:B4">
    <cfRule type="duplicateValues" dxfId="421" priority="3"/>
    <cfRule type="duplicateValues" dxfId="420" priority="4"/>
  </conditionalFormatting>
  <conditionalFormatting sqref="B5:C5">
    <cfRule type="duplicateValues" dxfId="419" priority="1"/>
  </conditionalFormatting>
  <conditionalFormatting sqref="B6:C23">
    <cfRule type="duplicateValues" dxfId="418" priority="7"/>
  </conditionalFormatting>
  <conditionalFormatting sqref="B24:C36">
    <cfRule type="duplicateValues" dxfId="417" priority="2"/>
  </conditionalFormatting>
  <pageMargins left="0.11811023622047245" right="0.11811023622047245" top="0.15748031496062992" bottom="0.15748031496062992" header="0.11811023622047245" footer="0.11811023622047245"/>
  <pageSetup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3CE0-63CE-4103-B615-E709D00B753D}">
  <sheetPr codeName="Sheet13">
    <pageSetUpPr fitToPage="1"/>
  </sheetPr>
  <dimension ref="A1:D43"/>
  <sheetViews>
    <sheetView workbookViewId="0">
      <selection activeCell="F20" sqref="F20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43" t="s">
        <v>438</v>
      </c>
      <c r="B2" s="44"/>
      <c r="C2" s="44"/>
      <c r="D2" s="44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52</v>
      </c>
      <c r="B5" s="3" t="s">
        <v>461</v>
      </c>
      <c r="C5" s="3"/>
      <c r="D5" s="3">
        <v>5</v>
      </c>
    </row>
    <row r="6" spans="1:4" ht="26.25" customHeight="1" x14ac:dyDescent="0.25">
      <c r="A6" s="3">
        <v>11546449</v>
      </c>
      <c r="B6" s="3" t="s">
        <v>426</v>
      </c>
      <c r="C6" s="3"/>
      <c r="D6" s="3">
        <v>3</v>
      </c>
    </row>
    <row r="7" spans="1:4" ht="26.25" customHeight="1" x14ac:dyDescent="0.25">
      <c r="A7" s="3" t="s">
        <v>15</v>
      </c>
      <c r="B7" s="3" t="s">
        <v>462</v>
      </c>
      <c r="C7" s="3"/>
      <c r="D7" s="3">
        <v>2</v>
      </c>
    </row>
    <row r="8" spans="1:4" ht="26.25" customHeight="1" x14ac:dyDescent="0.25">
      <c r="A8" s="3" t="s">
        <v>86</v>
      </c>
      <c r="B8" s="3" t="s">
        <v>463</v>
      </c>
      <c r="C8" s="3"/>
      <c r="D8" s="3">
        <v>1</v>
      </c>
    </row>
    <row r="9" spans="1:4" ht="26.25" customHeight="1" x14ac:dyDescent="0.25">
      <c r="A9" s="3" t="s">
        <v>393</v>
      </c>
      <c r="B9" s="3" t="s">
        <v>464</v>
      </c>
      <c r="C9" s="3"/>
      <c r="D9" s="3">
        <v>1</v>
      </c>
    </row>
    <row r="10" spans="1:4" ht="26.25" customHeight="1" x14ac:dyDescent="0.25">
      <c r="A10" s="3" t="s">
        <v>458</v>
      </c>
      <c r="B10" s="3" t="s">
        <v>465</v>
      </c>
      <c r="C10" s="3"/>
      <c r="D10" s="3">
        <v>2</v>
      </c>
    </row>
    <row r="11" spans="1:4" ht="26.25" customHeight="1" x14ac:dyDescent="0.25">
      <c r="A11" s="3" t="s">
        <v>10</v>
      </c>
      <c r="B11" s="3" t="s">
        <v>466</v>
      </c>
      <c r="C11" s="3"/>
      <c r="D11" s="3">
        <v>2</v>
      </c>
    </row>
    <row r="12" spans="1:4" ht="26.25" customHeight="1" x14ac:dyDescent="0.25">
      <c r="A12" s="3" t="s">
        <v>391</v>
      </c>
      <c r="B12" s="3" t="s">
        <v>413</v>
      </c>
      <c r="C12" s="3"/>
      <c r="D12" s="3">
        <v>1</v>
      </c>
    </row>
    <row r="13" spans="1:4" ht="26.25" customHeight="1" x14ac:dyDescent="0.25">
      <c r="A13" s="3" t="s">
        <v>400</v>
      </c>
      <c r="B13" s="3" t="s">
        <v>467</v>
      </c>
      <c r="C13" s="3"/>
      <c r="D13" s="3">
        <v>1</v>
      </c>
    </row>
    <row r="14" spans="1:4" ht="26.25" customHeight="1" x14ac:dyDescent="0.25">
      <c r="A14" s="3" t="s">
        <v>459</v>
      </c>
      <c r="B14" s="3" t="s">
        <v>468</v>
      </c>
      <c r="C14" s="3"/>
      <c r="D14" s="3">
        <v>1</v>
      </c>
    </row>
    <row r="15" spans="1:4" ht="26.25" customHeight="1" x14ac:dyDescent="0.25">
      <c r="A15" s="3" t="s">
        <v>389</v>
      </c>
      <c r="B15" s="3" t="s">
        <v>469</v>
      </c>
      <c r="C15" s="3"/>
      <c r="D15" s="3">
        <v>1</v>
      </c>
    </row>
    <row r="16" spans="1:4" ht="26.25" customHeight="1" x14ac:dyDescent="0.25">
      <c r="A16" s="3" t="s">
        <v>460</v>
      </c>
      <c r="B16" s="3" t="s">
        <v>470</v>
      </c>
      <c r="C16" s="3"/>
      <c r="D16" s="3">
        <v>1</v>
      </c>
    </row>
    <row r="17" spans="1:4" ht="26.25" customHeight="1" x14ac:dyDescent="0.25">
      <c r="A17" s="3">
        <v>11549171</v>
      </c>
      <c r="B17" s="3" t="s">
        <v>471</v>
      </c>
      <c r="C17" s="3"/>
      <c r="D17" s="3">
        <v>1</v>
      </c>
    </row>
    <row r="18" spans="1:4" ht="26.25" customHeight="1" x14ac:dyDescent="0.25">
      <c r="A18" s="3">
        <v>6101831</v>
      </c>
      <c r="B18" s="3" t="s">
        <v>472</v>
      </c>
      <c r="C18" s="3"/>
      <c r="D18" s="3">
        <v>3</v>
      </c>
    </row>
    <row r="19" spans="1:4" ht="26.25" customHeight="1" x14ac:dyDescent="0.25">
      <c r="A19" s="3">
        <v>11547369</v>
      </c>
      <c r="B19" s="3" t="s">
        <v>473</v>
      </c>
      <c r="C19" s="3"/>
      <c r="D19" s="3">
        <v>2</v>
      </c>
    </row>
    <row r="20" spans="1:4" ht="26.25" customHeight="1" x14ac:dyDescent="0.25">
      <c r="A20" s="3">
        <v>11546545</v>
      </c>
      <c r="B20" s="3" t="s">
        <v>474</v>
      </c>
      <c r="C20" s="3"/>
      <c r="D20" s="3">
        <v>2</v>
      </c>
    </row>
    <row r="21" spans="1:4" ht="26.25" customHeight="1" x14ac:dyDescent="0.25">
      <c r="A21" s="3" t="s">
        <v>101</v>
      </c>
      <c r="B21" s="3" t="s">
        <v>475</v>
      </c>
      <c r="C21" s="3"/>
      <c r="D21" s="3">
        <v>1</v>
      </c>
    </row>
    <row r="22" spans="1:4" ht="26.25" customHeight="1" x14ac:dyDescent="0.25">
      <c r="A22" s="3">
        <v>11549204</v>
      </c>
      <c r="B22" s="3" t="s">
        <v>476</v>
      </c>
      <c r="C22" s="3"/>
      <c r="D22" s="3">
        <v>2</v>
      </c>
    </row>
    <row r="23" spans="1:4" ht="26.25" customHeight="1" x14ac:dyDescent="0.25">
      <c r="A23" s="3">
        <v>11548535</v>
      </c>
      <c r="B23" s="3" t="s">
        <v>477</v>
      </c>
      <c r="C23" s="3"/>
      <c r="D23" s="3">
        <v>2</v>
      </c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customHeight="1" x14ac:dyDescent="0.25">
      <c r="A29" s="3" t="s">
        <v>89</v>
      </c>
      <c r="B29" s="3" t="s">
        <v>478</v>
      </c>
      <c r="C29" s="3"/>
      <c r="D29" s="3">
        <v>2</v>
      </c>
    </row>
    <row r="30" spans="1:4" ht="26.25" customHeight="1" x14ac:dyDescent="0.25">
      <c r="A30" s="3"/>
      <c r="B30" s="3"/>
      <c r="C30" s="3"/>
      <c r="D30" s="3"/>
    </row>
    <row r="31" spans="1:4" ht="26.25" customHeight="1" x14ac:dyDescent="0.25">
      <c r="A31" s="3"/>
      <c r="B31" s="3"/>
      <c r="C31" s="3"/>
      <c r="D31" s="3"/>
    </row>
    <row r="32" spans="1:4" ht="26.25" customHeight="1" x14ac:dyDescent="0.25">
      <c r="A32" s="3"/>
      <c r="B32" s="3"/>
      <c r="C32" s="3"/>
      <c r="D32" s="3"/>
    </row>
    <row r="33" spans="1:4" ht="26.25" customHeight="1" x14ac:dyDescent="0.25">
      <c r="A33" s="3"/>
      <c r="B33" s="3"/>
      <c r="C33" s="3"/>
      <c r="D33" s="3"/>
    </row>
    <row r="34" spans="1:4" ht="26.25" customHeight="1" x14ac:dyDescent="0.25">
      <c r="A34" s="3"/>
      <c r="B34" s="3"/>
      <c r="C34" s="3"/>
      <c r="D34" s="3"/>
    </row>
    <row r="35" spans="1:4" ht="26.25" customHeight="1" x14ac:dyDescent="0.25">
      <c r="A35" s="3"/>
      <c r="B35" s="3"/>
      <c r="C35" s="3"/>
      <c r="D35" s="3"/>
    </row>
    <row r="36" spans="1:4" ht="26.25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432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mergeCells count="4">
    <mergeCell ref="A1:D1"/>
    <mergeCell ref="A2:D2"/>
    <mergeCell ref="A41:D41"/>
    <mergeCell ref="A42:B42"/>
  </mergeCells>
  <conditionalFormatting sqref="A5:A23">
    <cfRule type="duplicateValues" dxfId="416" priority="6"/>
  </conditionalFormatting>
  <conditionalFormatting sqref="A24:A1048576 A1:A4">
    <cfRule type="duplicateValues" dxfId="415" priority="5"/>
  </conditionalFormatting>
  <conditionalFormatting sqref="B37:B1048576 B1:B4">
    <cfRule type="duplicateValues" dxfId="414" priority="3"/>
    <cfRule type="duplicateValues" dxfId="413" priority="4"/>
  </conditionalFormatting>
  <conditionalFormatting sqref="B5:C5">
    <cfRule type="duplicateValues" dxfId="412" priority="1"/>
  </conditionalFormatting>
  <conditionalFormatting sqref="B6:C23">
    <cfRule type="duplicateValues" dxfId="411" priority="7"/>
  </conditionalFormatting>
  <conditionalFormatting sqref="B24:C36">
    <cfRule type="duplicateValues" dxfId="410" priority="2"/>
  </conditionalFormatting>
  <pageMargins left="0.70866141732283472" right="0.70866141732283472" top="0.74803149606299213" bottom="0.74803149606299213" header="0.31496062992125984" footer="0.31496062992125984"/>
  <pageSetup scale="7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AD83-600B-4171-888C-5DB1E5BC5D8C}">
  <sheetPr codeName="Sheet14">
    <pageSetUpPr fitToPage="1"/>
  </sheetPr>
  <dimension ref="A1:D43"/>
  <sheetViews>
    <sheetView workbookViewId="0">
      <selection activeCell="G15" sqref="G15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43" t="s">
        <v>438</v>
      </c>
      <c r="B2" s="44"/>
      <c r="C2" s="44"/>
      <c r="D2" s="44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136</v>
      </c>
      <c r="B5" s="3" t="s">
        <v>439</v>
      </c>
      <c r="C5" s="3"/>
      <c r="D5" s="3">
        <v>2</v>
      </c>
    </row>
    <row r="6" spans="1:4" ht="26.25" customHeight="1" x14ac:dyDescent="0.25">
      <c r="A6" s="3">
        <v>11549170</v>
      </c>
      <c r="B6" s="3" t="s">
        <v>440</v>
      </c>
      <c r="C6" s="3"/>
      <c r="D6" s="3">
        <v>3</v>
      </c>
    </row>
    <row r="7" spans="1:4" ht="26.25" customHeight="1" x14ac:dyDescent="0.25">
      <c r="A7" s="3" t="s">
        <v>212</v>
      </c>
      <c r="B7" s="3" t="s">
        <v>441</v>
      </c>
      <c r="C7" s="3"/>
      <c r="D7" s="3">
        <v>3</v>
      </c>
    </row>
    <row r="8" spans="1:4" ht="26.25" customHeight="1" x14ac:dyDescent="0.25">
      <c r="A8" s="3" t="s">
        <v>141</v>
      </c>
      <c r="B8" s="3" t="s">
        <v>442</v>
      </c>
      <c r="C8" s="3"/>
      <c r="D8" s="3">
        <v>2</v>
      </c>
    </row>
    <row r="9" spans="1:4" ht="26.25" customHeight="1" x14ac:dyDescent="0.25">
      <c r="A9" s="3" t="s">
        <v>365</v>
      </c>
      <c r="B9" s="3" t="s">
        <v>382</v>
      </c>
      <c r="C9" s="3"/>
      <c r="D9" s="3">
        <v>3</v>
      </c>
    </row>
    <row r="10" spans="1:4" ht="26.25" customHeight="1" x14ac:dyDescent="0.25">
      <c r="A10" s="3">
        <v>500009297</v>
      </c>
      <c r="B10" s="3" t="s">
        <v>443</v>
      </c>
      <c r="C10" s="3"/>
      <c r="D10" s="3">
        <v>2</v>
      </c>
    </row>
    <row r="11" spans="1:4" ht="26.25" customHeight="1" x14ac:dyDescent="0.25">
      <c r="A11" s="3">
        <v>92468</v>
      </c>
      <c r="B11" s="3" t="s">
        <v>444</v>
      </c>
      <c r="C11" s="3"/>
      <c r="D11" s="3">
        <v>1</v>
      </c>
    </row>
    <row r="12" spans="1:4" ht="26.25" customHeight="1" x14ac:dyDescent="0.25">
      <c r="A12" s="3" t="s">
        <v>103</v>
      </c>
      <c r="B12" s="3" t="s">
        <v>445</v>
      </c>
      <c r="C12" s="3"/>
      <c r="D12" s="3">
        <v>1</v>
      </c>
    </row>
    <row r="13" spans="1:4" ht="26.25" customHeight="1" x14ac:dyDescent="0.25">
      <c r="A13" s="3" t="s">
        <v>385</v>
      </c>
      <c r="B13" s="3" t="s">
        <v>446</v>
      </c>
      <c r="C13" s="3"/>
      <c r="D13" s="3">
        <v>1</v>
      </c>
    </row>
    <row r="14" spans="1:4" ht="26.25" customHeight="1" x14ac:dyDescent="0.25">
      <c r="A14" s="3" t="s">
        <v>94</v>
      </c>
      <c r="B14" s="3" t="s">
        <v>447</v>
      </c>
      <c r="C14" s="3"/>
      <c r="D14" s="3">
        <v>1</v>
      </c>
    </row>
    <row r="15" spans="1:4" ht="26.25" customHeight="1" x14ac:dyDescent="0.25">
      <c r="A15" s="3">
        <v>11609280</v>
      </c>
      <c r="B15" s="3" t="s">
        <v>448</v>
      </c>
      <c r="C15" s="3"/>
      <c r="D15" s="3">
        <v>1</v>
      </c>
    </row>
    <row r="16" spans="1:4" ht="26.25" customHeight="1" x14ac:dyDescent="0.25">
      <c r="A16" s="3" t="s">
        <v>52</v>
      </c>
      <c r="B16" s="3" t="s">
        <v>263</v>
      </c>
      <c r="C16" s="3"/>
      <c r="D16" s="3">
        <v>1</v>
      </c>
    </row>
    <row r="17" spans="1:4" ht="26.25" customHeight="1" x14ac:dyDescent="0.25">
      <c r="A17" s="3">
        <v>6503825</v>
      </c>
      <c r="B17" s="3" t="s">
        <v>449</v>
      </c>
      <c r="C17" s="3"/>
      <c r="D17" s="3">
        <v>2</v>
      </c>
    </row>
    <row r="18" spans="1:4" ht="26.25" customHeight="1" x14ac:dyDescent="0.25">
      <c r="A18" s="3" t="s">
        <v>392</v>
      </c>
      <c r="B18" s="3" t="s">
        <v>450</v>
      </c>
      <c r="C18" s="3"/>
      <c r="D18" s="3">
        <v>1</v>
      </c>
    </row>
    <row r="19" spans="1:4" ht="26.25" customHeight="1" x14ac:dyDescent="0.25">
      <c r="A19" s="3">
        <v>11518532</v>
      </c>
      <c r="B19" s="3" t="s">
        <v>451</v>
      </c>
      <c r="C19" s="3"/>
      <c r="D19" s="3">
        <v>1</v>
      </c>
    </row>
    <row r="20" spans="1:4" ht="26.25" customHeight="1" x14ac:dyDescent="0.25">
      <c r="A20" s="3" t="s">
        <v>362</v>
      </c>
      <c r="B20" s="3" t="s">
        <v>452</v>
      </c>
      <c r="C20" s="3"/>
      <c r="D20" s="3">
        <v>2</v>
      </c>
    </row>
    <row r="21" spans="1:4" ht="26.25" customHeight="1" x14ac:dyDescent="0.25">
      <c r="A21" s="3">
        <v>11610128</v>
      </c>
      <c r="B21" s="3" t="s">
        <v>453</v>
      </c>
      <c r="C21" s="3"/>
      <c r="D21" s="3">
        <v>2</v>
      </c>
    </row>
    <row r="22" spans="1:4" ht="26.25" customHeight="1" x14ac:dyDescent="0.25">
      <c r="A22" s="3">
        <v>11602031</v>
      </c>
      <c r="B22" s="3" t="s">
        <v>454</v>
      </c>
      <c r="C22" s="3"/>
      <c r="D22" s="3">
        <v>3</v>
      </c>
    </row>
    <row r="23" spans="1:4" ht="26.25" customHeight="1" x14ac:dyDescent="0.25">
      <c r="A23" s="3">
        <v>54041001</v>
      </c>
      <c r="B23" s="3" t="s">
        <v>455</v>
      </c>
      <c r="C23" s="3"/>
      <c r="D23" s="3">
        <v>1</v>
      </c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customHeight="1" x14ac:dyDescent="0.25">
      <c r="A29" s="3">
        <v>11546703</v>
      </c>
      <c r="B29" s="3" t="s">
        <v>456</v>
      </c>
      <c r="C29" s="3"/>
      <c r="D29" s="3">
        <v>1</v>
      </c>
    </row>
    <row r="30" spans="1:4" ht="26.25" customHeight="1" x14ac:dyDescent="0.25">
      <c r="A30" s="3" t="s">
        <v>436</v>
      </c>
      <c r="B30" s="3" t="s">
        <v>457</v>
      </c>
      <c r="C30" s="3"/>
      <c r="D30" s="3">
        <v>2</v>
      </c>
    </row>
    <row r="31" spans="1:4" ht="26.25" customHeight="1" x14ac:dyDescent="0.25">
      <c r="A31" s="3"/>
      <c r="B31" s="3"/>
      <c r="C31" s="3"/>
      <c r="D31" s="3"/>
    </row>
    <row r="32" spans="1:4" ht="26.25" customHeight="1" x14ac:dyDescent="0.25">
      <c r="A32" s="3"/>
      <c r="B32" s="3"/>
      <c r="C32" s="3"/>
      <c r="D32" s="3"/>
    </row>
    <row r="33" spans="1:4" ht="26.25" customHeight="1" x14ac:dyDescent="0.25">
      <c r="A33" s="3"/>
      <c r="B33" s="3"/>
      <c r="C33" s="3"/>
      <c r="D33" s="3"/>
    </row>
    <row r="34" spans="1:4" ht="26.25" customHeight="1" x14ac:dyDescent="0.25">
      <c r="A34" s="3"/>
      <c r="B34" s="3"/>
      <c r="C34" s="3"/>
      <c r="D34" s="3"/>
    </row>
    <row r="35" spans="1:4" ht="26.25" customHeight="1" x14ac:dyDescent="0.25">
      <c r="A35" s="3"/>
      <c r="B35" s="3"/>
      <c r="C35" s="3"/>
      <c r="D35" s="3"/>
    </row>
    <row r="36" spans="1:4" ht="26.25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432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mergeCells count="4">
    <mergeCell ref="A1:D1"/>
    <mergeCell ref="A2:D2"/>
    <mergeCell ref="A41:D41"/>
    <mergeCell ref="A42:B42"/>
  </mergeCells>
  <conditionalFormatting sqref="A5:A23">
    <cfRule type="duplicateValues" dxfId="409" priority="6"/>
  </conditionalFormatting>
  <conditionalFormatting sqref="A24:A1048576 A1:A4">
    <cfRule type="duplicateValues" dxfId="408" priority="5"/>
  </conditionalFormatting>
  <conditionalFormatting sqref="B37:B1048576 B1:B4">
    <cfRule type="duplicateValues" dxfId="407" priority="3"/>
    <cfRule type="duplicateValues" dxfId="406" priority="4"/>
  </conditionalFormatting>
  <conditionalFormatting sqref="B5:C5">
    <cfRule type="duplicateValues" dxfId="405" priority="1"/>
  </conditionalFormatting>
  <conditionalFormatting sqref="B6:C23">
    <cfRule type="duplicateValues" dxfId="404" priority="7"/>
  </conditionalFormatting>
  <conditionalFormatting sqref="B24:C36">
    <cfRule type="duplicateValues" dxfId="403" priority="2"/>
  </conditionalFormatting>
  <pageMargins left="0.70866141732283472" right="0.51181102362204722" top="0.94488188976377963" bottom="0.55118110236220474" header="0.11811023622047245" footer="0.11811023622047245"/>
  <pageSetup scale="7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E83E-BB01-4008-8ADD-2BEA9ADAA46E}">
  <sheetPr codeName="Sheet15"/>
  <dimension ref="A1:D43"/>
  <sheetViews>
    <sheetView topLeftCell="A22" workbookViewId="0">
      <selection activeCell="G19"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43" t="s">
        <v>438</v>
      </c>
      <c r="B2" s="44"/>
      <c r="C2" s="44"/>
      <c r="D2" s="44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>
        <v>11516133</v>
      </c>
      <c r="B5" s="3" t="s">
        <v>481</v>
      </c>
      <c r="C5" s="3"/>
      <c r="D5" s="3">
        <v>1</v>
      </c>
    </row>
    <row r="6" spans="1:4" ht="26.25" customHeight="1" x14ac:dyDescent="0.25">
      <c r="A6" s="3" t="s">
        <v>53</v>
      </c>
      <c r="B6" s="3" t="s">
        <v>482</v>
      </c>
      <c r="C6" s="3"/>
      <c r="D6" s="3">
        <v>1</v>
      </c>
    </row>
    <row r="7" spans="1:4" ht="26.25" customHeight="1" x14ac:dyDescent="0.25">
      <c r="A7" s="3">
        <v>11546437</v>
      </c>
      <c r="B7" s="3" t="s">
        <v>484</v>
      </c>
      <c r="C7" s="3"/>
      <c r="D7" s="3">
        <v>1</v>
      </c>
    </row>
    <row r="8" spans="1:4" ht="26.25" customHeight="1" x14ac:dyDescent="0.25">
      <c r="A8" s="3" t="s">
        <v>1</v>
      </c>
      <c r="B8" s="3" t="s">
        <v>485</v>
      </c>
      <c r="C8" s="3"/>
      <c r="D8" s="3">
        <v>1</v>
      </c>
    </row>
    <row r="9" spans="1:4" ht="26.25" customHeight="1" x14ac:dyDescent="0.25">
      <c r="A9" s="3">
        <v>11561645</v>
      </c>
      <c r="B9" s="3" t="s">
        <v>486</v>
      </c>
      <c r="C9" s="3"/>
      <c r="D9" s="3">
        <v>2</v>
      </c>
    </row>
    <row r="10" spans="1:4" ht="26.25" customHeight="1" x14ac:dyDescent="0.25">
      <c r="A10" s="3">
        <v>82248</v>
      </c>
      <c r="B10" s="3" t="s">
        <v>314</v>
      </c>
      <c r="C10" s="3"/>
      <c r="D10" s="3">
        <v>1</v>
      </c>
    </row>
    <row r="11" spans="1:4" ht="26.25" customHeight="1" x14ac:dyDescent="0.25">
      <c r="A11" s="3" t="s">
        <v>433</v>
      </c>
      <c r="B11" s="3" t="s">
        <v>503</v>
      </c>
      <c r="C11" s="3"/>
      <c r="D11" s="3">
        <v>1</v>
      </c>
    </row>
    <row r="12" spans="1:4" ht="26.25" customHeight="1" x14ac:dyDescent="0.25">
      <c r="A12" s="3">
        <v>6502979</v>
      </c>
      <c r="B12" s="3" t="s">
        <v>487</v>
      </c>
      <c r="C12" s="3"/>
      <c r="D12" s="3">
        <v>1</v>
      </c>
    </row>
    <row r="13" spans="1:4" ht="26.25" customHeight="1" x14ac:dyDescent="0.25">
      <c r="A13" s="3" t="s">
        <v>434</v>
      </c>
      <c r="B13" s="3" t="s">
        <v>504</v>
      </c>
      <c r="C13" s="3"/>
      <c r="D13" s="3">
        <v>2</v>
      </c>
    </row>
    <row r="14" spans="1:4" ht="26.25" customHeight="1" x14ac:dyDescent="0.25">
      <c r="A14" s="3">
        <v>11546571</v>
      </c>
      <c r="B14" s="3" t="s">
        <v>488</v>
      </c>
      <c r="C14" s="3"/>
      <c r="D14" s="3">
        <v>2</v>
      </c>
    </row>
    <row r="15" spans="1:4" ht="26.25" customHeight="1" x14ac:dyDescent="0.25">
      <c r="A15" s="3">
        <v>40110160</v>
      </c>
      <c r="B15" s="3" t="s">
        <v>489</v>
      </c>
      <c r="C15" s="3"/>
      <c r="D15" s="3">
        <v>1</v>
      </c>
    </row>
    <row r="16" spans="1:4" ht="26.25" customHeight="1" x14ac:dyDescent="0.25">
      <c r="A16" s="3" t="s">
        <v>479</v>
      </c>
      <c r="B16" s="3" t="s">
        <v>490</v>
      </c>
      <c r="C16" s="3"/>
      <c r="D16" s="3">
        <v>1</v>
      </c>
    </row>
    <row r="17" spans="1:4" ht="26.25" customHeight="1" x14ac:dyDescent="0.25">
      <c r="A17" s="3" t="s">
        <v>401</v>
      </c>
      <c r="B17" s="3" t="s">
        <v>491</v>
      </c>
      <c r="C17" s="3"/>
      <c r="D17" s="3">
        <v>1</v>
      </c>
    </row>
    <row r="18" spans="1:4" ht="26.25" customHeight="1" x14ac:dyDescent="0.25">
      <c r="A18" s="3">
        <v>11546368</v>
      </c>
      <c r="B18" s="3" t="s">
        <v>492</v>
      </c>
      <c r="C18" s="3"/>
      <c r="D18" s="3">
        <v>1</v>
      </c>
    </row>
    <row r="19" spans="1:4" ht="26.25" customHeight="1" x14ac:dyDescent="0.25">
      <c r="A19" s="3">
        <v>11561114</v>
      </c>
      <c r="B19" s="3" t="s">
        <v>493</v>
      </c>
      <c r="C19" s="3"/>
      <c r="D19" s="3">
        <v>1</v>
      </c>
    </row>
    <row r="20" spans="1:4" ht="26.25" customHeight="1" x14ac:dyDescent="0.25">
      <c r="A20" s="3" t="s">
        <v>89</v>
      </c>
      <c r="B20" s="3" t="s">
        <v>494</v>
      </c>
      <c r="C20" s="3"/>
      <c r="D20" s="3">
        <v>1</v>
      </c>
    </row>
    <row r="21" spans="1:4" ht="26.25" customHeight="1" x14ac:dyDescent="0.25">
      <c r="A21" s="3" t="s">
        <v>341</v>
      </c>
      <c r="B21" s="3" t="s">
        <v>495</v>
      </c>
      <c r="C21" s="3"/>
      <c r="D21" s="3">
        <v>2</v>
      </c>
    </row>
    <row r="22" spans="1:4" ht="26.25" customHeight="1" x14ac:dyDescent="0.25">
      <c r="A22" s="3">
        <v>11546462</v>
      </c>
      <c r="B22" s="3" t="s">
        <v>496</v>
      </c>
      <c r="C22" s="3"/>
      <c r="D22" s="3">
        <v>5</v>
      </c>
    </row>
    <row r="23" spans="1:4" ht="26.25" customHeight="1" x14ac:dyDescent="0.25">
      <c r="A23" s="3" t="s">
        <v>53</v>
      </c>
      <c r="B23" s="3" t="s">
        <v>483</v>
      </c>
      <c r="C23" s="3"/>
      <c r="D23" s="3">
        <v>1</v>
      </c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customHeight="1" x14ac:dyDescent="0.25">
      <c r="A29" s="3" t="s">
        <v>386</v>
      </c>
      <c r="B29" s="3" t="s">
        <v>497</v>
      </c>
      <c r="C29" s="3"/>
      <c r="D29" s="3">
        <v>2</v>
      </c>
    </row>
    <row r="30" spans="1:4" ht="26.25" customHeight="1" x14ac:dyDescent="0.25">
      <c r="A30" s="3">
        <v>11546448</v>
      </c>
      <c r="B30" s="3" t="s">
        <v>498</v>
      </c>
      <c r="C30" s="3"/>
      <c r="D30" s="3">
        <v>2</v>
      </c>
    </row>
    <row r="31" spans="1:4" ht="26.25" customHeight="1" x14ac:dyDescent="0.25">
      <c r="A31" s="3">
        <v>11602292</v>
      </c>
      <c r="B31" s="3" t="s">
        <v>499</v>
      </c>
      <c r="C31" s="3"/>
      <c r="D31" s="3">
        <v>1</v>
      </c>
    </row>
    <row r="32" spans="1:4" ht="26.25" customHeight="1" x14ac:dyDescent="0.25">
      <c r="A32" s="3" t="s">
        <v>480</v>
      </c>
      <c r="B32" s="3" t="s">
        <v>500</v>
      </c>
      <c r="C32" s="3"/>
      <c r="D32" s="3">
        <v>1</v>
      </c>
    </row>
    <row r="33" spans="1:4" ht="26.25" customHeight="1" x14ac:dyDescent="0.25">
      <c r="A33" s="3">
        <v>11547176</v>
      </c>
      <c r="B33" s="3" t="s">
        <v>501</v>
      </c>
      <c r="C33" s="3"/>
      <c r="D33" s="3">
        <v>1</v>
      </c>
    </row>
    <row r="34" spans="1:4" ht="26.25" customHeight="1" x14ac:dyDescent="0.25">
      <c r="A34" s="3" t="s">
        <v>55</v>
      </c>
      <c r="B34" s="3" t="s">
        <v>502</v>
      </c>
      <c r="C34" s="3"/>
      <c r="D34" s="3">
        <v>2</v>
      </c>
    </row>
    <row r="35" spans="1:4" ht="26.25" customHeight="1" x14ac:dyDescent="0.25">
      <c r="A35" s="3"/>
      <c r="B35" s="3"/>
      <c r="C35" s="3"/>
      <c r="D35" s="3"/>
    </row>
    <row r="36" spans="1:4" ht="26.25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customHeight="1" x14ac:dyDescent="0.25">
      <c r="A41" s="40" t="s">
        <v>432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mergeCells count="4">
    <mergeCell ref="A1:D1"/>
    <mergeCell ref="A2:D2"/>
    <mergeCell ref="A41:D41"/>
    <mergeCell ref="A42:B42"/>
  </mergeCells>
  <conditionalFormatting sqref="A5:A23">
    <cfRule type="duplicateValues" dxfId="402" priority="6"/>
  </conditionalFormatting>
  <conditionalFormatting sqref="A24:A1048576 A1:A4">
    <cfRule type="duplicateValues" dxfId="401" priority="5"/>
  </conditionalFormatting>
  <conditionalFormatting sqref="B37:B1048576 B1:B4">
    <cfRule type="duplicateValues" dxfId="400" priority="3"/>
    <cfRule type="duplicateValues" dxfId="399" priority="4"/>
  </conditionalFormatting>
  <conditionalFormatting sqref="B5:C5">
    <cfRule type="duplicateValues" dxfId="398" priority="1"/>
  </conditionalFormatting>
  <conditionalFormatting sqref="B6:C23">
    <cfRule type="duplicateValues" dxfId="397" priority="7"/>
  </conditionalFormatting>
  <conditionalFormatting sqref="B24:C36">
    <cfRule type="duplicateValues" dxfId="396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F2AB-CA94-4C69-A1AC-877E9F1C04F8}">
  <sheetPr codeName="Sheet16">
    <pageSetUpPr fitToPage="1"/>
  </sheetPr>
  <dimension ref="A1:D43"/>
  <sheetViews>
    <sheetView topLeftCell="A32" workbookViewId="0">
      <selection activeCell="H54"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43" t="s">
        <v>438</v>
      </c>
      <c r="B2" s="44"/>
      <c r="C2" s="44"/>
      <c r="D2" s="44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>
        <v>40109770</v>
      </c>
      <c r="B5" s="3" t="s">
        <v>507</v>
      </c>
      <c r="C5" s="3"/>
      <c r="D5" s="3">
        <v>1</v>
      </c>
    </row>
    <row r="6" spans="1:4" ht="26.25" customHeight="1" x14ac:dyDescent="0.25">
      <c r="A6" s="3" t="s">
        <v>398</v>
      </c>
      <c r="B6" s="3" t="s">
        <v>508</v>
      </c>
      <c r="C6" s="3"/>
      <c r="D6" s="3">
        <v>2</v>
      </c>
    </row>
    <row r="7" spans="1:4" ht="26.25" customHeight="1" x14ac:dyDescent="0.25">
      <c r="A7" s="3" t="s">
        <v>138</v>
      </c>
      <c r="B7" s="3" t="s">
        <v>509</v>
      </c>
      <c r="C7" s="3"/>
      <c r="D7" s="3">
        <v>1</v>
      </c>
    </row>
    <row r="8" spans="1:4" ht="26.25" customHeight="1" x14ac:dyDescent="0.25">
      <c r="A8" s="3" t="s">
        <v>505</v>
      </c>
      <c r="B8" s="3" t="s">
        <v>428</v>
      </c>
      <c r="C8" s="3"/>
      <c r="D8" s="3">
        <v>1</v>
      </c>
    </row>
    <row r="9" spans="1:4" ht="26.25" customHeight="1" x14ac:dyDescent="0.25">
      <c r="A9" s="3" t="s">
        <v>399</v>
      </c>
      <c r="B9" s="3" t="s">
        <v>510</v>
      </c>
      <c r="C9" s="3"/>
      <c r="D9" s="3">
        <v>2</v>
      </c>
    </row>
    <row r="10" spans="1:4" ht="26.25" customHeight="1" x14ac:dyDescent="0.25">
      <c r="A10" s="3" t="s">
        <v>96</v>
      </c>
      <c r="B10" s="3" t="s">
        <v>511</v>
      </c>
      <c r="C10" s="3"/>
      <c r="D10" s="3">
        <v>1</v>
      </c>
    </row>
    <row r="11" spans="1:4" ht="26.25" customHeight="1" x14ac:dyDescent="0.25">
      <c r="A11" s="3" t="s">
        <v>394</v>
      </c>
      <c r="B11" s="3" t="s">
        <v>512</v>
      </c>
      <c r="C11" s="3"/>
      <c r="D11" s="3">
        <v>2</v>
      </c>
    </row>
    <row r="12" spans="1:4" ht="26.25" customHeight="1" x14ac:dyDescent="0.25">
      <c r="A12" s="3">
        <v>11588714</v>
      </c>
      <c r="B12" s="3" t="s">
        <v>513</v>
      </c>
      <c r="C12" s="3"/>
      <c r="D12" s="3">
        <v>2</v>
      </c>
    </row>
    <row r="13" spans="1:4" ht="26.25" customHeight="1" x14ac:dyDescent="0.25">
      <c r="A13" s="3">
        <v>82246</v>
      </c>
      <c r="B13" s="3" t="s">
        <v>514</v>
      </c>
      <c r="C13" s="3"/>
      <c r="D13" s="3">
        <v>1</v>
      </c>
    </row>
    <row r="14" spans="1:4" ht="26.25" customHeight="1" x14ac:dyDescent="0.25">
      <c r="A14" s="3" t="s">
        <v>50</v>
      </c>
      <c r="B14" s="3" t="s">
        <v>515</v>
      </c>
      <c r="C14" s="3"/>
      <c r="D14" s="3">
        <v>1</v>
      </c>
    </row>
    <row r="15" spans="1:4" ht="26.25" customHeight="1" x14ac:dyDescent="0.25">
      <c r="A15" s="3" t="s">
        <v>393</v>
      </c>
      <c r="B15" s="3" t="s">
        <v>464</v>
      </c>
      <c r="C15" s="3"/>
      <c r="D15" s="3">
        <v>1</v>
      </c>
    </row>
    <row r="16" spans="1:4" ht="26.25" customHeight="1" x14ac:dyDescent="0.25">
      <c r="A16" s="3" t="s">
        <v>390</v>
      </c>
      <c r="B16" s="3" t="s">
        <v>516</v>
      </c>
      <c r="C16" s="3"/>
      <c r="D16" s="3">
        <v>2</v>
      </c>
    </row>
    <row r="17" spans="1:4" ht="26.25" customHeight="1" x14ac:dyDescent="0.25">
      <c r="A17" s="3" t="s">
        <v>176</v>
      </c>
      <c r="B17" s="3" t="s">
        <v>517</v>
      </c>
      <c r="C17" s="3"/>
      <c r="D17" s="3">
        <v>1</v>
      </c>
    </row>
    <row r="18" spans="1:4" ht="26.25" customHeight="1" x14ac:dyDescent="0.25">
      <c r="A18" s="3" t="s">
        <v>137</v>
      </c>
      <c r="B18" s="3" t="s">
        <v>148</v>
      </c>
      <c r="C18" s="3"/>
      <c r="D18" s="3">
        <v>1</v>
      </c>
    </row>
    <row r="19" spans="1:4" ht="26.25" customHeight="1" x14ac:dyDescent="0.25">
      <c r="A19" s="3" t="s">
        <v>331</v>
      </c>
      <c r="B19" s="3" t="s">
        <v>518</v>
      </c>
      <c r="C19" s="3"/>
      <c r="D19" s="3">
        <v>1</v>
      </c>
    </row>
    <row r="20" spans="1:4" ht="26.25" customHeight="1" x14ac:dyDescent="0.25">
      <c r="A20" s="3" t="s">
        <v>181</v>
      </c>
      <c r="B20" s="3" t="s">
        <v>519</v>
      </c>
      <c r="C20" s="3"/>
      <c r="D20" s="3">
        <v>1</v>
      </c>
    </row>
    <row r="21" spans="1:4" ht="26.25" customHeight="1" x14ac:dyDescent="0.25">
      <c r="A21" s="3" t="s">
        <v>48</v>
      </c>
      <c r="B21" s="3" t="s">
        <v>520</v>
      </c>
      <c r="C21" s="3"/>
      <c r="D21" s="3">
        <v>2</v>
      </c>
    </row>
    <row r="22" spans="1:4" ht="26.25" customHeight="1" x14ac:dyDescent="0.25">
      <c r="A22" s="3">
        <v>11546545</v>
      </c>
      <c r="B22" s="3" t="s">
        <v>521</v>
      </c>
      <c r="C22" s="3"/>
      <c r="D22" s="3">
        <v>2</v>
      </c>
    </row>
    <row r="23" spans="1:4" ht="26.25" customHeight="1" x14ac:dyDescent="0.25">
      <c r="A23" s="3">
        <v>11609280</v>
      </c>
      <c r="B23" s="3" t="s">
        <v>522</v>
      </c>
      <c r="C23" s="3"/>
      <c r="D23" s="3">
        <v>1</v>
      </c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customHeight="1" x14ac:dyDescent="0.25">
      <c r="A29" s="3" t="s">
        <v>395</v>
      </c>
      <c r="B29" s="3" t="s">
        <v>523</v>
      </c>
      <c r="C29" s="3"/>
      <c r="D29" s="3">
        <v>1</v>
      </c>
    </row>
    <row r="30" spans="1:4" ht="26.25" customHeight="1" x14ac:dyDescent="0.25">
      <c r="A30" s="3">
        <v>11549171</v>
      </c>
      <c r="B30" s="3" t="s">
        <v>471</v>
      </c>
      <c r="C30" s="3"/>
      <c r="D30" s="3">
        <v>1</v>
      </c>
    </row>
    <row r="31" spans="1:4" ht="26.25" customHeight="1" x14ac:dyDescent="0.25">
      <c r="A31" s="3">
        <v>11612261</v>
      </c>
      <c r="B31" s="3" t="s">
        <v>524</v>
      </c>
      <c r="C31" s="3"/>
      <c r="D31" s="3">
        <v>1</v>
      </c>
    </row>
    <row r="32" spans="1:4" ht="26.25" customHeight="1" x14ac:dyDescent="0.25">
      <c r="A32" s="3">
        <v>40173371</v>
      </c>
      <c r="B32" s="3" t="s">
        <v>525</v>
      </c>
      <c r="C32" s="3"/>
      <c r="D32" s="3">
        <v>1</v>
      </c>
    </row>
    <row r="33" spans="1:4" ht="26.25" customHeight="1" x14ac:dyDescent="0.25">
      <c r="A33" s="3" t="s">
        <v>98</v>
      </c>
      <c r="B33" s="3" t="s">
        <v>526</v>
      </c>
      <c r="C33" s="3"/>
      <c r="D33" s="3">
        <v>2</v>
      </c>
    </row>
    <row r="34" spans="1:4" ht="26.25" customHeight="1" x14ac:dyDescent="0.25">
      <c r="A34" s="3" t="s">
        <v>506</v>
      </c>
      <c r="B34" s="3" t="s">
        <v>527</v>
      </c>
      <c r="C34" s="3"/>
      <c r="D34" s="3">
        <v>1</v>
      </c>
    </row>
    <row r="35" spans="1:4" ht="26.25" customHeight="1" x14ac:dyDescent="0.25">
      <c r="A35" s="3" t="s">
        <v>179</v>
      </c>
      <c r="B35" s="3" t="s">
        <v>528</v>
      </c>
      <c r="C35" s="3"/>
      <c r="D35" s="3">
        <v>1</v>
      </c>
    </row>
    <row r="36" spans="1:4" ht="26.25" customHeight="1" x14ac:dyDescent="0.25">
      <c r="A36" s="3" t="s">
        <v>435</v>
      </c>
      <c r="B36" s="3" t="s">
        <v>529</v>
      </c>
      <c r="C36" s="3"/>
      <c r="D36" s="3">
        <v>1</v>
      </c>
    </row>
    <row r="37" spans="1:4" ht="26.25" customHeight="1" x14ac:dyDescent="0.25">
      <c r="A37" s="3">
        <v>15047163</v>
      </c>
      <c r="B37" s="3" t="s">
        <v>530</v>
      </c>
      <c r="C37" s="3"/>
      <c r="D37" s="3">
        <v>1</v>
      </c>
    </row>
    <row r="38" spans="1:4" ht="26.25" customHeight="1" x14ac:dyDescent="0.25">
      <c r="A38" s="3"/>
      <c r="B38" s="3"/>
      <c r="C38" s="3"/>
      <c r="D38" s="3"/>
    </row>
    <row r="39" spans="1:4" ht="26.25" customHeight="1" x14ac:dyDescent="0.25">
      <c r="A39" s="3"/>
      <c r="B39" s="3"/>
      <c r="C39" s="3"/>
      <c r="D39" s="3"/>
    </row>
    <row r="40" spans="1:4" ht="26.25" customHeight="1" x14ac:dyDescent="0.25">
      <c r="A40" s="3"/>
      <c r="B40" s="3"/>
      <c r="C40" s="3"/>
      <c r="D40" s="3"/>
    </row>
    <row r="41" spans="1:4" ht="26.25" customHeight="1" x14ac:dyDescent="0.25">
      <c r="A41" s="40" t="s">
        <v>432</v>
      </c>
      <c r="B41" s="41"/>
      <c r="C41" s="42"/>
      <c r="D41" s="42"/>
    </row>
    <row r="42" spans="1:4" ht="26.25" customHeight="1" thickBot="1" x14ac:dyDescent="0.3">
      <c r="A42" s="39" t="s">
        <v>0</v>
      </c>
      <c r="B42" s="39"/>
      <c r="C42" s="2"/>
      <c r="D42" s="1">
        <f>+SUM(D5:D40)</f>
        <v>36</v>
      </c>
    </row>
    <row r="43" spans="1:4" ht="15.75" thickTop="1" x14ac:dyDescent="0.25"/>
  </sheetData>
  <mergeCells count="4">
    <mergeCell ref="A1:D1"/>
    <mergeCell ref="A2:D2"/>
    <mergeCell ref="A41:D41"/>
    <mergeCell ref="A42:B42"/>
  </mergeCells>
  <conditionalFormatting sqref="A5:A23">
    <cfRule type="duplicateValues" dxfId="395" priority="6"/>
  </conditionalFormatting>
  <conditionalFormatting sqref="A24:A1048576 A1:A4">
    <cfRule type="duplicateValues" dxfId="394" priority="5"/>
  </conditionalFormatting>
  <conditionalFormatting sqref="B37:B1048576 B1:B4">
    <cfRule type="duplicateValues" dxfId="393" priority="3"/>
    <cfRule type="duplicateValues" dxfId="392" priority="4"/>
  </conditionalFormatting>
  <conditionalFormatting sqref="B5:C5">
    <cfRule type="duplicateValues" dxfId="391" priority="1"/>
  </conditionalFormatting>
  <conditionalFormatting sqref="B6:C23">
    <cfRule type="duplicateValues" dxfId="390" priority="7"/>
  </conditionalFormatting>
  <conditionalFormatting sqref="B24:C36">
    <cfRule type="duplicateValues" dxfId="389" priority="2"/>
  </conditionalFormatting>
  <pageMargins left="0.31496062992125984" right="0.31496062992125984" top="0.35433070866141736" bottom="0.35433070866141736" header="0.11811023622047245" footer="0.11811023622047245"/>
  <pageSetup scale="7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1B14-DF1C-4D81-9E68-E5D25642239B}">
  <sheetPr codeName="Sheet17">
    <pageSetUpPr fitToPage="1"/>
  </sheetPr>
  <dimension ref="A1:D46"/>
  <sheetViews>
    <sheetView topLeftCell="A35" workbookViewId="0">
      <selection activeCell="G11" sqref="G11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43" t="s">
        <v>438</v>
      </c>
      <c r="B2" s="44"/>
      <c r="C2" s="44"/>
      <c r="D2" s="44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 t="s">
        <v>531</v>
      </c>
      <c r="B5" s="3" t="s">
        <v>535</v>
      </c>
      <c r="C5" s="3"/>
      <c r="D5" s="3">
        <v>1</v>
      </c>
    </row>
    <row r="6" spans="1:4" ht="26.25" customHeight="1" x14ac:dyDescent="0.25">
      <c r="A6" s="3">
        <v>11569637</v>
      </c>
      <c r="B6" s="3" t="s">
        <v>536</v>
      </c>
      <c r="C6" s="3"/>
      <c r="D6" s="3">
        <v>1</v>
      </c>
    </row>
    <row r="7" spans="1:4" ht="26.25" customHeight="1" x14ac:dyDescent="0.25">
      <c r="A7" s="3">
        <v>11546366</v>
      </c>
      <c r="B7" s="3" t="s">
        <v>537</v>
      </c>
      <c r="C7" s="3"/>
      <c r="D7" s="3">
        <v>1</v>
      </c>
    </row>
    <row r="8" spans="1:4" ht="26.25" customHeight="1" x14ac:dyDescent="0.25">
      <c r="A8" s="3" t="s">
        <v>397</v>
      </c>
      <c r="B8" s="3" t="s">
        <v>293</v>
      </c>
      <c r="C8" s="3"/>
      <c r="D8" s="3">
        <v>1</v>
      </c>
    </row>
    <row r="9" spans="1:4" ht="26.25" customHeight="1" x14ac:dyDescent="0.25">
      <c r="A9" s="3">
        <v>82253</v>
      </c>
      <c r="B9" s="3" t="s">
        <v>538</v>
      </c>
      <c r="C9" s="3"/>
      <c r="D9" s="3">
        <v>1</v>
      </c>
    </row>
    <row r="10" spans="1:4" ht="26.25" customHeight="1" x14ac:dyDescent="0.25">
      <c r="A10" s="3">
        <v>11548414</v>
      </c>
      <c r="B10" s="3" t="s">
        <v>539</v>
      </c>
      <c r="C10" s="3"/>
      <c r="D10" s="3">
        <v>1</v>
      </c>
    </row>
    <row r="11" spans="1:4" ht="26.25" customHeight="1" x14ac:dyDescent="0.25">
      <c r="A11" s="3">
        <v>11546378</v>
      </c>
      <c r="B11" s="3" t="s">
        <v>540</v>
      </c>
      <c r="C11" s="3"/>
      <c r="D11" s="3">
        <v>1</v>
      </c>
    </row>
    <row r="12" spans="1:4" ht="26.25" customHeight="1" x14ac:dyDescent="0.25">
      <c r="A12" s="3" t="s">
        <v>97</v>
      </c>
      <c r="B12" s="3" t="s">
        <v>541</v>
      </c>
      <c r="C12" s="3"/>
      <c r="D12" s="3">
        <v>1</v>
      </c>
    </row>
    <row r="13" spans="1:4" ht="26.25" customHeight="1" x14ac:dyDescent="0.25">
      <c r="A13" s="3" t="s">
        <v>532</v>
      </c>
      <c r="B13" s="3" t="s">
        <v>542</v>
      </c>
      <c r="C13" s="3"/>
      <c r="D13" s="3">
        <v>1</v>
      </c>
    </row>
    <row r="14" spans="1:4" ht="26.25" customHeight="1" x14ac:dyDescent="0.25">
      <c r="A14" s="3" t="s">
        <v>437</v>
      </c>
      <c r="B14" s="3" t="s">
        <v>543</v>
      </c>
      <c r="C14" s="3"/>
      <c r="D14" s="3">
        <v>2</v>
      </c>
    </row>
    <row r="15" spans="1:4" ht="26.25" customHeight="1" x14ac:dyDescent="0.25">
      <c r="A15" s="3" t="s">
        <v>396</v>
      </c>
      <c r="B15" s="3" t="s">
        <v>544</v>
      </c>
      <c r="C15" s="3"/>
      <c r="D15" s="3">
        <v>1</v>
      </c>
    </row>
    <row r="16" spans="1:4" ht="26.25" customHeight="1" x14ac:dyDescent="0.25">
      <c r="A16" s="3">
        <v>11549168</v>
      </c>
      <c r="B16" s="3" t="s">
        <v>545</v>
      </c>
      <c r="C16" s="3"/>
      <c r="D16" s="3">
        <v>2</v>
      </c>
    </row>
    <row r="17" spans="1:4" ht="26.25" customHeight="1" x14ac:dyDescent="0.25">
      <c r="A17" s="3" t="s">
        <v>389</v>
      </c>
      <c r="B17" s="3" t="s">
        <v>546</v>
      </c>
      <c r="C17" s="3"/>
      <c r="D17" s="3">
        <v>1</v>
      </c>
    </row>
    <row r="18" spans="1:4" ht="26.25" customHeight="1" x14ac:dyDescent="0.25">
      <c r="A18" s="3" t="s">
        <v>142</v>
      </c>
      <c r="B18" s="3" t="s">
        <v>547</v>
      </c>
      <c r="C18" s="3"/>
      <c r="D18" s="3">
        <v>1</v>
      </c>
    </row>
    <row r="19" spans="1:4" ht="26.25" customHeight="1" x14ac:dyDescent="0.25">
      <c r="A19" s="3" t="s">
        <v>141</v>
      </c>
      <c r="B19" s="3" t="s">
        <v>548</v>
      </c>
      <c r="C19" s="3"/>
      <c r="D19" s="3">
        <v>1</v>
      </c>
    </row>
    <row r="20" spans="1:4" ht="26.25" customHeight="1" x14ac:dyDescent="0.25">
      <c r="A20" s="3">
        <v>90280051</v>
      </c>
      <c r="B20" s="3" t="s">
        <v>549</v>
      </c>
      <c r="C20" s="3"/>
      <c r="D20" s="3">
        <v>1</v>
      </c>
    </row>
    <row r="21" spans="1:4" ht="26.25" customHeight="1" x14ac:dyDescent="0.25">
      <c r="A21" s="3">
        <v>11602326</v>
      </c>
      <c r="B21" s="3" t="s">
        <v>550</v>
      </c>
      <c r="C21" s="3"/>
      <c r="D21" s="3">
        <v>1</v>
      </c>
    </row>
    <row r="22" spans="1:4" ht="26.25" customHeight="1" x14ac:dyDescent="0.25">
      <c r="A22" s="3">
        <v>6503825</v>
      </c>
      <c r="B22" s="3" t="s">
        <v>551</v>
      </c>
      <c r="C22" s="3"/>
      <c r="D22" s="3">
        <v>1</v>
      </c>
    </row>
    <row r="23" spans="1:4" ht="26.25" customHeight="1" x14ac:dyDescent="0.25">
      <c r="A23" s="3">
        <v>40073474</v>
      </c>
      <c r="B23" s="3" t="s">
        <v>552</v>
      </c>
      <c r="C23" s="3"/>
      <c r="D23" s="3">
        <v>1</v>
      </c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customHeight="1" x14ac:dyDescent="0.25">
      <c r="A29" s="3" t="s">
        <v>384</v>
      </c>
      <c r="B29" s="3" t="s">
        <v>553</v>
      </c>
      <c r="C29" s="3"/>
      <c r="D29" s="3">
        <v>2</v>
      </c>
    </row>
    <row r="30" spans="1:4" ht="26.25" customHeight="1" x14ac:dyDescent="0.25">
      <c r="A30" s="3" t="s">
        <v>533</v>
      </c>
      <c r="B30" s="3" t="s">
        <v>554</v>
      </c>
      <c r="C30" s="3"/>
      <c r="D30" s="3">
        <v>1</v>
      </c>
    </row>
    <row r="31" spans="1:4" ht="26.25" customHeight="1" x14ac:dyDescent="0.25">
      <c r="A31" s="3" t="s">
        <v>142</v>
      </c>
      <c r="B31" s="3" t="s">
        <v>547</v>
      </c>
      <c r="C31" s="3"/>
      <c r="D31" s="3">
        <v>1</v>
      </c>
    </row>
    <row r="32" spans="1:4" ht="26.25" customHeight="1" x14ac:dyDescent="0.25">
      <c r="A32" s="3">
        <v>6503825</v>
      </c>
      <c r="B32" s="3" t="s">
        <v>551</v>
      </c>
      <c r="C32" s="3"/>
      <c r="D32" s="3">
        <v>1</v>
      </c>
    </row>
    <row r="33" spans="1:4" ht="26.25" customHeight="1" x14ac:dyDescent="0.25">
      <c r="A33" s="3" t="s">
        <v>336</v>
      </c>
      <c r="B33" s="3" t="s">
        <v>555</v>
      </c>
      <c r="C33" s="3"/>
      <c r="D33" s="3">
        <v>1</v>
      </c>
    </row>
    <row r="34" spans="1:4" ht="26.25" customHeight="1" x14ac:dyDescent="0.25">
      <c r="A34" s="3">
        <v>11549204</v>
      </c>
      <c r="B34" s="3" t="s">
        <v>556</v>
      </c>
      <c r="C34" s="3"/>
      <c r="D34" s="3">
        <v>1</v>
      </c>
    </row>
    <row r="35" spans="1:4" ht="26.25" customHeight="1" x14ac:dyDescent="0.25">
      <c r="A35" s="3" t="s">
        <v>52</v>
      </c>
      <c r="B35" s="3" t="s">
        <v>557</v>
      </c>
      <c r="C35" s="3"/>
      <c r="D35" s="3">
        <v>1</v>
      </c>
    </row>
    <row r="36" spans="1:4" ht="26.25" customHeight="1" x14ac:dyDescent="0.25">
      <c r="A36" s="3" t="s">
        <v>534</v>
      </c>
      <c r="B36" s="3" t="s">
        <v>558</v>
      </c>
      <c r="C36" s="3"/>
      <c r="D36" s="3">
        <v>1</v>
      </c>
    </row>
    <row r="37" spans="1:4" ht="26.25" customHeight="1" x14ac:dyDescent="0.25">
      <c r="A37" s="3" t="s">
        <v>209</v>
      </c>
      <c r="B37" s="3" t="s">
        <v>559</v>
      </c>
      <c r="C37" s="3"/>
      <c r="D37" s="3">
        <v>2</v>
      </c>
    </row>
    <row r="38" spans="1:4" ht="26.25" customHeight="1" x14ac:dyDescent="0.25">
      <c r="A38" s="3">
        <v>11546571</v>
      </c>
      <c r="B38" s="3" t="s">
        <v>488</v>
      </c>
      <c r="C38" s="3"/>
      <c r="D38" s="3">
        <v>1</v>
      </c>
    </row>
    <row r="39" spans="1:4" ht="26.25" customHeight="1" x14ac:dyDescent="0.25">
      <c r="A39" s="3" t="s">
        <v>91</v>
      </c>
      <c r="B39" s="3" t="s">
        <v>560</v>
      </c>
      <c r="C39" s="3"/>
      <c r="D39" s="3">
        <v>1</v>
      </c>
    </row>
    <row r="40" spans="1:4" ht="26.25" customHeight="1" x14ac:dyDescent="0.25">
      <c r="A40" s="3">
        <v>11548147</v>
      </c>
      <c r="B40" s="3" t="s">
        <v>561</v>
      </c>
      <c r="C40" s="3"/>
      <c r="D40" s="3">
        <v>1</v>
      </c>
    </row>
    <row r="41" spans="1:4" ht="26.25" customHeight="1" x14ac:dyDescent="0.25">
      <c r="A41" s="3" t="s">
        <v>95</v>
      </c>
      <c r="B41" s="3" t="s">
        <v>562</v>
      </c>
      <c r="C41" s="3"/>
      <c r="D41" s="3">
        <v>1</v>
      </c>
    </row>
    <row r="42" spans="1:4" ht="26.25" customHeight="1" x14ac:dyDescent="0.25">
      <c r="A42" s="3"/>
      <c r="B42" s="3"/>
      <c r="C42" s="3"/>
      <c r="D42" s="3"/>
    </row>
    <row r="43" spans="1:4" ht="26.25" customHeight="1" x14ac:dyDescent="0.25">
      <c r="A43" s="3"/>
      <c r="B43" s="3"/>
      <c r="C43" s="3"/>
      <c r="D43" s="3"/>
    </row>
    <row r="44" spans="1:4" ht="26.25" customHeight="1" x14ac:dyDescent="0.25">
      <c r="A44" s="40" t="s">
        <v>432</v>
      </c>
      <c r="B44" s="41"/>
      <c r="C44" s="42"/>
      <c r="D44" s="42"/>
    </row>
    <row r="45" spans="1:4" ht="26.25" customHeight="1" thickBot="1" x14ac:dyDescent="0.3">
      <c r="A45" s="39" t="s">
        <v>0</v>
      </c>
      <c r="B45" s="39"/>
      <c r="C45" s="2"/>
      <c r="D45" s="1">
        <f>+SUM(D5:D43)</f>
        <v>36</v>
      </c>
    </row>
    <row r="46" spans="1:4" ht="15.75" thickTop="1" x14ac:dyDescent="0.25"/>
  </sheetData>
  <mergeCells count="4">
    <mergeCell ref="A1:D1"/>
    <mergeCell ref="A2:D2"/>
    <mergeCell ref="A44:D44"/>
    <mergeCell ref="A45:B45"/>
  </mergeCells>
  <conditionalFormatting sqref="A5:A23">
    <cfRule type="duplicateValues" dxfId="388" priority="6"/>
  </conditionalFormatting>
  <conditionalFormatting sqref="A24:A1048576 A1:A4">
    <cfRule type="duplicateValues" dxfId="387" priority="5"/>
  </conditionalFormatting>
  <conditionalFormatting sqref="B37:B1048576 B1:B4">
    <cfRule type="duplicateValues" dxfId="386" priority="3"/>
    <cfRule type="duplicateValues" dxfId="385" priority="4"/>
  </conditionalFormatting>
  <conditionalFormatting sqref="B5:C5">
    <cfRule type="duplicateValues" dxfId="384" priority="1"/>
  </conditionalFormatting>
  <conditionalFormatting sqref="B6:C23">
    <cfRule type="duplicateValues" dxfId="383" priority="7"/>
  </conditionalFormatting>
  <conditionalFormatting sqref="B24:C36">
    <cfRule type="duplicateValues" dxfId="382" priority="2"/>
  </conditionalFormatting>
  <pageMargins left="0.11811023622047245" right="0.11811023622047245" top="0.15748031496062992" bottom="0.15748031496062992" header="0.11811023622047245" footer="0.11811023622047245"/>
  <pageSetup scale="7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AC69-E533-4CD5-AA8B-15EBD58ABDBB}">
  <sheetPr codeName="Sheet18">
    <tabColor rgb="FFFF0000"/>
    <pageSetUpPr fitToPage="1"/>
  </sheetPr>
  <dimension ref="A1:D46"/>
  <sheetViews>
    <sheetView topLeftCell="A17" workbookViewId="0">
      <selection activeCell="B7" sqref="B7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46143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customHeight="1" x14ac:dyDescent="0.25">
      <c r="A5" s="3">
        <v>11549204</v>
      </c>
      <c r="B5" s="3" t="s">
        <v>556</v>
      </c>
      <c r="C5" s="3">
        <v>702737</v>
      </c>
      <c r="D5" s="3">
        <v>2</v>
      </c>
    </row>
    <row r="6" spans="1:4" ht="26.25" customHeight="1" x14ac:dyDescent="0.25">
      <c r="A6" s="3">
        <v>11602031</v>
      </c>
      <c r="B6" s="3" t="s">
        <v>565</v>
      </c>
      <c r="C6" s="3">
        <v>702721</v>
      </c>
      <c r="D6" s="3">
        <v>2</v>
      </c>
    </row>
    <row r="7" spans="1:4" ht="26.25" customHeight="1" x14ac:dyDescent="0.25">
      <c r="A7" s="3" t="s">
        <v>101</v>
      </c>
      <c r="B7" s="3" t="s">
        <v>566</v>
      </c>
      <c r="C7" s="3">
        <v>697397</v>
      </c>
      <c r="D7" s="3">
        <v>2</v>
      </c>
    </row>
    <row r="8" spans="1:4" ht="26.25" customHeight="1" x14ac:dyDescent="0.25">
      <c r="A8" s="3" t="s">
        <v>12</v>
      </c>
      <c r="B8" s="3" t="s">
        <v>567</v>
      </c>
      <c r="C8" s="3">
        <v>701291</v>
      </c>
      <c r="D8" s="3">
        <v>4</v>
      </c>
    </row>
    <row r="9" spans="1:4" ht="26.25" customHeight="1" x14ac:dyDescent="0.25">
      <c r="A9" s="3" t="s">
        <v>389</v>
      </c>
      <c r="B9" s="3" t="s">
        <v>568</v>
      </c>
      <c r="C9" s="3">
        <v>699595</v>
      </c>
      <c r="D9" s="3">
        <v>3</v>
      </c>
    </row>
    <row r="10" spans="1:4" ht="26.25" customHeight="1" x14ac:dyDescent="0.25">
      <c r="A10" s="3">
        <v>11609280</v>
      </c>
      <c r="B10" s="3" t="s">
        <v>569</v>
      </c>
      <c r="C10" s="3">
        <v>702119</v>
      </c>
      <c r="D10" s="3">
        <v>2</v>
      </c>
    </row>
    <row r="11" spans="1:4" ht="26.25" customHeight="1" x14ac:dyDescent="0.25">
      <c r="A11" s="3">
        <v>11602326</v>
      </c>
      <c r="B11" s="3" t="s">
        <v>550</v>
      </c>
      <c r="C11" s="3">
        <v>702952</v>
      </c>
      <c r="D11" s="3">
        <v>2</v>
      </c>
    </row>
    <row r="12" spans="1:4" ht="26.25" customHeight="1" x14ac:dyDescent="0.25">
      <c r="A12" s="3" t="s">
        <v>460</v>
      </c>
      <c r="B12" s="3" t="s">
        <v>570</v>
      </c>
      <c r="C12" s="3">
        <v>702558</v>
      </c>
      <c r="D12" s="3">
        <v>1</v>
      </c>
    </row>
    <row r="13" spans="1:4" ht="26.25" customHeight="1" x14ac:dyDescent="0.25">
      <c r="A13" s="3" t="s">
        <v>175</v>
      </c>
      <c r="B13" s="3" t="s">
        <v>571</v>
      </c>
      <c r="C13" s="3">
        <v>701003</v>
      </c>
      <c r="D13" s="3">
        <v>2</v>
      </c>
    </row>
    <row r="14" spans="1:4" ht="26.25" customHeight="1" x14ac:dyDescent="0.25">
      <c r="A14" s="3">
        <v>11546703</v>
      </c>
      <c r="B14" s="3" t="s">
        <v>572</v>
      </c>
      <c r="C14" s="3">
        <v>697419</v>
      </c>
      <c r="D14" s="3">
        <v>3</v>
      </c>
    </row>
    <row r="15" spans="1:4" ht="26.25" customHeight="1" x14ac:dyDescent="0.25">
      <c r="A15" s="3" t="s">
        <v>52</v>
      </c>
      <c r="B15" s="3" t="s">
        <v>573</v>
      </c>
      <c r="C15" s="3">
        <v>700656</v>
      </c>
      <c r="D15" s="3">
        <v>3</v>
      </c>
    </row>
    <row r="16" spans="1:4" ht="26.25" customHeight="1" x14ac:dyDescent="0.25">
      <c r="A16" s="3">
        <v>11610126</v>
      </c>
      <c r="B16" s="3" t="s">
        <v>574</v>
      </c>
      <c r="C16" s="3">
        <v>697414</v>
      </c>
      <c r="D16" s="3">
        <v>2</v>
      </c>
    </row>
    <row r="17" spans="1:4" ht="26.25" customHeight="1" x14ac:dyDescent="0.25">
      <c r="A17" s="3" t="s">
        <v>96</v>
      </c>
      <c r="B17" s="3" t="s">
        <v>511</v>
      </c>
      <c r="C17" s="3">
        <v>697323</v>
      </c>
      <c r="D17" s="3">
        <v>1</v>
      </c>
    </row>
    <row r="18" spans="1:4" ht="26.25" customHeight="1" x14ac:dyDescent="0.25">
      <c r="A18" s="3" t="s">
        <v>1</v>
      </c>
      <c r="B18" s="3" t="s">
        <v>575</v>
      </c>
      <c r="C18" s="3">
        <v>696913</v>
      </c>
      <c r="D18" s="3">
        <v>1</v>
      </c>
    </row>
    <row r="19" spans="1:4" ht="26.25" customHeight="1" x14ac:dyDescent="0.25">
      <c r="A19" s="3" t="s">
        <v>92</v>
      </c>
      <c r="B19" s="3" t="s">
        <v>472</v>
      </c>
      <c r="C19" s="3">
        <v>702940</v>
      </c>
      <c r="D19" s="3">
        <v>1</v>
      </c>
    </row>
    <row r="20" spans="1:4" ht="26.25" customHeight="1" x14ac:dyDescent="0.25">
      <c r="A20" s="3" t="s">
        <v>10</v>
      </c>
      <c r="B20" s="3" t="s">
        <v>576</v>
      </c>
      <c r="C20" s="3">
        <v>701896</v>
      </c>
      <c r="D20" s="3">
        <v>1</v>
      </c>
    </row>
    <row r="21" spans="1:4" ht="26.25" customHeight="1" x14ac:dyDescent="0.25">
      <c r="A21" s="3" t="s">
        <v>564</v>
      </c>
      <c r="B21" s="3" t="s">
        <v>577</v>
      </c>
      <c r="C21" s="3">
        <v>696048</v>
      </c>
      <c r="D21" s="3">
        <v>2</v>
      </c>
    </row>
    <row r="22" spans="1:4" ht="26.25" customHeight="1" x14ac:dyDescent="0.25">
      <c r="A22" s="3" t="s">
        <v>89</v>
      </c>
      <c r="B22" s="3" t="s">
        <v>578</v>
      </c>
      <c r="C22" s="3">
        <v>701418</v>
      </c>
      <c r="D22" s="3">
        <v>2</v>
      </c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hidden="1" customHeight="1" x14ac:dyDescent="0.25">
      <c r="A29" s="3"/>
      <c r="B29" s="3"/>
      <c r="C29" s="3"/>
      <c r="D29" s="3"/>
    </row>
    <row r="30" spans="1:4" ht="26.25" hidden="1" customHeight="1" x14ac:dyDescent="0.25">
      <c r="A30" s="3"/>
      <c r="B30" s="3"/>
      <c r="C30" s="3"/>
      <c r="D30" s="3"/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customHeight="1" x14ac:dyDescent="0.25">
      <c r="A44" s="40" t="s">
        <v>563</v>
      </c>
      <c r="B44" s="41"/>
      <c r="C44" s="42"/>
      <c r="D44" s="42"/>
    </row>
    <row r="45" spans="1:4" ht="26.25" customHeight="1" thickBot="1" x14ac:dyDescent="0.3">
      <c r="A45" s="39" t="s">
        <v>0</v>
      </c>
      <c r="B45" s="39"/>
      <c r="C45" s="2"/>
      <c r="D45" s="1">
        <f>+SUM(D5:D43)</f>
        <v>36</v>
      </c>
    </row>
    <row r="46" spans="1:4" ht="15.75" thickTop="1" x14ac:dyDescent="0.25"/>
  </sheetData>
  <mergeCells count="4">
    <mergeCell ref="A1:D1"/>
    <mergeCell ref="A2:D2"/>
    <mergeCell ref="A44:D44"/>
    <mergeCell ref="A45:B45"/>
  </mergeCells>
  <conditionalFormatting sqref="A5:A23">
    <cfRule type="duplicateValues" dxfId="381" priority="9"/>
  </conditionalFormatting>
  <conditionalFormatting sqref="A24:A1048576 A1:A4">
    <cfRule type="duplicateValues" dxfId="380" priority="8"/>
  </conditionalFormatting>
  <conditionalFormatting sqref="B37:B1048576 B1:B4">
    <cfRule type="duplicateValues" dxfId="379" priority="6"/>
    <cfRule type="duplicateValues" dxfId="378" priority="7"/>
  </conditionalFormatting>
  <conditionalFormatting sqref="B5:C5">
    <cfRule type="duplicateValues" dxfId="377" priority="2"/>
  </conditionalFormatting>
  <conditionalFormatting sqref="B6:C22">
    <cfRule type="duplicateValues" dxfId="376" priority="1"/>
  </conditionalFormatting>
  <conditionalFormatting sqref="B23:C23">
    <cfRule type="duplicateValues" dxfId="375" priority="10"/>
  </conditionalFormatting>
  <conditionalFormatting sqref="B24:C36">
    <cfRule type="duplicateValues" dxfId="374" priority="5"/>
  </conditionalFormatting>
  <pageMargins left="0.11811023622047245" right="0.11811023622047245" top="0.15748031496062992" bottom="0.15748031496062992" header="0.11811023622047245" footer="0.11811023622047245"/>
  <pageSetup scale="7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BDAC-2C8A-40A9-9087-FBBDF477EB81}">
  <sheetPr codeName="Sheet19">
    <tabColor rgb="FFFF0000"/>
    <pageSetUpPr fitToPage="1"/>
  </sheetPr>
  <dimension ref="A1:E46"/>
  <sheetViews>
    <sheetView topLeftCell="A18" zoomScale="110" zoomScaleNormal="110" workbookViewId="0">
      <selection activeCell="E30" sqref="E30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46144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>
        <v>11549170</v>
      </c>
      <c r="B5" s="3" t="s">
        <v>580</v>
      </c>
      <c r="C5" s="3">
        <v>701419</v>
      </c>
      <c r="D5" s="3">
        <v>3</v>
      </c>
      <c r="E5">
        <f>+D5*400</f>
        <v>1200</v>
      </c>
    </row>
    <row r="6" spans="1:5" ht="26.25" customHeight="1" x14ac:dyDescent="0.25">
      <c r="A6" s="3">
        <v>91054</v>
      </c>
      <c r="B6" s="3" t="s">
        <v>581</v>
      </c>
      <c r="C6" s="3">
        <v>695803</v>
      </c>
      <c r="D6" s="3">
        <v>1</v>
      </c>
    </row>
    <row r="7" spans="1:5" ht="26.25" customHeight="1" x14ac:dyDescent="0.25">
      <c r="A7" s="3">
        <v>11546365</v>
      </c>
      <c r="B7" s="3" t="s">
        <v>601</v>
      </c>
      <c r="C7" s="3">
        <v>683691</v>
      </c>
      <c r="D7" s="3">
        <v>1</v>
      </c>
    </row>
    <row r="8" spans="1:5" ht="26.25" customHeight="1" x14ac:dyDescent="0.25">
      <c r="A8" s="3" t="s">
        <v>213</v>
      </c>
      <c r="B8" s="3" t="s">
        <v>582</v>
      </c>
      <c r="C8" s="3">
        <v>701889</v>
      </c>
      <c r="D8" s="3">
        <v>1</v>
      </c>
    </row>
    <row r="9" spans="1:5" ht="26.25" customHeight="1" x14ac:dyDescent="0.25">
      <c r="A9" s="3" t="s">
        <v>179</v>
      </c>
      <c r="B9" s="3" t="s">
        <v>583</v>
      </c>
      <c r="C9" s="3">
        <v>701248</v>
      </c>
      <c r="D9" s="3">
        <v>1</v>
      </c>
    </row>
    <row r="10" spans="1:5" ht="26.25" customHeight="1" x14ac:dyDescent="0.25">
      <c r="A10" s="3" t="s">
        <v>435</v>
      </c>
      <c r="B10" s="3" t="s">
        <v>584</v>
      </c>
      <c r="C10" s="3">
        <v>701259</v>
      </c>
      <c r="D10" s="3">
        <v>1</v>
      </c>
    </row>
    <row r="11" spans="1:5" ht="26.25" customHeight="1" x14ac:dyDescent="0.25">
      <c r="A11" s="3" t="s">
        <v>12</v>
      </c>
      <c r="B11" s="3" t="s">
        <v>585</v>
      </c>
      <c r="C11" s="3">
        <v>701288</v>
      </c>
      <c r="D11" s="3">
        <v>1</v>
      </c>
    </row>
    <row r="12" spans="1:5" ht="26.25" customHeight="1" x14ac:dyDescent="0.25">
      <c r="A12" s="3" t="s">
        <v>49</v>
      </c>
      <c r="B12" s="3" t="s">
        <v>586</v>
      </c>
      <c r="C12" s="3">
        <v>700566</v>
      </c>
      <c r="D12" s="3">
        <v>1</v>
      </c>
    </row>
    <row r="13" spans="1:5" ht="26.25" customHeight="1" x14ac:dyDescent="0.25">
      <c r="A13" s="3" t="s">
        <v>579</v>
      </c>
      <c r="B13" s="3" t="s">
        <v>587</v>
      </c>
      <c r="C13" s="3">
        <v>697504</v>
      </c>
      <c r="D13" s="3">
        <v>1</v>
      </c>
    </row>
    <row r="14" spans="1:5" ht="26.25" customHeight="1" x14ac:dyDescent="0.25">
      <c r="A14" s="3">
        <v>11546463</v>
      </c>
      <c r="B14" s="3" t="s">
        <v>588</v>
      </c>
      <c r="C14" s="3">
        <v>698609</v>
      </c>
      <c r="D14" s="3">
        <v>2</v>
      </c>
    </row>
    <row r="15" spans="1:5" ht="26.25" customHeight="1" x14ac:dyDescent="0.25">
      <c r="A15" s="3" t="s">
        <v>339</v>
      </c>
      <c r="B15" s="3" t="s">
        <v>589</v>
      </c>
      <c r="C15" s="3">
        <v>697361</v>
      </c>
      <c r="D15" s="3">
        <v>4</v>
      </c>
      <c r="E15">
        <f>+D15*2200</f>
        <v>8800</v>
      </c>
    </row>
    <row r="16" spans="1:5" ht="26.25" customHeight="1" x14ac:dyDescent="0.25">
      <c r="A16" s="3" t="s">
        <v>436</v>
      </c>
      <c r="B16" s="3" t="s">
        <v>774</v>
      </c>
      <c r="C16" s="3">
        <v>701385</v>
      </c>
      <c r="D16" s="3">
        <v>1</v>
      </c>
    </row>
    <row r="17" spans="1:5" ht="26.25" customHeight="1" x14ac:dyDescent="0.25">
      <c r="A17" s="3" t="s">
        <v>389</v>
      </c>
      <c r="B17" s="3" t="s">
        <v>546</v>
      </c>
      <c r="C17" s="3">
        <v>702241</v>
      </c>
      <c r="D17" s="3">
        <v>2</v>
      </c>
      <c r="E17">
        <f>+D17*280</f>
        <v>560</v>
      </c>
    </row>
    <row r="18" spans="1:5" ht="26.25" customHeight="1" x14ac:dyDescent="0.25">
      <c r="A18" s="3">
        <v>11546449</v>
      </c>
      <c r="B18" s="3" t="s">
        <v>426</v>
      </c>
      <c r="C18" s="3">
        <v>701698</v>
      </c>
      <c r="D18" s="3">
        <v>3</v>
      </c>
      <c r="E18">
        <f>+D18*2500</f>
        <v>7500</v>
      </c>
    </row>
    <row r="19" spans="1:5" ht="26.25" customHeight="1" x14ac:dyDescent="0.25">
      <c r="A19" s="3" t="s">
        <v>332</v>
      </c>
      <c r="B19" s="3" t="s">
        <v>590</v>
      </c>
      <c r="C19" s="3">
        <v>661292</v>
      </c>
      <c r="D19" s="3">
        <v>1</v>
      </c>
    </row>
    <row r="20" spans="1:5" ht="26.25" customHeight="1" x14ac:dyDescent="0.25">
      <c r="A20" s="3" t="s">
        <v>386</v>
      </c>
      <c r="B20" s="3" t="s">
        <v>591</v>
      </c>
      <c r="C20" s="3">
        <v>701395</v>
      </c>
      <c r="D20" s="3">
        <v>1</v>
      </c>
    </row>
    <row r="21" spans="1:5" ht="26.25" hidden="1" customHeight="1" x14ac:dyDescent="0.25">
      <c r="A21" s="3"/>
      <c r="B21" s="3"/>
      <c r="C21" s="3"/>
      <c r="D21" s="3"/>
    </row>
    <row r="22" spans="1:5" ht="26.25" hidden="1" customHeight="1" x14ac:dyDescent="0.25">
      <c r="A22" s="3"/>
      <c r="B22" s="3"/>
      <c r="C22" s="3"/>
      <c r="D22" s="3"/>
    </row>
    <row r="23" spans="1:5" ht="26.25" hidden="1" customHeight="1" x14ac:dyDescent="0.25">
      <c r="A23" s="3"/>
      <c r="B23" s="3"/>
      <c r="C23" s="3"/>
      <c r="D23" s="3"/>
    </row>
    <row r="24" spans="1:5" ht="26.25" customHeight="1" x14ac:dyDescent="0.25">
      <c r="A24" s="3">
        <v>11546545</v>
      </c>
      <c r="B24" s="3" t="s">
        <v>592</v>
      </c>
      <c r="C24" s="3">
        <v>699557</v>
      </c>
      <c r="D24" s="3">
        <v>1</v>
      </c>
    </row>
    <row r="25" spans="1:5" ht="26.25" customHeight="1" x14ac:dyDescent="0.25">
      <c r="A25" s="3" t="s">
        <v>145</v>
      </c>
      <c r="B25" s="3" t="s">
        <v>593</v>
      </c>
      <c r="C25" s="3">
        <v>695046</v>
      </c>
      <c r="D25" s="3">
        <v>1</v>
      </c>
    </row>
    <row r="26" spans="1:5" ht="26.25" customHeight="1" x14ac:dyDescent="0.25">
      <c r="A26" s="3">
        <v>11548357</v>
      </c>
      <c r="B26" s="3" t="s">
        <v>594</v>
      </c>
      <c r="C26" s="3">
        <v>695544</v>
      </c>
      <c r="D26" s="3">
        <v>1</v>
      </c>
    </row>
    <row r="27" spans="1:5" ht="26.25" customHeight="1" x14ac:dyDescent="0.25">
      <c r="A27" s="3" t="s">
        <v>181</v>
      </c>
      <c r="B27" s="3" t="s">
        <v>595</v>
      </c>
      <c r="C27" s="3">
        <v>695390</v>
      </c>
      <c r="D27" s="3">
        <v>1</v>
      </c>
    </row>
    <row r="28" spans="1:5" ht="26.25" customHeight="1" x14ac:dyDescent="0.25">
      <c r="A28" s="3">
        <v>11561645</v>
      </c>
      <c r="B28" s="3" t="s">
        <v>596</v>
      </c>
      <c r="C28" s="3">
        <v>697401</v>
      </c>
      <c r="D28" s="3">
        <v>1</v>
      </c>
    </row>
    <row r="29" spans="1:5" ht="26.25" customHeight="1" x14ac:dyDescent="0.25">
      <c r="A29" s="3">
        <v>11546377</v>
      </c>
      <c r="B29" s="3" t="s">
        <v>597</v>
      </c>
      <c r="C29" s="3">
        <v>697463</v>
      </c>
      <c r="D29" s="3">
        <v>3</v>
      </c>
      <c r="E29">
        <f>+D29*2150</f>
        <v>6450</v>
      </c>
    </row>
    <row r="30" spans="1:5" ht="26.25" customHeight="1" x14ac:dyDescent="0.25">
      <c r="A30" s="3" t="s">
        <v>258</v>
      </c>
      <c r="B30" s="3" t="s">
        <v>598</v>
      </c>
      <c r="C30" s="3">
        <v>701903</v>
      </c>
      <c r="D30" s="3">
        <v>1</v>
      </c>
    </row>
    <row r="31" spans="1:5" ht="26.25" customHeight="1" x14ac:dyDescent="0.25">
      <c r="A31" s="3">
        <v>11549168</v>
      </c>
      <c r="B31" s="3" t="s">
        <v>599</v>
      </c>
      <c r="C31" s="3">
        <v>696704</v>
      </c>
      <c r="D31" s="3">
        <v>1</v>
      </c>
    </row>
    <row r="32" spans="1:5" ht="26.25" customHeight="1" x14ac:dyDescent="0.25">
      <c r="A32" s="3" t="s">
        <v>143</v>
      </c>
      <c r="B32" s="3" t="s">
        <v>600</v>
      </c>
      <c r="C32" s="3">
        <v>696563</v>
      </c>
      <c r="D32" s="3">
        <v>1</v>
      </c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customHeight="1" x14ac:dyDescent="0.25">
      <c r="A44" s="40" t="s">
        <v>609</v>
      </c>
      <c r="B44" s="41"/>
      <c r="C44" s="42"/>
      <c r="D44" s="42"/>
    </row>
    <row r="45" spans="1:4" ht="26.25" customHeight="1" thickBot="1" x14ac:dyDescent="0.3">
      <c r="A45" s="39" t="s">
        <v>0</v>
      </c>
      <c r="B45" s="39"/>
      <c r="C45" s="2"/>
      <c r="D45" s="1">
        <f>+SUM(D5:D43)</f>
        <v>36</v>
      </c>
    </row>
    <row r="46" spans="1:4" ht="15.75" thickTop="1" x14ac:dyDescent="0.25"/>
  </sheetData>
  <mergeCells count="4">
    <mergeCell ref="A1:D1"/>
    <mergeCell ref="A2:D2"/>
    <mergeCell ref="A44:D44"/>
    <mergeCell ref="A45:B45"/>
  </mergeCells>
  <conditionalFormatting sqref="A1:A1048576">
    <cfRule type="duplicateValues" dxfId="373" priority="6"/>
  </conditionalFormatting>
  <conditionalFormatting sqref="A5:A32">
    <cfRule type="duplicateValues" dxfId="372" priority="13"/>
  </conditionalFormatting>
  <conditionalFormatting sqref="A33:A1048576 A1:A4">
    <cfRule type="duplicateValues" dxfId="371" priority="12"/>
  </conditionalFormatting>
  <conditionalFormatting sqref="B37:B1048576 B1:B4">
    <cfRule type="duplicateValues" dxfId="370" priority="10"/>
    <cfRule type="duplicateValues" dxfId="369" priority="11"/>
  </conditionalFormatting>
  <conditionalFormatting sqref="B5:C5">
    <cfRule type="duplicateValues" dxfId="368" priority="3"/>
    <cfRule type="duplicateValues" dxfId="367" priority="4"/>
  </conditionalFormatting>
  <conditionalFormatting sqref="B6:C32">
    <cfRule type="duplicateValues" dxfId="366" priority="1"/>
    <cfRule type="duplicateValues" dxfId="365" priority="2"/>
  </conditionalFormatting>
  <conditionalFormatting sqref="B33:C36">
    <cfRule type="duplicateValues" dxfId="364" priority="9"/>
  </conditionalFormatting>
  <printOptions horizontalCentered="1" verticalCentered="1"/>
  <pageMargins left="0.11811023622047245" right="0.11811023622047245" top="0.15748031496062992" bottom="0.15748031496062992" header="0.11811023622047245" footer="0.11811023622047245"/>
  <pageSetup scale="8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1AF6-FBA9-432F-A119-7D0B688C7910}">
  <sheetPr>
    <tabColor rgb="FFFF0000"/>
    <pageSetUpPr fitToPage="1"/>
  </sheetPr>
  <dimension ref="A1:E46"/>
  <sheetViews>
    <sheetView zoomScaleNormal="100" workbookViewId="0">
      <selection activeCell="E11" sqref="E11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46145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 t="s">
        <v>602</v>
      </c>
      <c r="B5" s="3" t="s">
        <v>627</v>
      </c>
      <c r="C5" s="3">
        <v>696650</v>
      </c>
      <c r="D5" s="3">
        <v>1</v>
      </c>
    </row>
    <row r="6" spans="1:5" ht="26.25" customHeight="1" x14ac:dyDescent="0.25">
      <c r="A6" s="3" t="s">
        <v>52</v>
      </c>
      <c r="B6" s="3" t="s">
        <v>461</v>
      </c>
      <c r="C6" s="3">
        <v>703036</v>
      </c>
      <c r="D6" s="3">
        <v>1</v>
      </c>
    </row>
    <row r="7" spans="1:5" ht="26.25" customHeight="1" x14ac:dyDescent="0.25">
      <c r="A7" s="3">
        <v>11602326</v>
      </c>
      <c r="B7" s="3" t="s">
        <v>628</v>
      </c>
      <c r="C7" s="3">
        <v>702950</v>
      </c>
      <c r="D7" s="3">
        <v>4</v>
      </c>
      <c r="E7">
        <f>+D7*120</f>
        <v>480</v>
      </c>
    </row>
    <row r="8" spans="1:5" ht="26.25" customHeight="1" x14ac:dyDescent="0.25">
      <c r="A8" s="3">
        <v>11549171</v>
      </c>
      <c r="B8" s="3" t="s">
        <v>629</v>
      </c>
      <c r="C8" s="3">
        <v>702682</v>
      </c>
      <c r="D8" s="3">
        <v>2</v>
      </c>
      <c r="E8">
        <f>+D8*280</f>
        <v>560</v>
      </c>
    </row>
    <row r="9" spans="1:5" ht="26.25" customHeight="1" x14ac:dyDescent="0.25">
      <c r="A9" s="3" t="s">
        <v>365</v>
      </c>
      <c r="B9" s="3" t="s">
        <v>382</v>
      </c>
      <c r="C9" s="3">
        <v>701795</v>
      </c>
      <c r="D9" s="3">
        <v>2</v>
      </c>
    </row>
    <row r="10" spans="1:5" ht="26.25" customHeight="1" x14ac:dyDescent="0.25">
      <c r="A10" s="3" t="s">
        <v>386</v>
      </c>
      <c r="B10" s="3" t="s">
        <v>497</v>
      </c>
      <c r="C10" s="3">
        <v>702303</v>
      </c>
      <c r="D10" s="3">
        <v>3</v>
      </c>
      <c r="E10">
        <f>+D10*220</f>
        <v>660</v>
      </c>
    </row>
    <row r="11" spans="1:5" ht="26.25" customHeight="1" x14ac:dyDescent="0.25">
      <c r="A11" s="3" t="s">
        <v>138</v>
      </c>
      <c r="B11" s="3" t="s">
        <v>630</v>
      </c>
      <c r="C11" s="3">
        <v>701188</v>
      </c>
      <c r="D11" s="3">
        <v>1</v>
      </c>
    </row>
    <row r="12" spans="1:5" ht="26.25" customHeight="1" x14ac:dyDescent="0.25">
      <c r="A12" s="3" t="s">
        <v>603</v>
      </c>
      <c r="B12" s="3" t="s">
        <v>631</v>
      </c>
      <c r="C12" s="3"/>
      <c r="D12" s="3">
        <v>1</v>
      </c>
    </row>
    <row r="13" spans="1:5" ht="26.25" customHeight="1" x14ac:dyDescent="0.25">
      <c r="A13" s="3" t="s">
        <v>179</v>
      </c>
      <c r="B13" s="3" t="s">
        <v>528</v>
      </c>
      <c r="C13" s="3">
        <v>701246</v>
      </c>
      <c r="D13" s="3">
        <v>1</v>
      </c>
    </row>
    <row r="14" spans="1:5" ht="26.25" customHeight="1" x14ac:dyDescent="0.25">
      <c r="A14" s="3" t="s">
        <v>604</v>
      </c>
      <c r="B14" s="3" t="s">
        <v>643</v>
      </c>
      <c r="C14" s="3"/>
      <c r="D14" s="3">
        <v>2</v>
      </c>
    </row>
    <row r="15" spans="1:5" ht="26.25" customHeight="1" x14ac:dyDescent="0.25">
      <c r="A15" s="3">
        <v>11612261</v>
      </c>
      <c r="B15" s="3" t="s">
        <v>632</v>
      </c>
      <c r="C15" s="3">
        <v>664658</v>
      </c>
      <c r="D15" s="3">
        <v>1</v>
      </c>
    </row>
    <row r="16" spans="1:5" ht="26.25" customHeight="1" x14ac:dyDescent="0.25">
      <c r="A16" s="3">
        <v>11547059</v>
      </c>
      <c r="B16" s="3" t="s">
        <v>633</v>
      </c>
      <c r="C16" s="3">
        <v>703182</v>
      </c>
      <c r="D16" s="3">
        <v>1</v>
      </c>
    </row>
    <row r="17" spans="1:4" ht="26.25" customHeight="1" x14ac:dyDescent="0.25">
      <c r="A17" s="3" t="s">
        <v>181</v>
      </c>
      <c r="B17" s="3" t="s">
        <v>634</v>
      </c>
      <c r="C17" s="3">
        <v>702249</v>
      </c>
      <c r="D17" s="3">
        <v>1</v>
      </c>
    </row>
    <row r="18" spans="1:4" ht="26.25" customHeight="1" x14ac:dyDescent="0.25">
      <c r="A18" s="3" t="s">
        <v>605</v>
      </c>
      <c r="B18" s="3" t="s">
        <v>644</v>
      </c>
      <c r="C18" s="3"/>
      <c r="D18" s="3">
        <v>1</v>
      </c>
    </row>
    <row r="19" spans="1:4" ht="26.25" customHeight="1" x14ac:dyDescent="0.25">
      <c r="A19" s="3">
        <v>61273</v>
      </c>
      <c r="B19" s="3" t="s">
        <v>635</v>
      </c>
      <c r="C19" s="3">
        <v>702323</v>
      </c>
      <c r="D19" s="3">
        <v>1</v>
      </c>
    </row>
    <row r="20" spans="1:4" ht="26.25" customHeight="1" x14ac:dyDescent="0.25">
      <c r="A20" s="3">
        <v>11546391</v>
      </c>
      <c r="B20" s="3" t="s">
        <v>645</v>
      </c>
      <c r="C20" s="3"/>
      <c r="D20" s="3">
        <v>1</v>
      </c>
    </row>
    <row r="21" spans="1:4" ht="26.25" customHeight="1" x14ac:dyDescent="0.25">
      <c r="A21" s="3">
        <v>11546370</v>
      </c>
      <c r="B21" s="3" t="s">
        <v>636</v>
      </c>
      <c r="C21" s="3">
        <v>694051</v>
      </c>
      <c r="D21" s="3">
        <v>1</v>
      </c>
    </row>
    <row r="22" spans="1:4" ht="26.25" customHeight="1" x14ac:dyDescent="0.25">
      <c r="A22" s="3">
        <v>11546377</v>
      </c>
      <c r="B22" s="3" t="s">
        <v>637</v>
      </c>
      <c r="C22" s="3">
        <v>694102</v>
      </c>
      <c r="D22" s="3">
        <v>1</v>
      </c>
    </row>
    <row r="23" spans="1:4" ht="26.25" customHeight="1" x14ac:dyDescent="0.25">
      <c r="A23" s="3">
        <v>91058</v>
      </c>
      <c r="B23" s="3" t="s">
        <v>638</v>
      </c>
      <c r="C23" s="3">
        <v>693867</v>
      </c>
      <c r="D23" s="3">
        <v>2</v>
      </c>
    </row>
    <row r="24" spans="1:4" ht="26.25" customHeight="1" x14ac:dyDescent="0.25">
      <c r="A24" s="3">
        <v>11546389</v>
      </c>
      <c r="B24" s="3" t="s">
        <v>639</v>
      </c>
      <c r="C24" s="3">
        <v>694629</v>
      </c>
      <c r="D24" s="3">
        <v>2</v>
      </c>
    </row>
    <row r="25" spans="1:4" ht="26.25" customHeight="1" x14ac:dyDescent="0.25">
      <c r="A25" s="3" t="s">
        <v>606</v>
      </c>
      <c r="B25" s="3" t="s">
        <v>640</v>
      </c>
      <c r="C25" s="3">
        <v>696313</v>
      </c>
      <c r="D25" s="3">
        <v>1</v>
      </c>
    </row>
    <row r="26" spans="1:4" ht="26.25" customHeight="1" x14ac:dyDescent="0.25">
      <c r="A26" s="3" t="s">
        <v>607</v>
      </c>
      <c r="B26" s="3" t="s">
        <v>646</v>
      </c>
      <c r="C26" s="3"/>
      <c r="D26" s="3">
        <v>2</v>
      </c>
    </row>
    <row r="27" spans="1:4" ht="26.25" customHeight="1" x14ac:dyDescent="0.25">
      <c r="A27" s="3" t="s">
        <v>608</v>
      </c>
      <c r="B27" s="3" t="s">
        <v>641</v>
      </c>
      <c r="C27" s="3">
        <v>701895</v>
      </c>
      <c r="D27" s="3">
        <v>2</v>
      </c>
    </row>
    <row r="28" spans="1:4" ht="26.25" customHeight="1" x14ac:dyDescent="0.25">
      <c r="A28" s="3">
        <v>11602659</v>
      </c>
      <c r="B28" s="3" t="s">
        <v>642</v>
      </c>
      <c r="C28" s="3">
        <v>702095</v>
      </c>
      <c r="D28" s="3">
        <v>1</v>
      </c>
    </row>
    <row r="29" spans="1:4" ht="26.25" hidden="1" customHeight="1" x14ac:dyDescent="0.25">
      <c r="A29" s="3"/>
      <c r="B29" s="3"/>
      <c r="C29" s="3"/>
      <c r="D29" s="3"/>
    </row>
    <row r="30" spans="1:4" ht="26.25" hidden="1" customHeight="1" x14ac:dyDescent="0.25">
      <c r="A30" s="3"/>
      <c r="B30" s="3"/>
      <c r="C30" s="3"/>
      <c r="D30" s="3"/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customHeight="1" x14ac:dyDescent="0.25">
      <c r="A44" s="45" t="s">
        <v>610</v>
      </c>
      <c r="B44" s="45"/>
      <c r="C44" s="45"/>
      <c r="D44" s="45"/>
    </row>
    <row r="45" spans="1:4" ht="26.25" customHeight="1" thickBot="1" x14ac:dyDescent="0.3">
      <c r="A45" s="39" t="s">
        <v>0</v>
      </c>
      <c r="B45" s="39"/>
      <c r="C45" s="2"/>
      <c r="D45" s="1">
        <f>+SUM(D5:D43)</f>
        <v>36</v>
      </c>
    </row>
    <row r="46" spans="1:4" ht="15.75" thickTop="1" x14ac:dyDescent="0.25"/>
  </sheetData>
  <mergeCells count="4">
    <mergeCell ref="A1:D1"/>
    <mergeCell ref="A2:D2"/>
    <mergeCell ref="A44:D44"/>
    <mergeCell ref="A45:B45"/>
  </mergeCells>
  <conditionalFormatting sqref="A1:A1048576">
    <cfRule type="duplicateValues" dxfId="363" priority="14"/>
  </conditionalFormatting>
  <conditionalFormatting sqref="A5:A32">
    <cfRule type="duplicateValues" dxfId="362" priority="19"/>
  </conditionalFormatting>
  <conditionalFormatting sqref="A33:A1048576 A1:A4">
    <cfRule type="duplicateValues" dxfId="361" priority="18"/>
  </conditionalFormatting>
  <conditionalFormatting sqref="B37:B1048576 B1:B4">
    <cfRule type="duplicateValues" dxfId="360" priority="16"/>
    <cfRule type="duplicateValues" dxfId="359" priority="17"/>
  </conditionalFormatting>
  <conditionalFormatting sqref="B5:C5">
    <cfRule type="duplicateValues" dxfId="358" priority="3"/>
    <cfRule type="duplicateValues" dxfId="357" priority="4"/>
  </conditionalFormatting>
  <conditionalFormatting sqref="B6:C28">
    <cfRule type="duplicateValues" dxfId="356" priority="1"/>
    <cfRule type="duplicateValues" dxfId="355" priority="2"/>
  </conditionalFormatting>
  <conditionalFormatting sqref="B29:C32">
    <cfRule type="duplicateValues" dxfId="354" priority="10"/>
    <cfRule type="duplicateValues" dxfId="353" priority="11"/>
  </conditionalFormatting>
  <conditionalFormatting sqref="B33:C36">
    <cfRule type="duplicateValues" dxfId="352" priority="15"/>
  </conditionalFormatting>
  <printOptions horizontalCentered="1" verticalCentered="1"/>
  <pageMargins left="0.11811023622047245" right="0.11811023622047245" top="0.15748031496062992" bottom="0.15748031496062992" header="0.11811023622047245" footer="0.11811023622047245"/>
  <pageSetup scale="98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1B0B-CDF5-4191-B876-FE1C08787A63}">
  <sheetPr>
    <tabColor rgb="FFFF0000"/>
    <pageSetUpPr fitToPage="1"/>
  </sheetPr>
  <dimension ref="A1:E46"/>
  <sheetViews>
    <sheetView topLeftCell="A13" zoomScaleNormal="100" workbookViewId="0">
      <selection activeCell="E22" sqref="E22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46146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 t="s">
        <v>286</v>
      </c>
      <c r="B5" s="3" t="s">
        <v>647</v>
      </c>
      <c r="C5" s="3">
        <v>701899</v>
      </c>
      <c r="D5" s="3">
        <v>1</v>
      </c>
    </row>
    <row r="6" spans="1:5" ht="26.25" customHeight="1" x14ac:dyDescent="0.25">
      <c r="A6" s="3">
        <v>82244</v>
      </c>
      <c r="B6" s="3" t="s">
        <v>648</v>
      </c>
      <c r="C6" s="3">
        <v>700969</v>
      </c>
      <c r="D6" s="3">
        <v>1</v>
      </c>
    </row>
    <row r="7" spans="1:5" ht="26.25" customHeight="1" x14ac:dyDescent="0.25">
      <c r="A7" s="3" t="s">
        <v>612</v>
      </c>
      <c r="B7" s="3" t="s">
        <v>649</v>
      </c>
      <c r="C7" s="3">
        <v>702112</v>
      </c>
      <c r="D7" s="3">
        <v>1</v>
      </c>
    </row>
    <row r="8" spans="1:5" ht="26.25" customHeight="1" x14ac:dyDescent="0.25">
      <c r="A8" s="3">
        <v>11547176</v>
      </c>
      <c r="B8" s="3" t="s">
        <v>650</v>
      </c>
      <c r="C8" s="3">
        <v>701926</v>
      </c>
      <c r="D8" s="3">
        <v>1</v>
      </c>
    </row>
    <row r="9" spans="1:5" ht="26.25" customHeight="1" x14ac:dyDescent="0.25">
      <c r="A9" s="3">
        <v>500009196</v>
      </c>
      <c r="B9" s="3" t="s">
        <v>651</v>
      </c>
      <c r="C9" s="3">
        <v>704556</v>
      </c>
      <c r="D9" s="3">
        <v>1</v>
      </c>
    </row>
    <row r="10" spans="1:5" ht="26.25" customHeight="1" x14ac:dyDescent="0.25">
      <c r="A10" s="3" t="s">
        <v>613</v>
      </c>
      <c r="B10" s="3" t="s">
        <v>652</v>
      </c>
      <c r="C10" s="3">
        <v>702415</v>
      </c>
      <c r="D10" s="3">
        <v>1</v>
      </c>
    </row>
    <row r="11" spans="1:5" ht="26.25" customHeight="1" x14ac:dyDescent="0.25">
      <c r="A11" s="3">
        <v>7151127803</v>
      </c>
      <c r="B11" s="3" t="s">
        <v>653</v>
      </c>
      <c r="C11" s="3">
        <v>696868</v>
      </c>
      <c r="D11" s="3">
        <v>1</v>
      </c>
    </row>
    <row r="12" spans="1:5" ht="26.25" customHeight="1" x14ac:dyDescent="0.25">
      <c r="A12" s="3">
        <v>11602023</v>
      </c>
      <c r="B12" s="3" t="s">
        <v>654</v>
      </c>
      <c r="C12" s="3">
        <v>696851</v>
      </c>
      <c r="D12" s="3">
        <v>1</v>
      </c>
    </row>
    <row r="13" spans="1:5" ht="26.25" customHeight="1" x14ac:dyDescent="0.25">
      <c r="A13" s="3">
        <v>11602031</v>
      </c>
      <c r="B13" s="3" t="s">
        <v>655</v>
      </c>
      <c r="C13" s="3">
        <v>702715</v>
      </c>
      <c r="D13" s="3">
        <v>1</v>
      </c>
    </row>
    <row r="14" spans="1:5" ht="26.25" customHeight="1" x14ac:dyDescent="0.25">
      <c r="A14" s="3" t="s">
        <v>144</v>
      </c>
      <c r="B14" s="3" t="s">
        <v>656</v>
      </c>
      <c r="C14" s="3">
        <v>697417</v>
      </c>
      <c r="D14" s="3">
        <v>1</v>
      </c>
    </row>
    <row r="15" spans="1:5" ht="26.25" customHeight="1" x14ac:dyDescent="0.25">
      <c r="A15" s="3" t="s">
        <v>1</v>
      </c>
      <c r="B15" s="3" t="s">
        <v>657</v>
      </c>
      <c r="C15" s="3">
        <v>701213</v>
      </c>
      <c r="D15" s="3">
        <v>3</v>
      </c>
      <c r="E15">
        <f>+D15*670</f>
        <v>2010</v>
      </c>
    </row>
    <row r="16" spans="1:5" ht="26.25" customHeight="1" x14ac:dyDescent="0.25">
      <c r="A16" s="3" t="s">
        <v>55</v>
      </c>
      <c r="B16" s="3" t="s">
        <v>658</v>
      </c>
      <c r="C16" s="3">
        <v>703259</v>
      </c>
      <c r="D16" s="3">
        <v>1</v>
      </c>
    </row>
    <row r="17" spans="1:4" ht="26.25" customHeight="1" x14ac:dyDescent="0.25">
      <c r="A17" s="3" t="s">
        <v>395</v>
      </c>
      <c r="B17" s="3" t="s">
        <v>523</v>
      </c>
      <c r="C17" s="3">
        <v>692760</v>
      </c>
      <c r="D17" s="3">
        <v>1</v>
      </c>
    </row>
    <row r="18" spans="1:4" ht="26.25" customHeight="1" x14ac:dyDescent="0.25">
      <c r="A18" s="3" t="s">
        <v>47</v>
      </c>
      <c r="B18" s="3" t="s">
        <v>659</v>
      </c>
      <c r="C18" s="3">
        <v>702227</v>
      </c>
      <c r="D18" s="3">
        <v>1</v>
      </c>
    </row>
    <row r="19" spans="1:4" ht="26.25" customHeight="1" x14ac:dyDescent="0.25">
      <c r="A19" s="3">
        <v>11547059</v>
      </c>
      <c r="B19" s="3" t="s">
        <v>660</v>
      </c>
      <c r="C19" s="3">
        <v>702083</v>
      </c>
      <c r="D19" s="3">
        <v>1</v>
      </c>
    </row>
    <row r="20" spans="1:4" ht="26.25" customHeight="1" x14ac:dyDescent="0.25">
      <c r="A20" s="3">
        <v>11588714</v>
      </c>
      <c r="B20" s="3" t="s">
        <v>513</v>
      </c>
      <c r="C20" s="3">
        <v>701927</v>
      </c>
      <c r="D20" s="3">
        <v>2</v>
      </c>
    </row>
    <row r="21" spans="1:4" ht="26.25" customHeight="1" x14ac:dyDescent="0.25">
      <c r="A21" s="3">
        <v>40073474</v>
      </c>
      <c r="B21" s="3" t="s">
        <v>661</v>
      </c>
      <c r="C21" s="3">
        <v>702338</v>
      </c>
      <c r="D21" s="3">
        <v>2</v>
      </c>
    </row>
    <row r="22" spans="1:4" ht="26.25" customHeight="1" x14ac:dyDescent="0.25">
      <c r="A22" s="3">
        <v>52056965</v>
      </c>
      <c r="B22" s="3" t="s">
        <v>662</v>
      </c>
      <c r="C22" s="3">
        <v>698545</v>
      </c>
      <c r="D22" s="3">
        <v>2</v>
      </c>
    </row>
    <row r="23" spans="1:4" ht="26.25" customHeight="1" x14ac:dyDescent="0.25">
      <c r="A23" s="3" t="s">
        <v>92</v>
      </c>
      <c r="B23" s="3" t="s">
        <v>663</v>
      </c>
      <c r="C23" s="3">
        <v>702942</v>
      </c>
      <c r="D23" s="3">
        <v>2</v>
      </c>
    </row>
    <row r="24" spans="1:4" ht="26.25" customHeight="1" x14ac:dyDescent="0.25">
      <c r="A24" s="3" t="s">
        <v>579</v>
      </c>
      <c r="B24" s="3" t="s">
        <v>664</v>
      </c>
      <c r="C24" s="3">
        <v>697499</v>
      </c>
      <c r="D24" s="3">
        <v>1</v>
      </c>
    </row>
    <row r="25" spans="1:4" ht="26.25" customHeight="1" x14ac:dyDescent="0.25">
      <c r="A25" s="3" t="s">
        <v>180</v>
      </c>
      <c r="B25" s="3" t="s">
        <v>665</v>
      </c>
      <c r="C25" s="3">
        <v>701306</v>
      </c>
      <c r="D25" s="3">
        <v>1</v>
      </c>
    </row>
    <row r="26" spans="1:4" ht="26.25" customHeight="1" x14ac:dyDescent="0.25">
      <c r="A26" s="3">
        <v>11546456</v>
      </c>
      <c r="B26" s="3" t="s">
        <v>427</v>
      </c>
      <c r="C26" s="3">
        <v>702630</v>
      </c>
      <c r="D26" s="3">
        <v>1</v>
      </c>
    </row>
    <row r="27" spans="1:4" ht="26.25" customHeight="1" x14ac:dyDescent="0.25">
      <c r="A27" s="3">
        <v>11549168</v>
      </c>
      <c r="B27" s="3" t="s">
        <v>666</v>
      </c>
      <c r="C27" s="3">
        <v>696707</v>
      </c>
      <c r="D27" s="3">
        <v>1</v>
      </c>
    </row>
    <row r="28" spans="1:4" ht="26.25" customHeight="1" x14ac:dyDescent="0.25">
      <c r="A28" s="3">
        <v>11546438</v>
      </c>
      <c r="B28" s="3" t="s">
        <v>667</v>
      </c>
      <c r="C28" s="3">
        <v>701232</v>
      </c>
      <c r="D28" s="3">
        <v>1</v>
      </c>
    </row>
    <row r="29" spans="1:4" ht="26.25" customHeight="1" x14ac:dyDescent="0.25">
      <c r="A29" s="3" t="s">
        <v>614</v>
      </c>
      <c r="B29" s="3" t="s">
        <v>668</v>
      </c>
      <c r="C29" s="3">
        <v>699543</v>
      </c>
      <c r="D29" s="3">
        <v>1</v>
      </c>
    </row>
    <row r="30" spans="1:4" ht="26.25" customHeight="1" x14ac:dyDescent="0.25">
      <c r="A30" s="3" t="s">
        <v>615</v>
      </c>
      <c r="B30" s="3" t="s">
        <v>669</v>
      </c>
      <c r="C30" s="3">
        <v>700670</v>
      </c>
      <c r="D30" s="3">
        <v>1</v>
      </c>
    </row>
    <row r="31" spans="1:4" ht="26.25" customHeight="1" x14ac:dyDescent="0.25">
      <c r="A31" s="3">
        <v>11546449</v>
      </c>
      <c r="B31" s="3" t="s">
        <v>670</v>
      </c>
      <c r="C31" s="3">
        <v>701699</v>
      </c>
      <c r="D31" s="3">
        <v>1</v>
      </c>
    </row>
    <row r="32" spans="1:4" ht="26.25" customHeight="1" x14ac:dyDescent="0.25">
      <c r="A32" s="3">
        <v>11546546</v>
      </c>
      <c r="B32" s="3" t="s">
        <v>671</v>
      </c>
      <c r="C32" s="3">
        <v>702607</v>
      </c>
      <c r="D32" s="3">
        <v>1</v>
      </c>
    </row>
    <row r="33" spans="1:4" ht="26.25" customHeight="1" x14ac:dyDescent="0.25">
      <c r="A33" s="3">
        <v>11547090</v>
      </c>
      <c r="B33" s="3" t="s">
        <v>672</v>
      </c>
      <c r="C33" s="3">
        <v>702639</v>
      </c>
      <c r="D33" s="3">
        <v>1</v>
      </c>
    </row>
    <row r="34" spans="1:4" ht="26.25" customHeight="1" x14ac:dyDescent="0.25">
      <c r="A34" s="3" t="s">
        <v>384</v>
      </c>
      <c r="B34" s="3" t="s">
        <v>553</v>
      </c>
      <c r="C34" s="3">
        <v>702291</v>
      </c>
      <c r="D34" s="3">
        <v>1</v>
      </c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customHeight="1" x14ac:dyDescent="0.25">
      <c r="A44" s="40" t="s">
        <v>611</v>
      </c>
      <c r="B44" s="41"/>
      <c r="C44" s="42"/>
      <c r="D44" s="42"/>
    </row>
    <row r="45" spans="1:4" ht="26.25" customHeight="1" thickBot="1" x14ac:dyDescent="0.3">
      <c r="A45" s="39" t="s">
        <v>0</v>
      </c>
      <c r="B45" s="39"/>
      <c r="C45" s="2"/>
      <c r="D45" s="1">
        <f>+SUM(D5:D43)</f>
        <v>36</v>
      </c>
    </row>
    <row r="46" spans="1:4" ht="15.75" thickTop="1" x14ac:dyDescent="0.25"/>
  </sheetData>
  <mergeCells count="4">
    <mergeCell ref="A1:D1"/>
    <mergeCell ref="A2:D2"/>
    <mergeCell ref="A44:D44"/>
    <mergeCell ref="A45:B45"/>
  </mergeCells>
  <conditionalFormatting sqref="A1:A1048576">
    <cfRule type="duplicateValues" dxfId="351" priority="24"/>
  </conditionalFormatting>
  <conditionalFormatting sqref="A5:A34">
    <cfRule type="duplicateValues" dxfId="350" priority="29"/>
  </conditionalFormatting>
  <conditionalFormatting sqref="A35:A1048576 A1:A4">
    <cfRule type="duplicateValues" dxfId="349" priority="28"/>
  </conditionalFormatting>
  <conditionalFormatting sqref="B37:B1048576 B1:B4">
    <cfRule type="duplicateValues" dxfId="348" priority="26"/>
    <cfRule type="duplicateValues" dxfId="347" priority="27"/>
  </conditionalFormatting>
  <conditionalFormatting sqref="B5:C5">
    <cfRule type="duplicateValues" dxfId="346" priority="3"/>
    <cfRule type="duplicateValues" dxfId="345" priority="4"/>
  </conditionalFormatting>
  <conditionalFormatting sqref="B6:C34">
    <cfRule type="duplicateValues" dxfId="344" priority="1"/>
    <cfRule type="duplicateValues" dxfId="343" priority="2"/>
  </conditionalFormatting>
  <conditionalFormatting sqref="B35:C36">
    <cfRule type="duplicateValues" dxfId="342" priority="25"/>
  </conditionalFormatting>
  <printOptions horizontalCentered="1" verticalCentered="1"/>
  <pageMargins left="0.11811023622047245" right="0.11811023622047245" top="0.15748031496062992" bottom="0.15748031496062992" header="0.11811023622047245" footer="0.11811023622047245"/>
  <pageSetup scale="8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BDC7-E047-48C6-9845-6BDCECE40CC3}">
  <sheetPr>
    <tabColor rgb="FFFF0000"/>
    <pageSetUpPr fitToPage="1"/>
  </sheetPr>
  <dimension ref="A1:E45"/>
  <sheetViews>
    <sheetView topLeftCell="A15" zoomScaleNormal="100" workbookViewId="0">
      <selection activeCell="E26" sqref="E2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46147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 t="s">
        <v>386</v>
      </c>
      <c r="B5" s="3" t="s">
        <v>673</v>
      </c>
      <c r="C5" s="3">
        <v>702421</v>
      </c>
      <c r="D5" s="3">
        <v>3</v>
      </c>
      <c r="E5">
        <f>+D5*220</f>
        <v>660</v>
      </c>
    </row>
    <row r="6" spans="1:5" ht="26.25" customHeight="1" x14ac:dyDescent="0.25">
      <c r="A6" s="3">
        <v>54043001</v>
      </c>
      <c r="B6" s="3" t="s">
        <v>674</v>
      </c>
      <c r="C6" s="3">
        <v>696322</v>
      </c>
      <c r="D6" s="3">
        <v>1</v>
      </c>
    </row>
    <row r="7" spans="1:5" ht="26.25" customHeight="1" x14ac:dyDescent="0.25">
      <c r="A7" s="3">
        <v>11548414</v>
      </c>
      <c r="B7" s="3" t="s">
        <v>675</v>
      </c>
      <c r="C7" s="3">
        <v>702961</v>
      </c>
      <c r="D7" s="3">
        <v>1</v>
      </c>
    </row>
    <row r="8" spans="1:5" ht="26.25" customHeight="1" x14ac:dyDescent="0.25">
      <c r="A8" s="3">
        <v>11547830</v>
      </c>
      <c r="B8" s="3" t="s">
        <v>676</v>
      </c>
      <c r="C8" s="3">
        <v>681492</v>
      </c>
      <c r="D8" s="3">
        <v>1</v>
      </c>
    </row>
    <row r="9" spans="1:5" ht="26.25" customHeight="1" x14ac:dyDescent="0.25">
      <c r="A9" s="3" t="s">
        <v>436</v>
      </c>
      <c r="B9" s="3" t="s">
        <v>457</v>
      </c>
      <c r="C9" s="3">
        <v>701386</v>
      </c>
      <c r="D9" s="3">
        <v>1</v>
      </c>
    </row>
    <row r="10" spans="1:5" ht="26.25" customHeight="1" x14ac:dyDescent="0.25">
      <c r="A10" s="3" t="s">
        <v>396</v>
      </c>
      <c r="B10" s="3" t="s">
        <v>677</v>
      </c>
      <c r="C10" s="3">
        <v>703131</v>
      </c>
      <c r="D10" s="3">
        <v>2</v>
      </c>
    </row>
    <row r="11" spans="1:5" ht="26.25" customHeight="1" x14ac:dyDescent="0.25">
      <c r="A11" s="3" t="s">
        <v>602</v>
      </c>
      <c r="B11" s="3" t="s">
        <v>678</v>
      </c>
      <c r="C11" s="3">
        <v>696649</v>
      </c>
      <c r="D11" s="3">
        <v>1</v>
      </c>
    </row>
    <row r="12" spans="1:5" ht="26.25" customHeight="1" x14ac:dyDescent="0.25">
      <c r="A12" s="3" t="s">
        <v>213</v>
      </c>
      <c r="B12" s="3" t="s">
        <v>679</v>
      </c>
      <c r="C12" s="3">
        <v>701888</v>
      </c>
      <c r="D12" s="3">
        <v>1</v>
      </c>
    </row>
    <row r="13" spans="1:5" ht="26.25" customHeight="1" x14ac:dyDescent="0.25">
      <c r="A13" s="3">
        <v>11546456</v>
      </c>
      <c r="B13" s="3" t="s">
        <v>680</v>
      </c>
      <c r="C13" s="3">
        <v>702629</v>
      </c>
      <c r="D13" s="3">
        <v>1</v>
      </c>
    </row>
    <row r="14" spans="1:5" ht="26.25" customHeight="1" x14ac:dyDescent="0.25">
      <c r="A14" s="3" t="s">
        <v>617</v>
      </c>
      <c r="B14" s="3" t="s">
        <v>681</v>
      </c>
      <c r="C14" s="3">
        <v>696017</v>
      </c>
      <c r="D14" s="3">
        <v>1</v>
      </c>
    </row>
    <row r="15" spans="1:5" ht="26.25" customHeight="1" x14ac:dyDescent="0.25">
      <c r="A15" s="3">
        <v>40179994</v>
      </c>
      <c r="B15" s="3" t="s">
        <v>682</v>
      </c>
      <c r="C15" s="3">
        <v>695118</v>
      </c>
      <c r="D15" s="3">
        <v>1</v>
      </c>
    </row>
    <row r="16" spans="1:5" ht="26.25" customHeight="1" x14ac:dyDescent="0.25">
      <c r="A16" s="3">
        <v>11610128</v>
      </c>
      <c r="B16" s="3" t="s">
        <v>453</v>
      </c>
      <c r="C16" s="3">
        <v>695546</v>
      </c>
      <c r="D16" s="3">
        <v>2</v>
      </c>
      <c r="E16">
        <f>+D16*1125</f>
        <v>2250</v>
      </c>
    </row>
    <row r="17" spans="1:5" ht="26.25" customHeight="1" x14ac:dyDescent="0.25">
      <c r="A17" s="3">
        <v>11546437</v>
      </c>
      <c r="B17" s="3" t="s">
        <v>683</v>
      </c>
      <c r="C17" s="3">
        <v>689531</v>
      </c>
      <c r="D17" s="3">
        <v>1</v>
      </c>
    </row>
    <row r="18" spans="1:5" ht="26.25" customHeight="1" x14ac:dyDescent="0.25">
      <c r="A18" s="3" t="s">
        <v>57</v>
      </c>
      <c r="B18" s="3" t="s">
        <v>237</v>
      </c>
      <c r="C18" s="3">
        <v>695422</v>
      </c>
      <c r="D18" s="3">
        <v>2</v>
      </c>
      <c r="E18">
        <f>+D18*330</f>
        <v>660</v>
      </c>
    </row>
    <row r="19" spans="1:5" ht="26.25" customHeight="1" x14ac:dyDescent="0.25">
      <c r="A19" s="3" t="s">
        <v>178</v>
      </c>
      <c r="B19" s="3" t="s">
        <v>684</v>
      </c>
      <c r="C19" s="3">
        <v>702845</v>
      </c>
      <c r="D19" s="3">
        <v>2</v>
      </c>
    </row>
    <row r="20" spans="1:5" ht="26.25" customHeight="1" x14ac:dyDescent="0.25">
      <c r="A20" s="3" t="s">
        <v>11</v>
      </c>
      <c r="B20" s="3" t="s">
        <v>685</v>
      </c>
      <c r="C20" s="3">
        <v>700728</v>
      </c>
      <c r="D20" s="3">
        <v>1</v>
      </c>
    </row>
    <row r="21" spans="1:5" ht="26.25" customHeight="1" x14ac:dyDescent="0.25">
      <c r="A21" s="3" t="s">
        <v>102</v>
      </c>
      <c r="B21" s="3" t="s">
        <v>686</v>
      </c>
      <c r="C21" s="3">
        <v>701651</v>
      </c>
      <c r="D21" s="3">
        <v>2</v>
      </c>
    </row>
    <row r="22" spans="1:5" ht="26.25" customHeight="1" x14ac:dyDescent="0.25">
      <c r="A22" s="3">
        <v>11549169</v>
      </c>
      <c r="B22" s="3" t="s">
        <v>687</v>
      </c>
      <c r="C22" s="3">
        <v>696845</v>
      </c>
      <c r="D22" s="3">
        <v>1</v>
      </c>
    </row>
    <row r="23" spans="1:5" ht="26.25" customHeight="1" x14ac:dyDescent="0.25">
      <c r="A23" s="3">
        <v>11546377</v>
      </c>
      <c r="B23" s="3" t="s">
        <v>688</v>
      </c>
      <c r="C23" s="3">
        <v>697460</v>
      </c>
      <c r="D23" s="3">
        <v>2</v>
      </c>
      <c r="E23">
        <f>+D23*2150</f>
        <v>4300</v>
      </c>
    </row>
    <row r="24" spans="1:5" ht="26.25" customHeight="1" x14ac:dyDescent="0.25">
      <c r="A24" s="3" t="s">
        <v>331</v>
      </c>
      <c r="B24" s="3" t="s">
        <v>689</v>
      </c>
      <c r="C24" s="3">
        <v>702384</v>
      </c>
      <c r="D24" s="3">
        <v>1</v>
      </c>
    </row>
    <row r="25" spans="1:5" ht="26.25" customHeight="1" x14ac:dyDescent="0.25">
      <c r="A25" s="3">
        <v>11546462</v>
      </c>
      <c r="B25" s="3" t="s">
        <v>690</v>
      </c>
      <c r="C25" s="3">
        <v>702635</v>
      </c>
      <c r="D25" s="3">
        <v>2</v>
      </c>
      <c r="E25">
        <f>+D25*650</f>
        <v>1300</v>
      </c>
    </row>
    <row r="26" spans="1:5" ht="26.25" customHeight="1" x14ac:dyDescent="0.25">
      <c r="A26" s="3">
        <v>11602031</v>
      </c>
      <c r="B26" s="3" t="s">
        <v>691</v>
      </c>
      <c r="C26" s="3">
        <v>702720</v>
      </c>
      <c r="D26" s="3">
        <v>1</v>
      </c>
    </row>
    <row r="27" spans="1:5" ht="26.25" customHeight="1" x14ac:dyDescent="0.25">
      <c r="A27" s="3">
        <v>11546449</v>
      </c>
      <c r="B27" s="3" t="s">
        <v>692</v>
      </c>
      <c r="C27" s="3">
        <v>701697</v>
      </c>
      <c r="D27" s="3">
        <v>1</v>
      </c>
    </row>
    <row r="28" spans="1:5" ht="26.25" customHeight="1" x14ac:dyDescent="0.25">
      <c r="A28" s="3" t="s">
        <v>86</v>
      </c>
      <c r="B28" s="3" t="s">
        <v>693</v>
      </c>
      <c r="C28" s="3">
        <v>701856</v>
      </c>
      <c r="D28" s="3">
        <v>1</v>
      </c>
    </row>
    <row r="29" spans="1:5" ht="26.25" customHeight="1" x14ac:dyDescent="0.25">
      <c r="A29" s="3">
        <v>11549170</v>
      </c>
      <c r="B29" s="3" t="s">
        <v>440</v>
      </c>
      <c r="C29" s="3">
        <v>701422</v>
      </c>
      <c r="D29" s="3">
        <v>1</v>
      </c>
    </row>
    <row r="30" spans="1:5" ht="26.25" customHeight="1" x14ac:dyDescent="0.25">
      <c r="A30" s="3">
        <v>11546448</v>
      </c>
      <c r="B30" s="3" t="s">
        <v>498</v>
      </c>
      <c r="C30" s="3">
        <v>702012</v>
      </c>
      <c r="D30" s="3">
        <v>1</v>
      </c>
    </row>
    <row r="31" spans="1:5" ht="26.25" customHeight="1" x14ac:dyDescent="0.25">
      <c r="A31" s="3">
        <v>11516133</v>
      </c>
      <c r="B31" s="3" t="s">
        <v>481</v>
      </c>
      <c r="C31" s="3">
        <v>701526</v>
      </c>
      <c r="D31" s="3">
        <v>1</v>
      </c>
    </row>
    <row r="32" spans="1:5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customHeight="1" x14ac:dyDescent="0.25">
      <c r="A43" s="40" t="s">
        <v>616</v>
      </c>
      <c r="B43" s="41"/>
      <c r="C43" s="42"/>
      <c r="D43" s="42"/>
    </row>
    <row r="44" spans="1:4" ht="26.25" customHeight="1" thickBot="1" x14ac:dyDescent="0.3">
      <c r="A44" s="39" t="s">
        <v>0</v>
      </c>
      <c r="B44" s="39"/>
      <c r="C44" s="2"/>
      <c r="D44" s="1">
        <f>+SUM(D5:D42)</f>
        <v>36</v>
      </c>
    </row>
    <row r="45" spans="1:4" ht="15.75" thickTop="1" x14ac:dyDescent="0.25"/>
  </sheetData>
  <mergeCells count="4">
    <mergeCell ref="A1:D1"/>
    <mergeCell ref="A2:D2"/>
    <mergeCell ref="A43:D43"/>
    <mergeCell ref="A44:B44"/>
  </mergeCells>
  <conditionalFormatting sqref="A1:A1048576">
    <cfRule type="duplicateValues" dxfId="341" priority="36"/>
  </conditionalFormatting>
  <conditionalFormatting sqref="A5:A31">
    <cfRule type="duplicateValues" dxfId="340" priority="92"/>
  </conditionalFormatting>
  <conditionalFormatting sqref="A32:A1048576 A1:A4">
    <cfRule type="duplicateValues" dxfId="339" priority="40"/>
  </conditionalFormatting>
  <conditionalFormatting sqref="B36:B1048576 B1:B4">
    <cfRule type="duplicateValues" dxfId="338" priority="38"/>
    <cfRule type="duplicateValues" dxfId="337" priority="39"/>
  </conditionalFormatting>
  <conditionalFormatting sqref="B5:C5">
    <cfRule type="duplicateValues" dxfId="336" priority="3"/>
    <cfRule type="duplicateValues" dxfId="335" priority="4"/>
  </conditionalFormatting>
  <conditionalFormatting sqref="B6:C31">
    <cfRule type="duplicateValues" dxfId="334" priority="1"/>
    <cfRule type="duplicateValues" dxfId="333" priority="2"/>
  </conditionalFormatting>
  <conditionalFormatting sqref="B32:C35">
    <cfRule type="duplicateValues" dxfId="332" priority="37"/>
  </conditionalFormatting>
  <printOptions horizontalCentered="1" verticalCentered="1"/>
  <pageMargins left="0.11811023622047245" right="0.11811023622047245" top="0.15748031496062992" bottom="0.15748031496062992" header="0.11811023622047245" footer="0.11811023622047245"/>
  <pageSetup scale="8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6826-3B92-49DB-95B5-1AE5B2023210}">
  <sheetPr>
    <tabColor rgb="FFFF0000"/>
    <pageSetUpPr fitToPage="1"/>
  </sheetPr>
  <dimension ref="A1:E45"/>
  <sheetViews>
    <sheetView topLeftCell="A20" zoomScaleNormal="100" workbookViewId="0">
      <selection activeCell="C20" sqref="C1:C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46148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>
        <v>40204491</v>
      </c>
      <c r="B5" s="3" t="s">
        <v>694</v>
      </c>
      <c r="C5" s="3">
        <v>700821</v>
      </c>
      <c r="D5" s="3">
        <v>2</v>
      </c>
      <c r="E5">
        <f>+D5*625</f>
        <v>1250</v>
      </c>
    </row>
    <row r="6" spans="1:5" ht="26.25" customHeight="1" x14ac:dyDescent="0.25">
      <c r="A6" s="3" t="s">
        <v>619</v>
      </c>
      <c r="B6" s="3" t="s">
        <v>695</v>
      </c>
      <c r="C6" s="3">
        <v>696741</v>
      </c>
      <c r="D6" s="3">
        <v>1</v>
      </c>
    </row>
    <row r="7" spans="1:5" ht="26.25" customHeight="1" x14ac:dyDescent="0.25">
      <c r="A7" s="3" t="s">
        <v>216</v>
      </c>
      <c r="B7" s="3" t="s">
        <v>696</v>
      </c>
      <c r="C7" s="3">
        <v>702327</v>
      </c>
      <c r="D7" s="3">
        <v>1</v>
      </c>
    </row>
    <row r="8" spans="1:5" ht="26.25" customHeight="1" x14ac:dyDescent="0.25">
      <c r="A8" s="3" t="s">
        <v>100</v>
      </c>
      <c r="B8" s="3" t="s">
        <v>697</v>
      </c>
      <c r="C8" s="3">
        <v>703396</v>
      </c>
      <c r="D8" s="3">
        <v>1</v>
      </c>
    </row>
    <row r="9" spans="1:5" ht="26.25" customHeight="1" x14ac:dyDescent="0.25">
      <c r="A9" s="3" t="s">
        <v>360</v>
      </c>
      <c r="B9" s="3" t="s">
        <v>414</v>
      </c>
      <c r="C9" s="3">
        <v>695133</v>
      </c>
      <c r="D9" s="3">
        <v>1</v>
      </c>
    </row>
    <row r="10" spans="1:5" ht="26.25" customHeight="1" x14ac:dyDescent="0.25">
      <c r="A10" s="3" t="s">
        <v>620</v>
      </c>
      <c r="B10" s="3" t="s">
        <v>698</v>
      </c>
      <c r="C10" s="3">
        <v>702925</v>
      </c>
      <c r="D10" s="3">
        <v>1</v>
      </c>
    </row>
    <row r="11" spans="1:5" ht="26.25" customHeight="1" x14ac:dyDescent="0.25">
      <c r="A11" s="3" t="s">
        <v>143</v>
      </c>
      <c r="B11" s="3" t="s">
        <v>699</v>
      </c>
      <c r="C11" s="3">
        <v>702878</v>
      </c>
      <c r="D11" s="3">
        <v>1</v>
      </c>
    </row>
    <row r="12" spans="1:5" ht="26.25" customHeight="1" x14ac:dyDescent="0.25">
      <c r="A12" s="3" t="s">
        <v>621</v>
      </c>
      <c r="B12" s="3" t="s">
        <v>700</v>
      </c>
      <c r="C12" s="3">
        <v>696355</v>
      </c>
      <c r="D12" s="3">
        <v>1</v>
      </c>
    </row>
    <row r="13" spans="1:5" ht="26.25" customHeight="1" x14ac:dyDescent="0.25">
      <c r="A13" s="3" t="s">
        <v>13</v>
      </c>
      <c r="B13" s="3" t="s">
        <v>701</v>
      </c>
      <c r="C13" s="3">
        <v>701301</v>
      </c>
      <c r="D13" s="3">
        <v>1</v>
      </c>
    </row>
    <row r="14" spans="1:5" ht="26.25" customHeight="1" x14ac:dyDescent="0.25">
      <c r="A14" s="3" t="s">
        <v>622</v>
      </c>
      <c r="B14" s="3" t="s">
        <v>702</v>
      </c>
      <c r="C14" s="3">
        <v>701848</v>
      </c>
      <c r="D14" s="3">
        <v>1</v>
      </c>
    </row>
    <row r="15" spans="1:5" ht="26.25" customHeight="1" x14ac:dyDescent="0.25">
      <c r="A15" s="3" t="s">
        <v>623</v>
      </c>
      <c r="B15" s="3" t="s">
        <v>703</v>
      </c>
      <c r="C15" s="3">
        <v>694933</v>
      </c>
      <c r="D15" s="3">
        <v>1</v>
      </c>
    </row>
    <row r="16" spans="1:5" ht="26.25" customHeight="1" x14ac:dyDescent="0.25">
      <c r="A16" s="3" t="s">
        <v>94</v>
      </c>
      <c r="B16" s="3" t="s">
        <v>704</v>
      </c>
      <c r="C16" s="3">
        <v>701296</v>
      </c>
      <c r="D16" s="3">
        <v>1</v>
      </c>
    </row>
    <row r="17" spans="1:4" ht="26.25" customHeight="1" x14ac:dyDescent="0.25">
      <c r="A17" s="3">
        <v>40109770</v>
      </c>
      <c r="B17" s="3" t="s">
        <v>507</v>
      </c>
      <c r="C17" s="3">
        <v>701577</v>
      </c>
      <c r="D17" s="3">
        <v>1</v>
      </c>
    </row>
    <row r="18" spans="1:4" ht="26.25" customHeight="1" x14ac:dyDescent="0.25">
      <c r="A18" s="3">
        <v>40050697</v>
      </c>
      <c r="B18" s="3" t="s">
        <v>705</v>
      </c>
      <c r="C18" s="3">
        <v>695979</v>
      </c>
      <c r="D18" s="3">
        <v>1</v>
      </c>
    </row>
    <row r="19" spans="1:4" ht="26.25" customHeight="1" x14ac:dyDescent="0.25">
      <c r="A19" s="3">
        <v>11546369</v>
      </c>
      <c r="B19" s="3" t="s">
        <v>775</v>
      </c>
      <c r="C19" s="3">
        <v>698542</v>
      </c>
      <c r="D19" s="3">
        <v>1</v>
      </c>
    </row>
    <row r="20" spans="1:4" ht="26.25" customHeight="1" x14ac:dyDescent="0.25">
      <c r="A20" s="3" t="s">
        <v>359</v>
      </c>
      <c r="B20" s="3" t="s">
        <v>706</v>
      </c>
      <c r="C20" s="3">
        <v>701736</v>
      </c>
      <c r="D20" s="3">
        <v>1</v>
      </c>
    </row>
    <row r="21" spans="1:4" ht="26.25" customHeight="1" x14ac:dyDescent="0.25">
      <c r="A21" s="3">
        <v>11546703</v>
      </c>
      <c r="B21" s="3" t="s">
        <v>707</v>
      </c>
      <c r="C21" s="3">
        <v>700794</v>
      </c>
      <c r="D21" s="3">
        <v>2</v>
      </c>
    </row>
    <row r="22" spans="1:4" ht="26.25" customHeight="1" x14ac:dyDescent="0.25">
      <c r="A22" s="3" t="s">
        <v>531</v>
      </c>
      <c r="B22" s="3" t="s">
        <v>535</v>
      </c>
      <c r="C22" s="3">
        <v>695122</v>
      </c>
      <c r="D22" s="3">
        <v>1</v>
      </c>
    </row>
    <row r="23" spans="1:4" ht="26.25" customHeight="1" x14ac:dyDescent="0.25">
      <c r="A23" s="3" t="s">
        <v>393</v>
      </c>
      <c r="B23" s="3" t="s">
        <v>464</v>
      </c>
      <c r="C23" s="3">
        <v>683358</v>
      </c>
      <c r="D23" s="3">
        <v>1</v>
      </c>
    </row>
    <row r="24" spans="1:4" ht="26.25" customHeight="1" x14ac:dyDescent="0.25">
      <c r="A24" s="3" t="s">
        <v>395</v>
      </c>
      <c r="B24" s="3" t="s">
        <v>708</v>
      </c>
      <c r="C24" s="3">
        <v>692762</v>
      </c>
      <c r="D24" s="3">
        <v>1</v>
      </c>
    </row>
    <row r="25" spans="1:4" ht="26.25" customHeight="1" x14ac:dyDescent="0.25">
      <c r="A25" s="3" t="s">
        <v>624</v>
      </c>
      <c r="B25" s="3" t="s">
        <v>710</v>
      </c>
      <c r="C25" s="3">
        <v>695114</v>
      </c>
      <c r="D25" s="3">
        <v>1</v>
      </c>
    </row>
    <row r="26" spans="1:4" ht="26.25" customHeight="1" x14ac:dyDescent="0.25">
      <c r="A26" s="3" t="s">
        <v>338</v>
      </c>
      <c r="B26" s="3" t="s">
        <v>709</v>
      </c>
      <c r="C26" s="3">
        <v>695678</v>
      </c>
      <c r="D26" s="3">
        <v>1</v>
      </c>
    </row>
    <row r="27" spans="1:4" ht="26.25" customHeight="1" x14ac:dyDescent="0.25">
      <c r="A27" s="3">
        <v>40179995</v>
      </c>
      <c r="B27" s="3" t="s">
        <v>711</v>
      </c>
      <c r="C27" s="3"/>
      <c r="D27" s="3">
        <v>1</v>
      </c>
    </row>
    <row r="28" spans="1:4" ht="26.25" customHeight="1" x14ac:dyDescent="0.25">
      <c r="A28" s="3">
        <v>11611990</v>
      </c>
      <c r="B28" s="3" t="s">
        <v>712</v>
      </c>
      <c r="C28" s="3">
        <v>695805</v>
      </c>
      <c r="D28" s="3">
        <v>2</v>
      </c>
    </row>
    <row r="29" spans="1:4" ht="26.25" customHeight="1" x14ac:dyDescent="0.25">
      <c r="A29" s="3" t="s">
        <v>625</v>
      </c>
      <c r="B29" s="3" t="s">
        <v>713</v>
      </c>
      <c r="C29" s="3">
        <v>701187</v>
      </c>
      <c r="D29" s="3">
        <v>1</v>
      </c>
    </row>
    <row r="30" spans="1:4" ht="26.25" customHeight="1" x14ac:dyDescent="0.25">
      <c r="A30" s="3" t="s">
        <v>626</v>
      </c>
      <c r="B30" s="3" t="s">
        <v>714</v>
      </c>
      <c r="C30" s="3">
        <v>697015</v>
      </c>
      <c r="D30" s="3">
        <v>1</v>
      </c>
    </row>
    <row r="31" spans="1:4" ht="26.25" customHeight="1" x14ac:dyDescent="0.25">
      <c r="A31" s="3" t="s">
        <v>319</v>
      </c>
      <c r="B31" s="3" t="s">
        <v>715</v>
      </c>
      <c r="C31" s="3">
        <v>681778</v>
      </c>
      <c r="D31" s="3">
        <v>1</v>
      </c>
    </row>
    <row r="32" spans="1:4" ht="26.25" customHeight="1" x14ac:dyDescent="0.25">
      <c r="A32" s="3" t="s">
        <v>15</v>
      </c>
      <c r="B32" s="3" t="s">
        <v>716</v>
      </c>
      <c r="C32" s="3">
        <v>701266</v>
      </c>
      <c r="D32" s="3">
        <v>1</v>
      </c>
    </row>
    <row r="33" spans="1:4" ht="26.25" customHeight="1" x14ac:dyDescent="0.25">
      <c r="A33" s="3" t="s">
        <v>392</v>
      </c>
      <c r="B33" s="3" t="s">
        <v>717</v>
      </c>
      <c r="C33" s="3">
        <v>701909</v>
      </c>
      <c r="D33" s="3">
        <v>1</v>
      </c>
    </row>
    <row r="34" spans="1:4" ht="26.25" customHeight="1" x14ac:dyDescent="0.25">
      <c r="A34" s="3">
        <v>11549170</v>
      </c>
      <c r="B34" s="3" t="s">
        <v>718</v>
      </c>
      <c r="C34" s="3">
        <v>701435</v>
      </c>
      <c r="D34" s="3">
        <v>1</v>
      </c>
    </row>
    <row r="35" spans="1:4" ht="26.25" customHeight="1" x14ac:dyDescent="0.25">
      <c r="A35" s="3" t="s">
        <v>435</v>
      </c>
      <c r="B35" s="3" t="s">
        <v>719</v>
      </c>
      <c r="C35" s="3">
        <v>679892</v>
      </c>
      <c r="D35" s="3">
        <v>1</v>
      </c>
    </row>
    <row r="36" spans="1:4" ht="26.25" customHeight="1" x14ac:dyDescent="0.25">
      <c r="A36" s="3" t="s">
        <v>398</v>
      </c>
      <c r="B36" s="3" t="s">
        <v>508</v>
      </c>
      <c r="C36" s="3">
        <v>695399</v>
      </c>
      <c r="D36" s="3">
        <v>1</v>
      </c>
    </row>
    <row r="37" spans="1:4" ht="26.25" customHeight="1" x14ac:dyDescent="0.25">
      <c r="A37" s="3" t="s">
        <v>145</v>
      </c>
      <c r="B37" s="3" t="s">
        <v>720</v>
      </c>
      <c r="C37" s="3">
        <v>689899</v>
      </c>
      <c r="D37" s="3">
        <v>1</v>
      </c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customHeight="1" x14ac:dyDescent="0.25">
      <c r="A43" s="40" t="s">
        <v>618</v>
      </c>
      <c r="B43" s="41"/>
      <c r="C43" s="42"/>
      <c r="D43" s="42"/>
    </row>
    <row r="44" spans="1:4" ht="26.25" customHeight="1" thickBot="1" x14ac:dyDescent="0.3">
      <c r="A44" s="39" t="s">
        <v>0</v>
      </c>
      <c r="B44" s="39"/>
      <c r="C44" s="2"/>
      <c r="D44" s="1">
        <f>+SUM(D5:D42)</f>
        <v>36</v>
      </c>
    </row>
    <row r="45" spans="1:4" ht="15.75" thickTop="1" x14ac:dyDescent="0.25"/>
  </sheetData>
  <mergeCells count="4">
    <mergeCell ref="A1:D1"/>
    <mergeCell ref="A2:D2"/>
    <mergeCell ref="A43:D43"/>
    <mergeCell ref="A44:B44"/>
  </mergeCells>
  <conditionalFormatting sqref="A1:A1048576">
    <cfRule type="duplicateValues" dxfId="331" priority="39"/>
  </conditionalFormatting>
  <conditionalFormatting sqref="A5:A37">
    <cfRule type="duplicateValues" dxfId="330" priority="44"/>
  </conditionalFormatting>
  <conditionalFormatting sqref="A38:A1048576 A1:A4">
    <cfRule type="duplicateValues" dxfId="329" priority="43"/>
  </conditionalFormatting>
  <conditionalFormatting sqref="B38:B1048576 B1:B4">
    <cfRule type="duplicateValues" dxfId="328" priority="41"/>
    <cfRule type="duplicateValues" dxfId="327" priority="42"/>
  </conditionalFormatting>
  <conditionalFormatting sqref="B5:C5">
    <cfRule type="duplicateValues" dxfId="326" priority="3"/>
    <cfRule type="duplicateValues" dxfId="325" priority="4"/>
  </conditionalFormatting>
  <conditionalFormatting sqref="B6:C37">
    <cfRule type="duplicateValues" dxfId="324" priority="1"/>
    <cfRule type="duplicateValues" dxfId="323" priority="2"/>
  </conditionalFormatting>
  <printOptions horizontalCentered="1" verticalCentered="1"/>
  <pageMargins left="0.11811023622047245" right="0.11811023622047245" top="0.15748031496062992" bottom="0.15748031496062992" header="0.11811023622047245" footer="0.11811023622047245"/>
  <pageSetup scale="8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8A45-CA99-4CAE-A677-582DDB1CE756}">
  <sheetPr>
    <tabColor rgb="FFFF0000"/>
    <pageSetUpPr fitToPage="1"/>
  </sheetPr>
  <dimension ref="A1:E50"/>
  <sheetViews>
    <sheetView topLeftCell="A30" zoomScaleNormal="100" workbookViewId="0">
      <selection activeCell="C3" sqref="C1:C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46149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>
        <v>11549171</v>
      </c>
      <c r="B5" s="3" t="s">
        <v>471</v>
      </c>
      <c r="C5" s="3">
        <v>702673</v>
      </c>
      <c r="D5" s="3">
        <v>1</v>
      </c>
    </row>
    <row r="6" spans="1:5" ht="26.25" customHeight="1" x14ac:dyDescent="0.25">
      <c r="A6" s="3" t="s">
        <v>722</v>
      </c>
      <c r="B6" s="3" t="s">
        <v>732</v>
      </c>
      <c r="C6" s="3">
        <v>696408</v>
      </c>
      <c r="D6" s="3">
        <v>1</v>
      </c>
    </row>
    <row r="7" spans="1:5" ht="26.25" customHeight="1" x14ac:dyDescent="0.25">
      <c r="A7" s="3" t="s">
        <v>723</v>
      </c>
      <c r="B7" s="3" t="s">
        <v>733</v>
      </c>
      <c r="C7" s="3">
        <v>694138</v>
      </c>
      <c r="D7" s="3">
        <v>1</v>
      </c>
    </row>
    <row r="8" spans="1:5" ht="26.25" customHeight="1" x14ac:dyDescent="0.25">
      <c r="A8" s="3" t="s">
        <v>91</v>
      </c>
      <c r="B8" s="3" t="s">
        <v>734</v>
      </c>
      <c r="C8" s="3">
        <v>695377</v>
      </c>
      <c r="D8" s="3">
        <v>1</v>
      </c>
    </row>
    <row r="9" spans="1:5" ht="26.25" customHeight="1" x14ac:dyDescent="0.25">
      <c r="A9" s="3">
        <v>11514596</v>
      </c>
      <c r="B9" s="3" t="s">
        <v>735</v>
      </c>
      <c r="C9" s="3">
        <v>692751</v>
      </c>
      <c r="D9" s="3">
        <v>1</v>
      </c>
    </row>
    <row r="10" spans="1:5" ht="26.25" customHeight="1" x14ac:dyDescent="0.25">
      <c r="A10" s="3" t="s">
        <v>731</v>
      </c>
      <c r="B10" s="3" t="s">
        <v>756</v>
      </c>
      <c r="C10" s="3"/>
      <c r="D10" s="3">
        <v>1</v>
      </c>
    </row>
    <row r="11" spans="1:5" ht="26.25" customHeight="1" x14ac:dyDescent="0.25">
      <c r="A11" s="3">
        <v>91054</v>
      </c>
      <c r="B11" s="3" t="s">
        <v>736</v>
      </c>
      <c r="C11" s="3">
        <v>696228</v>
      </c>
      <c r="D11" s="3">
        <v>2</v>
      </c>
      <c r="E11">
        <f>+D11*1700</f>
        <v>3400</v>
      </c>
    </row>
    <row r="12" spans="1:5" ht="26.25" customHeight="1" x14ac:dyDescent="0.25">
      <c r="A12" s="3">
        <v>11610091</v>
      </c>
      <c r="B12" s="3" t="s">
        <v>737</v>
      </c>
      <c r="C12" s="3">
        <v>702419</v>
      </c>
      <c r="D12" s="3">
        <v>1</v>
      </c>
    </row>
    <row r="13" spans="1:5" ht="26.25" customHeight="1" x14ac:dyDescent="0.25">
      <c r="A13" s="3" t="s">
        <v>724</v>
      </c>
      <c r="B13" s="3" t="s">
        <v>755</v>
      </c>
      <c r="C13" s="3"/>
      <c r="D13" s="3">
        <v>1</v>
      </c>
    </row>
    <row r="14" spans="1:5" ht="26.25" customHeight="1" x14ac:dyDescent="0.25">
      <c r="A14" s="3" t="s">
        <v>725</v>
      </c>
      <c r="B14" s="3" t="s">
        <v>738</v>
      </c>
      <c r="C14" s="3">
        <v>696070</v>
      </c>
      <c r="D14" s="3">
        <v>1</v>
      </c>
    </row>
    <row r="15" spans="1:5" ht="26.25" customHeight="1" x14ac:dyDescent="0.25">
      <c r="A15" s="3">
        <v>11547176</v>
      </c>
      <c r="B15" s="3" t="s">
        <v>739</v>
      </c>
      <c r="C15" s="3">
        <v>694894</v>
      </c>
      <c r="D15" s="3">
        <v>1</v>
      </c>
    </row>
    <row r="16" spans="1:5" ht="26.25" customHeight="1" x14ac:dyDescent="0.25">
      <c r="A16" s="3">
        <v>11516133</v>
      </c>
      <c r="B16" s="3" t="s">
        <v>740</v>
      </c>
      <c r="C16" s="3">
        <v>695523</v>
      </c>
      <c r="D16" s="3">
        <v>2</v>
      </c>
    </row>
    <row r="17" spans="1:5" ht="26.25" customHeight="1" x14ac:dyDescent="0.25">
      <c r="A17" s="3" t="s">
        <v>726</v>
      </c>
      <c r="B17" s="3" t="s">
        <v>741</v>
      </c>
      <c r="C17" s="3">
        <v>701902</v>
      </c>
      <c r="D17" s="3">
        <v>1</v>
      </c>
    </row>
    <row r="18" spans="1:5" ht="26.25" customHeight="1" x14ac:dyDescent="0.25">
      <c r="A18" s="3" t="s">
        <v>17</v>
      </c>
      <c r="B18" s="3" t="s">
        <v>742</v>
      </c>
      <c r="C18" s="3">
        <v>702122</v>
      </c>
      <c r="D18" s="3">
        <v>2</v>
      </c>
    </row>
    <row r="19" spans="1:5" ht="26.25" customHeight="1" x14ac:dyDescent="0.25">
      <c r="A19" s="3">
        <v>11602326</v>
      </c>
      <c r="B19" s="3" t="s">
        <v>743</v>
      </c>
      <c r="C19" s="3">
        <v>702951</v>
      </c>
      <c r="D19" s="3">
        <v>2</v>
      </c>
    </row>
    <row r="20" spans="1:5" ht="26.25" customHeight="1" x14ac:dyDescent="0.25">
      <c r="A20" s="3" t="s">
        <v>141</v>
      </c>
      <c r="B20" s="3" t="s">
        <v>442</v>
      </c>
      <c r="C20" s="3">
        <v>701084</v>
      </c>
      <c r="D20" s="3">
        <v>1</v>
      </c>
    </row>
    <row r="21" spans="1:5" ht="26.25" customHeight="1" x14ac:dyDescent="0.25">
      <c r="A21" s="3">
        <v>11547369</v>
      </c>
      <c r="B21" s="3" t="s">
        <v>744</v>
      </c>
      <c r="C21" s="3">
        <v>702014</v>
      </c>
      <c r="D21" s="3">
        <v>2</v>
      </c>
    </row>
    <row r="22" spans="1:5" ht="26.25" customHeight="1" x14ac:dyDescent="0.25">
      <c r="A22" s="3" t="s">
        <v>727</v>
      </c>
      <c r="B22" s="3" t="s">
        <v>745</v>
      </c>
      <c r="C22" s="3">
        <v>702491</v>
      </c>
      <c r="D22" s="3">
        <v>1</v>
      </c>
    </row>
    <row r="23" spans="1:5" ht="26.25" customHeight="1" x14ac:dyDescent="0.25">
      <c r="A23" s="3">
        <v>11546365</v>
      </c>
      <c r="B23" s="3" t="s">
        <v>754</v>
      </c>
      <c r="C23" s="3"/>
      <c r="D23" s="3">
        <v>1</v>
      </c>
    </row>
    <row r="24" spans="1:5" ht="26.25" customHeight="1" x14ac:dyDescent="0.25">
      <c r="A24" s="3" t="s">
        <v>136</v>
      </c>
      <c r="B24" s="3" t="s">
        <v>439</v>
      </c>
      <c r="C24" s="3">
        <v>702708</v>
      </c>
      <c r="D24" s="3">
        <v>1</v>
      </c>
    </row>
    <row r="25" spans="1:5" ht="26.25" customHeight="1" x14ac:dyDescent="0.25">
      <c r="A25" s="3" t="s">
        <v>404</v>
      </c>
      <c r="B25" s="3" t="s">
        <v>746</v>
      </c>
      <c r="C25" s="3">
        <v>703639</v>
      </c>
      <c r="D25" s="3">
        <v>1</v>
      </c>
    </row>
    <row r="26" spans="1:5" ht="26.25" customHeight="1" x14ac:dyDescent="0.25">
      <c r="A26" s="3" t="s">
        <v>339</v>
      </c>
      <c r="B26" s="3" t="s">
        <v>747</v>
      </c>
      <c r="C26" s="3">
        <v>702519</v>
      </c>
      <c r="D26" s="3">
        <v>1</v>
      </c>
    </row>
    <row r="27" spans="1:5" ht="26.25" customHeight="1" x14ac:dyDescent="0.25">
      <c r="A27" s="3" t="s">
        <v>400</v>
      </c>
      <c r="B27" s="3" t="s">
        <v>748</v>
      </c>
      <c r="C27" s="3">
        <v>702991</v>
      </c>
      <c r="D27" s="3">
        <v>1</v>
      </c>
    </row>
    <row r="28" spans="1:5" ht="26.25" customHeight="1" x14ac:dyDescent="0.25">
      <c r="A28" s="3">
        <v>11546378</v>
      </c>
      <c r="B28" s="3" t="s">
        <v>749</v>
      </c>
      <c r="C28" s="3">
        <v>696834</v>
      </c>
      <c r="D28" s="3">
        <v>1</v>
      </c>
    </row>
    <row r="29" spans="1:5" ht="26.25" customHeight="1" x14ac:dyDescent="0.25">
      <c r="A29" s="3" t="s">
        <v>728</v>
      </c>
      <c r="B29" s="3" t="s">
        <v>751</v>
      </c>
      <c r="C29" s="3"/>
      <c r="D29" s="3">
        <v>1</v>
      </c>
    </row>
    <row r="30" spans="1:5" ht="26.25" customHeight="1" x14ac:dyDescent="0.25">
      <c r="A30" s="3" t="s">
        <v>729</v>
      </c>
      <c r="B30" s="3" t="s">
        <v>753</v>
      </c>
      <c r="C30" s="3"/>
      <c r="D30" s="3">
        <v>1</v>
      </c>
    </row>
    <row r="31" spans="1:5" ht="26.25" customHeight="1" x14ac:dyDescent="0.25">
      <c r="A31" s="3" t="s">
        <v>531</v>
      </c>
      <c r="B31" s="3" t="s">
        <v>535</v>
      </c>
      <c r="C31" s="3">
        <v>695122</v>
      </c>
      <c r="D31" s="3">
        <v>2</v>
      </c>
      <c r="E31">
        <f>+D31*1500</f>
        <v>3000</v>
      </c>
    </row>
    <row r="32" spans="1:5" ht="26.25" customHeight="1" x14ac:dyDescent="0.25">
      <c r="A32" s="3" t="s">
        <v>603</v>
      </c>
      <c r="B32" s="3" t="s">
        <v>752</v>
      </c>
      <c r="C32" s="3"/>
      <c r="D32" s="3">
        <v>1</v>
      </c>
    </row>
    <row r="33" spans="1:4" ht="26.25" customHeight="1" x14ac:dyDescent="0.25">
      <c r="A33" s="3" t="s">
        <v>730</v>
      </c>
      <c r="B33" s="3" t="s">
        <v>750</v>
      </c>
      <c r="C33" s="3">
        <v>702282</v>
      </c>
      <c r="D33" s="3">
        <v>2</v>
      </c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hidden="1" customHeight="1" x14ac:dyDescent="0.25">
      <c r="A47" s="3"/>
      <c r="B47" s="3"/>
      <c r="C47" s="3"/>
      <c r="D47" s="3"/>
    </row>
    <row r="48" spans="1:4" ht="26.25" customHeight="1" x14ac:dyDescent="0.25">
      <c r="A48" s="40" t="s">
        <v>721</v>
      </c>
      <c r="B48" s="41"/>
      <c r="C48" s="42"/>
      <c r="D48" s="42"/>
    </row>
    <row r="49" spans="1:4" ht="26.25" customHeight="1" thickBot="1" x14ac:dyDescent="0.3">
      <c r="A49" s="39" t="s">
        <v>0</v>
      </c>
      <c r="B49" s="39"/>
      <c r="C49" s="2"/>
      <c r="D49" s="1">
        <f>+SUM(D5:D47)</f>
        <v>36</v>
      </c>
    </row>
    <row r="50" spans="1:4" ht="15.75" thickTop="1" x14ac:dyDescent="0.25"/>
  </sheetData>
  <mergeCells count="4">
    <mergeCell ref="A1:D1"/>
    <mergeCell ref="A2:D2"/>
    <mergeCell ref="A48:D48"/>
    <mergeCell ref="A49:B49"/>
  </mergeCells>
  <conditionalFormatting sqref="A1:A1048576">
    <cfRule type="duplicateValues" dxfId="322" priority="32"/>
  </conditionalFormatting>
  <conditionalFormatting sqref="A5:A42">
    <cfRule type="duplicateValues" dxfId="321" priority="36"/>
  </conditionalFormatting>
  <conditionalFormatting sqref="A43:A1048576 A1:A4">
    <cfRule type="duplicateValues" dxfId="320" priority="35"/>
  </conditionalFormatting>
  <conditionalFormatting sqref="B43:B1048576 B1:B4">
    <cfRule type="duplicateValues" dxfId="319" priority="33"/>
    <cfRule type="duplicateValues" dxfId="318" priority="34"/>
  </conditionalFormatting>
  <conditionalFormatting sqref="B5:C5">
    <cfRule type="duplicateValues" dxfId="317" priority="3"/>
    <cfRule type="duplicateValues" dxfId="316" priority="4"/>
  </conditionalFormatting>
  <conditionalFormatting sqref="B6:C33">
    <cfRule type="duplicateValues" dxfId="315" priority="1"/>
    <cfRule type="duplicateValues" dxfId="314" priority="2"/>
  </conditionalFormatting>
  <conditionalFormatting sqref="B34:C42">
    <cfRule type="duplicateValues" dxfId="313" priority="28"/>
    <cfRule type="duplicateValues" dxfId="312" priority="29"/>
  </conditionalFormatting>
  <printOptions horizontalCentered="1" verticalCentered="1"/>
  <pageMargins left="0.11811023622047245" right="0.11811023622047245" top="0.15748031496062992" bottom="0.15748031496062992" header="0.11811023622047245" footer="0.11811023622047245"/>
  <pageSetup scale="81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9C79-63A7-461C-9F74-6B932C966C50}">
  <sheetPr>
    <tabColor rgb="FFFF0000"/>
    <pageSetUpPr fitToPage="1"/>
  </sheetPr>
  <dimension ref="A1:E50"/>
  <sheetViews>
    <sheetView topLeftCell="A13" zoomScaleNormal="100" workbookViewId="0">
      <selection activeCell="D65" sqref="D65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46150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 t="s">
        <v>399</v>
      </c>
      <c r="B5" s="3" t="s">
        <v>763</v>
      </c>
      <c r="C5" s="3"/>
      <c r="D5" s="3">
        <v>4</v>
      </c>
      <c r="E5">
        <f>+D5*2150</f>
        <v>8600</v>
      </c>
    </row>
    <row r="6" spans="1:5" ht="26.25" customHeight="1" x14ac:dyDescent="0.25">
      <c r="A6" s="3" t="s">
        <v>337</v>
      </c>
      <c r="B6" s="3" t="s">
        <v>764</v>
      </c>
      <c r="C6" s="3"/>
      <c r="D6" s="3">
        <v>1</v>
      </c>
    </row>
    <row r="7" spans="1:5" ht="26.25" customHeight="1" x14ac:dyDescent="0.25">
      <c r="A7" s="3" t="s">
        <v>607</v>
      </c>
      <c r="B7" s="3" t="s">
        <v>759</v>
      </c>
      <c r="C7" s="3"/>
      <c r="D7" s="3">
        <v>4</v>
      </c>
      <c r="E7">
        <f>+D7*700</f>
        <v>2800</v>
      </c>
    </row>
    <row r="8" spans="1:5" ht="26.25" customHeight="1" x14ac:dyDescent="0.25">
      <c r="A8" s="3">
        <v>11518532</v>
      </c>
      <c r="B8" s="3" t="s">
        <v>758</v>
      </c>
      <c r="C8" s="3"/>
      <c r="D8" s="3">
        <v>2</v>
      </c>
    </row>
    <row r="9" spans="1:5" ht="26.25" customHeight="1" x14ac:dyDescent="0.25">
      <c r="A9" s="3">
        <v>52056965</v>
      </c>
      <c r="B9" s="3" t="s">
        <v>765</v>
      </c>
      <c r="C9" s="3"/>
      <c r="D9" s="3">
        <v>2</v>
      </c>
    </row>
    <row r="10" spans="1:5" ht="26.25" customHeight="1" x14ac:dyDescent="0.25">
      <c r="A10" s="3" t="s">
        <v>390</v>
      </c>
      <c r="B10" s="3" t="s">
        <v>760</v>
      </c>
      <c r="C10" s="3"/>
      <c r="D10" s="3">
        <v>2</v>
      </c>
      <c r="E10">
        <f>+D10*4500</f>
        <v>9000</v>
      </c>
    </row>
    <row r="11" spans="1:5" ht="26.25" customHeight="1" x14ac:dyDescent="0.25">
      <c r="A11" s="3" t="s">
        <v>98</v>
      </c>
      <c r="B11" s="3" t="s">
        <v>766</v>
      </c>
      <c r="C11" s="3"/>
      <c r="D11" s="3">
        <v>2</v>
      </c>
      <c r="E11">
        <f>+D11*2800</f>
        <v>5600</v>
      </c>
    </row>
    <row r="12" spans="1:5" ht="26.25" customHeight="1" x14ac:dyDescent="0.25">
      <c r="A12" s="3" t="s">
        <v>90</v>
      </c>
      <c r="B12" s="3" t="s">
        <v>767</v>
      </c>
      <c r="C12" s="3"/>
      <c r="D12" s="3">
        <v>3</v>
      </c>
      <c r="E12">
        <f>+D12*3500</f>
        <v>10500</v>
      </c>
    </row>
    <row r="13" spans="1:5" ht="26.25" customHeight="1" x14ac:dyDescent="0.25">
      <c r="A13" s="3">
        <v>11546566</v>
      </c>
      <c r="B13" s="3" t="s">
        <v>768</v>
      </c>
      <c r="C13" s="3"/>
      <c r="D13" s="3">
        <v>3</v>
      </c>
      <c r="E13">
        <f>+D13*1800</f>
        <v>5400</v>
      </c>
    </row>
    <row r="14" spans="1:5" ht="26.25" customHeight="1" x14ac:dyDescent="0.25">
      <c r="A14" s="3" t="s">
        <v>217</v>
      </c>
      <c r="B14" s="3" t="s">
        <v>769</v>
      </c>
      <c r="C14" s="3"/>
      <c r="D14" s="3">
        <v>4</v>
      </c>
      <c r="E14">
        <f>+D14*940</f>
        <v>3760</v>
      </c>
    </row>
    <row r="15" spans="1:5" ht="26.25" customHeight="1" x14ac:dyDescent="0.25">
      <c r="A15" s="3">
        <v>91058</v>
      </c>
      <c r="B15" s="3" t="s">
        <v>761</v>
      </c>
      <c r="C15" s="3"/>
      <c r="D15" s="3">
        <v>2</v>
      </c>
    </row>
    <row r="16" spans="1:5" ht="26.25" customHeight="1" x14ac:dyDescent="0.25">
      <c r="A16" s="3" t="s">
        <v>762</v>
      </c>
      <c r="B16" s="3" t="s">
        <v>773</v>
      </c>
      <c r="C16" s="3"/>
      <c r="D16" s="3">
        <v>2</v>
      </c>
      <c r="E16" t="s">
        <v>776</v>
      </c>
    </row>
    <row r="17" spans="1:4" ht="26.25" customHeight="1" x14ac:dyDescent="0.25">
      <c r="A17" s="3" t="s">
        <v>216</v>
      </c>
      <c r="B17" s="3" t="s">
        <v>770</v>
      </c>
      <c r="C17" s="3"/>
      <c r="D17" s="3">
        <v>2</v>
      </c>
    </row>
    <row r="18" spans="1:4" ht="26.25" customHeight="1" x14ac:dyDescent="0.25">
      <c r="A18" s="3">
        <v>11546449</v>
      </c>
      <c r="B18" s="3" t="s">
        <v>771</v>
      </c>
      <c r="C18" s="3"/>
      <c r="D18" s="3">
        <v>2</v>
      </c>
    </row>
    <row r="19" spans="1:4" ht="26.25" customHeight="1" x14ac:dyDescent="0.25">
      <c r="A19" s="3" t="s">
        <v>208</v>
      </c>
      <c r="B19" s="3" t="s">
        <v>772</v>
      </c>
      <c r="C19" s="3"/>
      <c r="D19" s="3">
        <v>1</v>
      </c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hidden="1" customHeight="1" x14ac:dyDescent="0.25">
      <c r="A29" s="3"/>
      <c r="B29" s="3"/>
      <c r="C29" s="3"/>
      <c r="D29" s="3"/>
    </row>
    <row r="30" spans="1:4" ht="26.25" hidden="1" customHeight="1" x14ac:dyDescent="0.25">
      <c r="A30" s="3"/>
      <c r="B30" s="3"/>
      <c r="C30" s="3"/>
      <c r="D30" s="3"/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hidden="1" customHeight="1" x14ac:dyDescent="0.25">
      <c r="A47" s="3"/>
      <c r="B47" s="3"/>
      <c r="C47" s="3"/>
      <c r="D47" s="3"/>
    </row>
    <row r="48" spans="1:4" ht="26.25" customHeight="1" x14ac:dyDescent="0.25">
      <c r="A48" s="40" t="s">
        <v>757</v>
      </c>
      <c r="B48" s="41"/>
      <c r="C48" s="42"/>
      <c r="D48" s="42"/>
    </row>
    <row r="49" spans="1:4" ht="26.25" customHeight="1" thickBot="1" x14ac:dyDescent="0.3">
      <c r="A49" s="39" t="s">
        <v>0</v>
      </c>
      <c r="B49" s="39"/>
      <c r="C49" s="2"/>
      <c r="D49" s="1">
        <f>+SUM(D5:D47)</f>
        <v>36</v>
      </c>
    </row>
    <row r="50" spans="1:4" ht="15.75" thickTop="1" x14ac:dyDescent="0.25"/>
  </sheetData>
  <mergeCells count="4">
    <mergeCell ref="A1:D1"/>
    <mergeCell ref="A2:D2"/>
    <mergeCell ref="A48:D48"/>
    <mergeCell ref="A49:B49"/>
  </mergeCells>
  <conditionalFormatting sqref="A1:A1048576">
    <cfRule type="duplicateValues" dxfId="311" priority="7"/>
  </conditionalFormatting>
  <conditionalFormatting sqref="A5:A42">
    <cfRule type="duplicateValues" dxfId="310" priority="11"/>
  </conditionalFormatting>
  <conditionalFormatting sqref="A43:A1048576 A1:A4">
    <cfRule type="duplicateValues" dxfId="309" priority="10"/>
  </conditionalFormatting>
  <conditionalFormatting sqref="B43:B1048576 B1:B4">
    <cfRule type="duplicateValues" dxfId="308" priority="8"/>
    <cfRule type="duplicateValues" dxfId="307" priority="9"/>
  </conditionalFormatting>
  <conditionalFormatting sqref="B5:C5">
    <cfRule type="duplicateValues" dxfId="306" priority="3"/>
    <cfRule type="duplicateValues" dxfId="305" priority="4"/>
  </conditionalFormatting>
  <conditionalFormatting sqref="B6:C33">
    <cfRule type="duplicateValues" dxfId="304" priority="1"/>
    <cfRule type="duplicateValues" dxfId="303" priority="2"/>
  </conditionalFormatting>
  <conditionalFormatting sqref="B34:C42">
    <cfRule type="duplicateValues" dxfId="302" priority="5"/>
    <cfRule type="duplicateValues" dxfId="301" priority="6"/>
  </conditionalFormatting>
  <printOptions horizontalCentered="1"/>
  <pageMargins left="0.11811023622047245" right="0.11811023622047245" top="0.15748031496062992" bottom="0.15748031496062992" header="0.11811023622047245" footer="0.1181102362204724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ED8B-6FC9-45AA-9AC4-EEF03473B0CA}">
  <sheetPr>
    <tabColor rgb="FFFF0000"/>
    <pageSetUpPr fitToPage="1"/>
  </sheetPr>
  <dimension ref="A1:E49"/>
  <sheetViews>
    <sheetView topLeftCell="A5" zoomScaleNormal="100" workbookViewId="0">
      <selection activeCell="E15" sqref="E15"/>
    </sheetView>
  </sheetViews>
  <sheetFormatPr defaultRowHeight="15" x14ac:dyDescent="0.25"/>
  <cols>
    <col min="1" max="2" width="26.140625" customWidth="1"/>
    <col min="3" max="3" width="10.140625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46174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>
        <v>11549170</v>
      </c>
      <c r="B5" s="3" t="s">
        <v>779</v>
      </c>
      <c r="C5" s="3">
        <v>701837</v>
      </c>
      <c r="D5" s="3">
        <v>6</v>
      </c>
      <c r="E5">
        <f>+D5*400</f>
        <v>2400</v>
      </c>
    </row>
    <row r="6" spans="1:5" ht="26.25" customHeight="1" x14ac:dyDescent="0.25">
      <c r="A6" s="3">
        <v>11548414</v>
      </c>
      <c r="B6" s="3" t="s">
        <v>780</v>
      </c>
      <c r="C6" s="3">
        <v>695844</v>
      </c>
      <c r="D6" s="3">
        <v>5</v>
      </c>
      <c r="E6">
        <f>+D6*485</f>
        <v>2425</v>
      </c>
    </row>
    <row r="7" spans="1:5" ht="26.25" customHeight="1" x14ac:dyDescent="0.25">
      <c r="A7" s="3">
        <v>11547059</v>
      </c>
      <c r="B7" s="3" t="s">
        <v>781</v>
      </c>
      <c r="C7" s="3">
        <v>695597</v>
      </c>
      <c r="D7" s="3">
        <v>1</v>
      </c>
    </row>
    <row r="8" spans="1:5" ht="26.25" customHeight="1" x14ac:dyDescent="0.25">
      <c r="A8" s="3" t="s">
        <v>49</v>
      </c>
      <c r="B8" s="3" t="s">
        <v>782</v>
      </c>
      <c r="C8" s="3">
        <v>695237</v>
      </c>
      <c r="D8" s="3">
        <v>1</v>
      </c>
    </row>
    <row r="9" spans="1:5" ht="26.25" customHeight="1" x14ac:dyDescent="0.25">
      <c r="A9" s="3">
        <v>91054</v>
      </c>
      <c r="B9" s="3" t="s">
        <v>555</v>
      </c>
      <c r="C9" s="3">
        <v>688007</v>
      </c>
      <c r="D9" s="3">
        <v>1</v>
      </c>
    </row>
    <row r="10" spans="1:5" ht="26.25" customHeight="1" x14ac:dyDescent="0.25">
      <c r="A10" s="3">
        <v>11546463</v>
      </c>
      <c r="B10" s="3" t="s">
        <v>783</v>
      </c>
      <c r="C10" s="3">
        <v>695862</v>
      </c>
      <c r="D10" s="3">
        <v>5</v>
      </c>
      <c r="E10">
        <f>+D10*450</f>
        <v>2250</v>
      </c>
    </row>
    <row r="11" spans="1:5" ht="26.25" customHeight="1" x14ac:dyDescent="0.25">
      <c r="A11" s="3">
        <v>11546545</v>
      </c>
      <c r="B11" s="3" t="s">
        <v>784</v>
      </c>
      <c r="C11" s="3">
        <v>695688</v>
      </c>
      <c r="D11" s="3">
        <v>6</v>
      </c>
      <c r="E11">
        <f>+D11*2500</f>
        <v>15000</v>
      </c>
    </row>
    <row r="12" spans="1:5" ht="26.25" customHeight="1" x14ac:dyDescent="0.25">
      <c r="A12" s="3">
        <v>11549168</v>
      </c>
      <c r="B12" s="3" t="s">
        <v>785</v>
      </c>
      <c r="C12" s="3">
        <v>693875</v>
      </c>
      <c r="D12" s="3">
        <v>7</v>
      </c>
    </row>
    <row r="13" spans="1:5" ht="26.25" customHeight="1" x14ac:dyDescent="0.25">
      <c r="A13" s="3">
        <v>11518428</v>
      </c>
      <c r="B13" s="3" t="s">
        <v>786</v>
      </c>
      <c r="C13" s="3">
        <v>711370</v>
      </c>
      <c r="D13" s="3">
        <v>1</v>
      </c>
    </row>
    <row r="14" spans="1:5" ht="26.25" customHeight="1" x14ac:dyDescent="0.25">
      <c r="A14" s="3">
        <v>11546448</v>
      </c>
      <c r="B14" s="3" t="s">
        <v>787</v>
      </c>
      <c r="C14" s="3">
        <v>696499</v>
      </c>
      <c r="D14" s="3">
        <v>2</v>
      </c>
    </row>
    <row r="15" spans="1:5" ht="26.25" customHeight="1" x14ac:dyDescent="0.25">
      <c r="A15" s="3" t="s">
        <v>92</v>
      </c>
      <c r="B15" s="3" t="s">
        <v>788</v>
      </c>
      <c r="C15" s="3">
        <v>710449</v>
      </c>
      <c r="D15" s="3">
        <v>1</v>
      </c>
    </row>
    <row r="16" spans="1:5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hidden="1" customHeight="1" x14ac:dyDescent="0.25">
      <c r="A25" s="3"/>
      <c r="B25" s="3"/>
      <c r="C25" s="3"/>
      <c r="D25" s="3"/>
    </row>
    <row r="26" spans="1:4" ht="26.25" hidden="1" customHeight="1" x14ac:dyDescent="0.25">
      <c r="A26" s="3"/>
      <c r="B26" s="3"/>
      <c r="C26" s="3"/>
      <c r="D26" s="3"/>
    </row>
    <row r="27" spans="1:4" ht="26.25" hidden="1" customHeight="1" x14ac:dyDescent="0.25">
      <c r="A27" s="3"/>
      <c r="B27" s="3"/>
      <c r="C27" s="3"/>
      <c r="D27" s="3"/>
    </row>
    <row r="28" spans="1:4" ht="26.25" hidden="1" customHeight="1" x14ac:dyDescent="0.25">
      <c r="A28" s="3"/>
      <c r="B28" s="3"/>
      <c r="C28" s="3"/>
      <c r="D28" s="3"/>
    </row>
    <row r="29" spans="1:4" ht="26.25" hidden="1" customHeight="1" x14ac:dyDescent="0.25">
      <c r="A29" s="3"/>
      <c r="B29" s="3"/>
      <c r="C29" s="3"/>
      <c r="D29" s="3"/>
    </row>
    <row r="30" spans="1:4" ht="26.25" hidden="1" customHeight="1" x14ac:dyDescent="0.25">
      <c r="A30" s="3"/>
      <c r="B30" s="3"/>
      <c r="C30" s="3"/>
      <c r="D30" s="3"/>
    </row>
    <row r="31" spans="1:4" ht="26.25" hidden="1" customHeight="1" x14ac:dyDescent="0.25">
      <c r="A31" s="3"/>
      <c r="B31" s="3"/>
      <c r="C31" s="3"/>
      <c r="D31" s="3"/>
    </row>
    <row r="32" spans="1:4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customHeight="1" x14ac:dyDescent="0.25">
      <c r="A47" s="40" t="s">
        <v>778</v>
      </c>
      <c r="B47" s="41"/>
      <c r="C47" s="42"/>
      <c r="D47" s="42"/>
    </row>
    <row r="48" spans="1:4" ht="26.25" customHeight="1" thickBot="1" x14ac:dyDescent="0.3">
      <c r="A48" s="39" t="s">
        <v>0</v>
      </c>
      <c r="B48" s="39"/>
      <c r="C48" s="2"/>
      <c r="D48" s="1">
        <f>+SUM(D5:D46)</f>
        <v>36</v>
      </c>
    </row>
    <row r="49" ht="15.75" thickTop="1" x14ac:dyDescent="0.25"/>
  </sheetData>
  <mergeCells count="4">
    <mergeCell ref="A1:D1"/>
    <mergeCell ref="A2:D2"/>
    <mergeCell ref="A47:D47"/>
    <mergeCell ref="A48:B48"/>
  </mergeCells>
  <conditionalFormatting sqref="A1:A1048576">
    <cfRule type="duplicateValues" dxfId="300" priority="11"/>
  </conditionalFormatting>
  <conditionalFormatting sqref="A5:A41">
    <cfRule type="duplicateValues" dxfId="299" priority="100"/>
  </conditionalFormatting>
  <conditionalFormatting sqref="A42:A1048576 A1:A4">
    <cfRule type="duplicateValues" dxfId="298" priority="14"/>
  </conditionalFormatting>
  <conditionalFormatting sqref="B42:B1048576 B1:B4">
    <cfRule type="duplicateValues" dxfId="297" priority="12"/>
    <cfRule type="duplicateValues" dxfId="296" priority="13"/>
  </conditionalFormatting>
  <conditionalFormatting sqref="B5:C5">
    <cfRule type="duplicateValues" dxfId="295" priority="3"/>
    <cfRule type="duplicateValues" dxfId="294" priority="4"/>
  </conditionalFormatting>
  <conditionalFormatting sqref="B6:C15">
    <cfRule type="duplicateValues" dxfId="293" priority="1"/>
    <cfRule type="duplicateValues" dxfId="292" priority="2"/>
  </conditionalFormatting>
  <conditionalFormatting sqref="B16:C32">
    <cfRule type="duplicateValues" dxfId="291" priority="105"/>
    <cfRule type="duplicateValues" dxfId="290" priority="106"/>
  </conditionalFormatting>
  <conditionalFormatting sqref="B33:C41">
    <cfRule type="duplicateValues" dxfId="289" priority="9"/>
    <cfRule type="duplicateValues" dxfId="288" priority="10"/>
  </conditionalFormatting>
  <printOptions horizontalCentered="1"/>
  <pageMargins left="0.11811023622047245" right="0.11811023622047245" top="0.15748031496062992" bottom="0.15748031496062992" header="0.11811023622047245" footer="0.1181102362204724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1F63-D5EA-4ADB-8819-40320EEB033D}">
  <sheetPr>
    <tabColor rgb="FFFF0000"/>
    <pageSetUpPr fitToPage="1"/>
  </sheetPr>
  <dimension ref="A1:E49"/>
  <sheetViews>
    <sheetView topLeftCell="A11" zoomScaleNormal="100" workbookViewId="0">
      <selection activeCell="E22" sqref="E22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46175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 t="s">
        <v>92</v>
      </c>
      <c r="B5" s="3" t="s">
        <v>788</v>
      </c>
      <c r="C5" s="3">
        <v>710449</v>
      </c>
      <c r="D5" s="3">
        <v>1</v>
      </c>
    </row>
    <row r="6" spans="1:5" ht="26.25" customHeight="1" x14ac:dyDescent="0.25">
      <c r="A6" s="3">
        <v>11546566</v>
      </c>
      <c r="B6" s="3" t="s">
        <v>791</v>
      </c>
      <c r="C6" s="3">
        <v>709471</v>
      </c>
      <c r="D6" s="3">
        <v>1</v>
      </c>
    </row>
    <row r="7" spans="1:5" ht="26.25" customHeight="1" x14ac:dyDescent="0.25">
      <c r="A7" s="3" t="s">
        <v>15</v>
      </c>
      <c r="B7" s="3" t="s">
        <v>792</v>
      </c>
      <c r="C7" s="3">
        <v>706167</v>
      </c>
      <c r="D7" s="3">
        <v>3</v>
      </c>
      <c r="E7">
        <f>+D7*700</f>
        <v>2100</v>
      </c>
    </row>
    <row r="8" spans="1:5" ht="26.25" customHeight="1" x14ac:dyDescent="0.25">
      <c r="A8" s="3">
        <v>11549170</v>
      </c>
      <c r="B8" s="3" t="s">
        <v>793</v>
      </c>
      <c r="C8" s="3">
        <v>707078</v>
      </c>
      <c r="D8" s="3">
        <v>1</v>
      </c>
    </row>
    <row r="9" spans="1:5" ht="26.25" customHeight="1" x14ac:dyDescent="0.25">
      <c r="A9" s="3" t="s">
        <v>286</v>
      </c>
      <c r="B9" s="3" t="s">
        <v>794</v>
      </c>
      <c r="C9" s="3">
        <v>709520</v>
      </c>
      <c r="D9" s="3">
        <v>4</v>
      </c>
      <c r="E9">
        <f>+D9*750</f>
        <v>3000</v>
      </c>
    </row>
    <row r="10" spans="1:5" ht="26.25" customHeight="1" x14ac:dyDescent="0.25">
      <c r="A10" s="3">
        <v>11602031</v>
      </c>
      <c r="B10" s="3" t="s">
        <v>795</v>
      </c>
      <c r="C10" s="3">
        <v>710913</v>
      </c>
      <c r="D10" s="3">
        <v>3</v>
      </c>
      <c r="E10">
        <f>+D10*145</f>
        <v>435</v>
      </c>
    </row>
    <row r="11" spans="1:5" ht="26.25" customHeight="1" x14ac:dyDescent="0.25">
      <c r="A11" s="3" t="s">
        <v>52</v>
      </c>
      <c r="B11" s="3" t="s">
        <v>796</v>
      </c>
      <c r="C11" s="3">
        <v>710431</v>
      </c>
      <c r="D11" s="3">
        <v>2</v>
      </c>
      <c r="E11">
        <f>+D11*660</f>
        <v>1320</v>
      </c>
    </row>
    <row r="12" spans="1:5" ht="26.25" customHeight="1" x14ac:dyDescent="0.25">
      <c r="A12" s="3">
        <v>11546377</v>
      </c>
      <c r="B12" s="3" t="s">
        <v>797</v>
      </c>
      <c r="C12" s="3">
        <v>707340</v>
      </c>
      <c r="D12" s="3">
        <v>3</v>
      </c>
      <c r="E12">
        <f>+D12*2150</f>
        <v>6450</v>
      </c>
    </row>
    <row r="13" spans="1:5" ht="26.25" customHeight="1" x14ac:dyDescent="0.25">
      <c r="A13" s="3">
        <v>61273</v>
      </c>
      <c r="B13" s="3" t="s">
        <v>798</v>
      </c>
      <c r="C13" s="3">
        <v>706903</v>
      </c>
      <c r="D13" s="3">
        <v>1</v>
      </c>
    </row>
    <row r="14" spans="1:5" ht="26.25" customHeight="1" x14ac:dyDescent="0.25">
      <c r="A14" s="3" t="s">
        <v>55</v>
      </c>
      <c r="B14" s="3" t="s">
        <v>799</v>
      </c>
      <c r="C14" s="3">
        <v>707227</v>
      </c>
      <c r="D14" s="3">
        <v>2</v>
      </c>
      <c r="E14">
        <f>+D14*825</f>
        <v>1650</v>
      </c>
    </row>
    <row r="15" spans="1:5" ht="26.25" customHeight="1" x14ac:dyDescent="0.25">
      <c r="A15" s="3" t="s">
        <v>95</v>
      </c>
      <c r="B15" s="3" t="s">
        <v>800</v>
      </c>
      <c r="C15" s="3">
        <v>706144</v>
      </c>
      <c r="D15" s="3">
        <v>2</v>
      </c>
    </row>
    <row r="16" spans="1:5" ht="26.25" customHeight="1" x14ac:dyDescent="0.25">
      <c r="A16" s="3" t="s">
        <v>437</v>
      </c>
      <c r="B16" s="3" t="s">
        <v>801</v>
      </c>
      <c r="C16" s="3">
        <v>708453</v>
      </c>
      <c r="D16" s="3">
        <v>1</v>
      </c>
    </row>
    <row r="17" spans="1:5" ht="26.25" customHeight="1" x14ac:dyDescent="0.25">
      <c r="A17" s="3">
        <v>11546462</v>
      </c>
      <c r="B17" s="3" t="s">
        <v>802</v>
      </c>
      <c r="C17" s="3">
        <v>709867</v>
      </c>
      <c r="D17" s="3">
        <v>2</v>
      </c>
      <c r="E17">
        <f>+D17*650</f>
        <v>1300</v>
      </c>
    </row>
    <row r="18" spans="1:5" ht="26.25" customHeight="1" x14ac:dyDescent="0.25">
      <c r="A18" s="3">
        <v>11549204</v>
      </c>
      <c r="B18" s="3" t="s">
        <v>803</v>
      </c>
      <c r="C18" s="3">
        <v>710201</v>
      </c>
      <c r="D18" s="3">
        <v>5</v>
      </c>
      <c r="E18">
        <f>+D18*210</f>
        <v>1050</v>
      </c>
    </row>
    <row r="19" spans="1:5" ht="26.25" customHeight="1" x14ac:dyDescent="0.25">
      <c r="A19" s="3">
        <v>11588709</v>
      </c>
      <c r="B19" s="3" t="s">
        <v>804</v>
      </c>
      <c r="C19" s="3">
        <v>709069</v>
      </c>
      <c r="D19" s="3">
        <v>1</v>
      </c>
    </row>
    <row r="20" spans="1:5" ht="26.25" customHeight="1" x14ac:dyDescent="0.25">
      <c r="A20" s="3" t="s">
        <v>789</v>
      </c>
      <c r="B20" s="3" t="s">
        <v>805</v>
      </c>
      <c r="C20" s="3">
        <v>708991</v>
      </c>
      <c r="D20" s="3">
        <v>1</v>
      </c>
    </row>
    <row r="21" spans="1:5" ht="26.25" customHeight="1" x14ac:dyDescent="0.25">
      <c r="A21" s="3" t="s">
        <v>790</v>
      </c>
      <c r="B21" s="3" t="s">
        <v>806</v>
      </c>
      <c r="C21" s="3">
        <v>709342</v>
      </c>
      <c r="D21" s="3">
        <v>2</v>
      </c>
      <c r="E21">
        <f>+D21*1800</f>
        <v>3600</v>
      </c>
    </row>
    <row r="22" spans="1:5" ht="26.25" customHeight="1" x14ac:dyDescent="0.25">
      <c r="A22" s="3">
        <v>11548535</v>
      </c>
      <c r="B22" s="3" t="s">
        <v>807</v>
      </c>
      <c r="C22" s="3">
        <v>708336</v>
      </c>
      <c r="D22" s="3">
        <v>1</v>
      </c>
    </row>
    <row r="23" spans="1:5" ht="26.25" hidden="1" customHeight="1" x14ac:dyDescent="0.25">
      <c r="A23" s="3"/>
      <c r="B23" s="3"/>
      <c r="C23" s="3"/>
      <c r="D23" s="3"/>
    </row>
    <row r="24" spans="1:5" ht="26.25" hidden="1" customHeight="1" x14ac:dyDescent="0.25">
      <c r="A24" s="3"/>
      <c r="B24" s="3"/>
      <c r="C24" s="3"/>
      <c r="D24" s="3"/>
    </row>
    <row r="25" spans="1:5" ht="26.25" hidden="1" customHeight="1" x14ac:dyDescent="0.25">
      <c r="A25" s="3"/>
      <c r="B25" s="3"/>
      <c r="C25" s="3"/>
      <c r="D25" s="3"/>
    </row>
    <row r="26" spans="1:5" ht="26.25" hidden="1" customHeight="1" x14ac:dyDescent="0.25">
      <c r="A26" s="3"/>
      <c r="B26" s="3"/>
      <c r="C26" s="3"/>
      <c r="D26" s="3"/>
    </row>
    <row r="27" spans="1:5" ht="26.25" hidden="1" customHeight="1" x14ac:dyDescent="0.25">
      <c r="A27" s="3"/>
      <c r="B27" s="3"/>
      <c r="C27" s="3"/>
      <c r="D27" s="3"/>
    </row>
    <row r="28" spans="1:5" ht="26.25" hidden="1" customHeight="1" x14ac:dyDescent="0.25">
      <c r="A28" s="3"/>
      <c r="B28" s="3"/>
      <c r="C28" s="3"/>
      <c r="D28" s="3"/>
    </row>
    <row r="29" spans="1:5" ht="26.25" hidden="1" customHeight="1" x14ac:dyDescent="0.25">
      <c r="A29" s="3"/>
      <c r="B29" s="3"/>
      <c r="C29" s="3"/>
      <c r="D29" s="3"/>
    </row>
    <row r="30" spans="1:5" ht="26.25" hidden="1" customHeight="1" x14ac:dyDescent="0.25">
      <c r="A30" s="3"/>
      <c r="B30" s="3"/>
      <c r="C30" s="3"/>
      <c r="D30" s="3"/>
    </row>
    <row r="31" spans="1:5" ht="26.25" hidden="1" customHeight="1" x14ac:dyDescent="0.25">
      <c r="A31" s="3"/>
      <c r="B31" s="3"/>
      <c r="C31" s="3"/>
      <c r="D31" s="3"/>
    </row>
    <row r="32" spans="1:5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customHeight="1" x14ac:dyDescent="0.25">
      <c r="A47" s="40" t="s">
        <v>609</v>
      </c>
      <c r="B47" s="41"/>
      <c r="C47" s="42"/>
      <c r="D47" s="42"/>
    </row>
    <row r="48" spans="1:4" ht="26.25" customHeight="1" thickBot="1" x14ac:dyDescent="0.3">
      <c r="A48" s="39" t="s">
        <v>0</v>
      </c>
      <c r="B48" s="39"/>
      <c r="C48" s="2"/>
      <c r="D48" s="1">
        <f>+SUM(D5:D46)</f>
        <v>36</v>
      </c>
    </row>
    <row r="49" ht="15.75" thickTop="1" x14ac:dyDescent="0.25"/>
  </sheetData>
  <mergeCells count="4">
    <mergeCell ref="A1:D1"/>
    <mergeCell ref="A2:D2"/>
    <mergeCell ref="A47:D47"/>
    <mergeCell ref="A48:B48"/>
  </mergeCells>
  <conditionalFormatting sqref="A1:A1048576">
    <cfRule type="duplicateValues" dxfId="287" priority="11"/>
  </conditionalFormatting>
  <conditionalFormatting sqref="A5:A41">
    <cfRule type="duplicateValues" dxfId="286" priority="15"/>
  </conditionalFormatting>
  <conditionalFormatting sqref="A42:A1048576 A1:A4">
    <cfRule type="duplicateValues" dxfId="285" priority="14"/>
  </conditionalFormatting>
  <conditionalFormatting sqref="B42:B1048576 B1:B4">
    <cfRule type="duplicateValues" dxfId="284" priority="12"/>
    <cfRule type="duplicateValues" dxfId="283" priority="13"/>
  </conditionalFormatting>
  <conditionalFormatting sqref="B5:C5">
    <cfRule type="duplicateValues" dxfId="282" priority="3"/>
    <cfRule type="duplicateValues" dxfId="281" priority="4"/>
  </conditionalFormatting>
  <conditionalFormatting sqref="B6:C22">
    <cfRule type="duplicateValues" dxfId="280" priority="1"/>
    <cfRule type="duplicateValues" dxfId="279" priority="2"/>
  </conditionalFormatting>
  <conditionalFormatting sqref="B23:C32">
    <cfRule type="duplicateValues" dxfId="278" priority="16"/>
    <cfRule type="duplicateValues" dxfId="277" priority="17"/>
  </conditionalFormatting>
  <conditionalFormatting sqref="B33:C41">
    <cfRule type="duplicateValues" dxfId="276" priority="9"/>
    <cfRule type="duplicateValues" dxfId="275" priority="10"/>
  </conditionalFormatting>
  <printOptions horizontalCentered="1"/>
  <pageMargins left="0.11811023622047245" right="0.11811023622047245" top="0.15748031496062992" bottom="0.15748031496062992" header="0.11811023622047245" footer="0.1181102362204724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3C64-CE8B-4EB0-BDBE-006F67D6DCB4}">
  <sheetPr>
    <tabColor rgb="FFFF0000"/>
    <pageSetUpPr fitToPage="1"/>
  </sheetPr>
  <dimension ref="A1:E49"/>
  <sheetViews>
    <sheetView topLeftCell="A14" zoomScaleNormal="100" workbookViewId="0">
      <selection activeCell="B21" sqref="B21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5" ht="22.5" x14ac:dyDescent="0.25">
      <c r="A1" s="37" t="s">
        <v>6</v>
      </c>
      <c r="B1" s="37"/>
      <c r="C1" s="37"/>
      <c r="D1" s="37"/>
    </row>
    <row r="2" spans="1:5" ht="17.25" x14ac:dyDescent="0.25">
      <c r="A2" s="38">
        <v>46176</v>
      </c>
      <c r="B2" s="38"/>
      <c r="C2" s="38"/>
      <c r="D2" s="38"/>
    </row>
    <row r="3" spans="1:5" ht="17.25" x14ac:dyDescent="0.25">
      <c r="A3" s="5"/>
      <c r="B3" s="5"/>
      <c r="C3" s="5"/>
      <c r="D3" s="5"/>
    </row>
    <row r="4" spans="1:5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5" ht="26.25" customHeight="1" x14ac:dyDescent="0.25">
      <c r="A5" s="3" t="s">
        <v>603</v>
      </c>
      <c r="B5" s="3" t="s">
        <v>810</v>
      </c>
      <c r="C5" s="3">
        <v>709339</v>
      </c>
      <c r="D5" s="3">
        <v>3</v>
      </c>
      <c r="E5">
        <f>+D5*2500</f>
        <v>7500</v>
      </c>
    </row>
    <row r="6" spans="1:5" ht="26.25" customHeight="1" x14ac:dyDescent="0.25">
      <c r="A6" s="3">
        <v>52056965</v>
      </c>
      <c r="B6" s="3" t="s">
        <v>811</v>
      </c>
      <c r="C6" s="3">
        <v>708889</v>
      </c>
      <c r="D6" s="3">
        <v>1</v>
      </c>
    </row>
    <row r="7" spans="1:5" ht="26.25" customHeight="1" x14ac:dyDescent="0.25">
      <c r="A7" s="3">
        <v>11546449</v>
      </c>
      <c r="B7" s="3" t="s">
        <v>812</v>
      </c>
      <c r="C7" s="3">
        <v>708822</v>
      </c>
      <c r="D7" s="3">
        <v>2</v>
      </c>
    </row>
    <row r="8" spans="1:5" ht="26.25" customHeight="1" x14ac:dyDescent="0.25">
      <c r="A8" s="3" t="s">
        <v>97</v>
      </c>
      <c r="B8" s="3" t="s">
        <v>813</v>
      </c>
      <c r="C8" s="3">
        <v>708913</v>
      </c>
      <c r="D8" s="3">
        <v>2</v>
      </c>
      <c r="E8">
        <f>+D8*1900</f>
        <v>3800</v>
      </c>
    </row>
    <row r="9" spans="1:5" ht="26.25" customHeight="1" x14ac:dyDescent="0.25">
      <c r="A9" s="3" t="s">
        <v>212</v>
      </c>
      <c r="B9" s="3" t="s">
        <v>814</v>
      </c>
      <c r="C9" s="3">
        <v>707862</v>
      </c>
      <c r="D9" s="3">
        <v>2</v>
      </c>
      <c r="E9">
        <f>+D9*1250</f>
        <v>2500</v>
      </c>
    </row>
    <row r="10" spans="1:5" ht="26.25" customHeight="1" x14ac:dyDescent="0.25">
      <c r="A10" s="3" t="s">
        <v>181</v>
      </c>
      <c r="B10" s="3" t="s">
        <v>815</v>
      </c>
      <c r="C10" s="3">
        <v>706880</v>
      </c>
      <c r="D10" s="3">
        <v>2</v>
      </c>
    </row>
    <row r="11" spans="1:5" ht="26.25" customHeight="1" x14ac:dyDescent="0.25">
      <c r="A11" s="3" t="s">
        <v>142</v>
      </c>
      <c r="B11" s="3" t="s">
        <v>816</v>
      </c>
      <c r="C11" s="3">
        <v>707977</v>
      </c>
      <c r="D11" s="3">
        <v>1</v>
      </c>
    </row>
    <row r="12" spans="1:5" ht="26.25" customHeight="1" x14ac:dyDescent="0.25">
      <c r="A12" s="3" t="s">
        <v>47</v>
      </c>
      <c r="B12" s="3" t="s">
        <v>817</v>
      </c>
      <c r="C12" s="3">
        <v>707779</v>
      </c>
      <c r="D12" s="3">
        <v>1</v>
      </c>
    </row>
    <row r="13" spans="1:5" ht="26.25" customHeight="1" x14ac:dyDescent="0.25">
      <c r="A13" s="3">
        <v>11548535</v>
      </c>
      <c r="B13" s="3" t="s">
        <v>818</v>
      </c>
      <c r="C13" s="3">
        <v>708333</v>
      </c>
      <c r="D13" s="3">
        <v>1</v>
      </c>
    </row>
    <row r="14" spans="1:5" ht="26.25" customHeight="1" x14ac:dyDescent="0.25">
      <c r="A14" s="3">
        <v>40073474</v>
      </c>
      <c r="B14" s="3" t="s">
        <v>819</v>
      </c>
      <c r="C14" s="3">
        <v>709676</v>
      </c>
      <c r="D14" s="3">
        <v>1</v>
      </c>
    </row>
    <row r="15" spans="1:5" ht="26.25" customHeight="1" x14ac:dyDescent="0.25">
      <c r="A15" s="3">
        <v>11549204</v>
      </c>
      <c r="B15" s="3" t="s">
        <v>820</v>
      </c>
      <c r="C15" s="3">
        <v>710424</v>
      </c>
      <c r="D15" s="3">
        <v>1</v>
      </c>
    </row>
    <row r="16" spans="1:5" ht="26.25" customHeight="1" x14ac:dyDescent="0.25">
      <c r="A16" s="3" t="s">
        <v>92</v>
      </c>
      <c r="B16" s="3" t="s">
        <v>821</v>
      </c>
      <c r="C16" s="3">
        <v>698617</v>
      </c>
      <c r="D16" s="3">
        <v>2</v>
      </c>
    </row>
    <row r="17" spans="1:5" ht="26.25" customHeight="1" x14ac:dyDescent="0.25">
      <c r="A17" s="3">
        <v>11610128</v>
      </c>
      <c r="B17" s="3" t="s">
        <v>822</v>
      </c>
      <c r="C17" s="3">
        <v>702020</v>
      </c>
      <c r="D17" s="3">
        <v>2</v>
      </c>
      <c r="E17">
        <f>+D17*1125</f>
        <v>2250</v>
      </c>
    </row>
    <row r="18" spans="1:5" ht="26.25" customHeight="1" x14ac:dyDescent="0.25">
      <c r="A18" s="3">
        <v>40161567</v>
      </c>
      <c r="B18" s="3" t="s">
        <v>823</v>
      </c>
      <c r="C18" s="3">
        <v>708968</v>
      </c>
      <c r="D18" s="3">
        <v>2</v>
      </c>
      <c r="E18">
        <f>+D18*175</f>
        <v>350</v>
      </c>
    </row>
    <row r="19" spans="1:5" ht="26.25" customHeight="1" x14ac:dyDescent="0.25">
      <c r="A19" s="3" t="s">
        <v>98</v>
      </c>
      <c r="B19" s="3" t="s">
        <v>824</v>
      </c>
      <c r="C19" s="3">
        <v>708329</v>
      </c>
      <c r="D19" s="3">
        <v>1</v>
      </c>
    </row>
    <row r="20" spans="1:5" ht="26.25" customHeight="1" x14ac:dyDescent="0.25">
      <c r="A20" s="3" t="s">
        <v>607</v>
      </c>
      <c r="B20" s="3" t="s">
        <v>825</v>
      </c>
      <c r="C20" s="3">
        <v>706402</v>
      </c>
      <c r="D20" s="3">
        <v>2</v>
      </c>
    </row>
    <row r="21" spans="1:5" ht="26.25" customHeight="1" x14ac:dyDescent="0.25">
      <c r="A21" s="3" t="s">
        <v>16</v>
      </c>
      <c r="B21" s="3" t="s">
        <v>826</v>
      </c>
      <c r="C21" s="3">
        <v>708594</v>
      </c>
      <c r="D21" s="3">
        <v>1</v>
      </c>
    </row>
    <row r="22" spans="1:5" ht="26.25" customHeight="1" x14ac:dyDescent="0.25">
      <c r="A22" s="3">
        <v>11547176</v>
      </c>
      <c r="B22" s="3" t="s">
        <v>827</v>
      </c>
      <c r="C22" s="3">
        <v>709450</v>
      </c>
      <c r="D22" s="3">
        <v>2</v>
      </c>
      <c r="E22">
        <f>+D22*850</f>
        <v>1700</v>
      </c>
    </row>
    <row r="23" spans="1:5" ht="26.25" customHeight="1" x14ac:dyDescent="0.25">
      <c r="A23" s="3" t="s">
        <v>808</v>
      </c>
      <c r="B23" s="3" t="s">
        <v>828</v>
      </c>
      <c r="C23" s="3">
        <v>703052</v>
      </c>
      <c r="D23" s="3">
        <v>3</v>
      </c>
    </row>
    <row r="24" spans="1:5" ht="26.25" customHeight="1" x14ac:dyDescent="0.25">
      <c r="A24" s="3" t="s">
        <v>140</v>
      </c>
      <c r="B24" s="3" t="s">
        <v>829</v>
      </c>
      <c r="C24" s="3">
        <v>695715</v>
      </c>
      <c r="D24" s="3">
        <v>2</v>
      </c>
      <c r="E24">
        <f>+D24*2150</f>
        <v>4300</v>
      </c>
    </row>
    <row r="25" spans="1:5" ht="26.25" customHeight="1" x14ac:dyDescent="0.25">
      <c r="A25" s="3" t="s">
        <v>213</v>
      </c>
      <c r="B25" s="3" t="s">
        <v>830</v>
      </c>
      <c r="C25" s="3">
        <v>694799</v>
      </c>
      <c r="D25" s="3">
        <v>1</v>
      </c>
    </row>
    <row r="26" spans="1:5" ht="26.25" customHeight="1" x14ac:dyDescent="0.25">
      <c r="A26" s="3" t="s">
        <v>809</v>
      </c>
      <c r="B26" s="3" t="s">
        <v>831</v>
      </c>
      <c r="C26" s="3">
        <v>701732</v>
      </c>
      <c r="D26" s="3">
        <v>1</v>
      </c>
    </row>
    <row r="27" spans="1:5" ht="26.25" hidden="1" customHeight="1" x14ac:dyDescent="0.25">
      <c r="A27" s="3"/>
      <c r="B27" s="3"/>
      <c r="C27" s="3"/>
      <c r="D27" s="3"/>
    </row>
    <row r="28" spans="1:5" ht="26.25" hidden="1" customHeight="1" x14ac:dyDescent="0.25">
      <c r="A28" s="3"/>
      <c r="B28" s="3"/>
      <c r="C28" s="3"/>
      <c r="D28" s="3"/>
    </row>
    <row r="29" spans="1:5" ht="26.25" hidden="1" customHeight="1" x14ac:dyDescent="0.25">
      <c r="A29" s="3"/>
      <c r="B29" s="3"/>
      <c r="C29" s="3"/>
      <c r="D29" s="3"/>
    </row>
    <row r="30" spans="1:5" ht="26.25" hidden="1" customHeight="1" x14ac:dyDescent="0.25">
      <c r="A30" s="3"/>
      <c r="B30" s="3"/>
      <c r="C30" s="3"/>
      <c r="D30" s="3"/>
    </row>
    <row r="31" spans="1:5" ht="26.25" hidden="1" customHeight="1" x14ac:dyDescent="0.25">
      <c r="A31" s="3"/>
      <c r="B31" s="3"/>
      <c r="C31" s="3"/>
      <c r="D31" s="3"/>
    </row>
    <row r="32" spans="1:5" ht="26.25" hidden="1" customHeight="1" x14ac:dyDescent="0.25">
      <c r="A32" s="3"/>
      <c r="B32" s="3"/>
      <c r="C32" s="3"/>
      <c r="D32" s="3"/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customHeight="1" x14ac:dyDescent="0.25">
      <c r="A47" s="40" t="s">
        <v>610</v>
      </c>
      <c r="B47" s="41"/>
      <c r="C47" s="42"/>
      <c r="D47" s="42"/>
    </row>
    <row r="48" spans="1:4" ht="26.25" customHeight="1" thickBot="1" x14ac:dyDescent="0.3">
      <c r="A48" s="39" t="s">
        <v>0</v>
      </c>
      <c r="B48" s="39"/>
      <c r="C48" s="2"/>
      <c r="D48" s="1">
        <f>+SUM(D5:D46)</f>
        <v>36</v>
      </c>
    </row>
    <row r="49" ht="15.75" thickTop="1" x14ac:dyDescent="0.25"/>
  </sheetData>
  <mergeCells count="4">
    <mergeCell ref="A1:D1"/>
    <mergeCell ref="A2:D2"/>
    <mergeCell ref="A47:D47"/>
    <mergeCell ref="A48:B48"/>
  </mergeCells>
  <conditionalFormatting sqref="A1:A1048576">
    <cfRule type="duplicateValues" dxfId="274" priority="13"/>
  </conditionalFormatting>
  <conditionalFormatting sqref="A5:A41">
    <cfRule type="duplicateValues" dxfId="273" priority="17"/>
  </conditionalFormatting>
  <conditionalFormatting sqref="A42:A1048576 A1:A4">
    <cfRule type="duplicateValues" dxfId="272" priority="16"/>
  </conditionalFormatting>
  <conditionalFormatting sqref="B42:B1048576 B1:B4">
    <cfRule type="duplicateValues" dxfId="271" priority="14"/>
    <cfRule type="duplicateValues" dxfId="270" priority="15"/>
  </conditionalFormatting>
  <conditionalFormatting sqref="B5:C5">
    <cfRule type="duplicateValues" dxfId="269" priority="3"/>
    <cfRule type="duplicateValues" dxfId="268" priority="4"/>
  </conditionalFormatting>
  <conditionalFormatting sqref="B6:C26">
    <cfRule type="duplicateValues" dxfId="267" priority="1"/>
    <cfRule type="duplicateValues" dxfId="266" priority="2"/>
  </conditionalFormatting>
  <conditionalFormatting sqref="B27:C32">
    <cfRule type="duplicateValues" dxfId="265" priority="18"/>
    <cfRule type="duplicateValues" dxfId="264" priority="19"/>
  </conditionalFormatting>
  <conditionalFormatting sqref="B33:C41">
    <cfRule type="duplicateValues" dxfId="263" priority="11"/>
    <cfRule type="duplicateValues" dxfId="262" priority="12"/>
  </conditionalFormatting>
  <printOptions horizontalCentered="1"/>
  <pageMargins left="0.11811023622047245" right="0.11811023622047245" top="0.15748031496062992" bottom="0.15748031496062992" header="0.11811023622047245" footer="0.1181102362204724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C390-ACFE-47DD-8D48-531F16BDBE43}">
  <sheetPr>
    <pageSetUpPr fitToPage="1"/>
  </sheetPr>
  <dimension ref="A1:I49"/>
  <sheetViews>
    <sheetView zoomScaleNormal="100" workbookViewId="0">
      <selection activeCell="B9" sqref="B9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  <col min="6" max="6" width="15.5703125" bestFit="1" customWidth="1"/>
    <col min="7" max="7" width="14.5703125" bestFit="1" customWidth="1"/>
    <col min="8" max="8" width="15.5703125" bestFit="1" customWidth="1"/>
    <col min="9" max="9" width="14.5703125" bestFit="1" customWidth="1"/>
  </cols>
  <sheetData>
    <row r="1" spans="1:9" ht="22.5" x14ac:dyDescent="0.25">
      <c r="A1" s="37" t="s">
        <v>6</v>
      </c>
      <c r="B1" s="37"/>
      <c r="C1" s="37"/>
      <c r="D1" s="37"/>
    </row>
    <row r="2" spans="1:9" ht="17.25" x14ac:dyDescent="0.25">
      <c r="A2" s="38">
        <v>46177</v>
      </c>
      <c r="B2" s="38"/>
      <c r="C2" s="38"/>
      <c r="D2" s="38"/>
    </row>
    <row r="3" spans="1:9" ht="17.25" x14ac:dyDescent="0.25">
      <c r="A3" s="5"/>
      <c r="B3" s="5"/>
      <c r="C3" s="5"/>
      <c r="D3" s="5"/>
    </row>
    <row r="4" spans="1:9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  <c r="F4" s="8"/>
      <c r="G4" s="8"/>
      <c r="H4" s="8"/>
      <c r="I4" s="8"/>
    </row>
    <row r="5" spans="1:9" ht="26.25" customHeight="1" x14ac:dyDescent="0.25">
      <c r="A5" s="3" t="s">
        <v>531</v>
      </c>
      <c r="B5" s="3" t="s">
        <v>836</v>
      </c>
      <c r="C5" s="3">
        <v>704517</v>
      </c>
      <c r="D5" s="3">
        <v>2</v>
      </c>
    </row>
    <row r="6" spans="1:9" ht="26.25" customHeight="1" x14ac:dyDescent="0.25">
      <c r="A6" s="3" t="s">
        <v>832</v>
      </c>
      <c r="B6" s="3" t="s">
        <v>837</v>
      </c>
      <c r="C6" s="3">
        <v>706618</v>
      </c>
      <c r="D6" s="3">
        <v>1</v>
      </c>
    </row>
    <row r="7" spans="1:9" ht="26.25" customHeight="1" x14ac:dyDescent="0.25">
      <c r="A7" s="3" t="s">
        <v>46</v>
      </c>
      <c r="B7" s="3" t="s">
        <v>838</v>
      </c>
      <c r="C7" s="3">
        <v>707165</v>
      </c>
      <c r="D7" s="3">
        <v>1</v>
      </c>
    </row>
    <row r="8" spans="1:9" ht="26.25" customHeight="1" x14ac:dyDescent="0.25">
      <c r="A8" s="3" t="s">
        <v>393</v>
      </c>
      <c r="B8" s="3" t="s">
        <v>839</v>
      </c>
      <c r="C8" s="3">
        <v>696155</v>
      </c>
      <c r="D8" s="3">
        <v>1</v>
      </c>
    </row>
    <row r="9" spans="1:9" ht="26.25" customHeight="1" x14ac:dyDescent="0.25">
      <c r="A9" s="3" t="s">
        <v>833</v>
      </c>
      <c r="B9" s="3" t="s">
        <v>840</v>
      </c>
      <c r="C9" s="3">
        <v>704633</v>
      </c>
      <c r="D9" s="3">
        <v>1</v>
      </c>
    </row>
    <row r="10" spans="1:9" ht="26.25" customHeight="1" x14ac:dyDescent="0.25">
      <c r="A10" s="3" t="s">
        <v>93</v>
      </c>
      <c r="B10" s="3" t="s">
        <v>841</v>
      </c>
      <c r="C10" s="3">
        <v>710569</v>
      </c>
      <c r="D10" s="3">
        <v>1</v>
      </c>
    </row>
    <row r="11" spans="1:9" ht="26.25" customHeight="1" x14ac:dyDescent="0.25">
      <c r="A11" s="3" t="s">
        <v>384</v>
      </c>
      <c r="B11" s="3" t="s">
        <v>842</v>
      </c>
      <c r="C11" s="3">
        <v>707198</v>
      </c>
      <c r="D11" s="3">
        <v>1</v>
      </c>
    </row>
    <row r="12" spans="1:9" ht="26.25" customHeight="1" x14ac:dyDescent="0.25">
      <c r="A12" s="3">
        <v>54041001</v>
      </c>
      <c r="B12" s="3" t="s">
        <v>843</v>
      </c>
      <c r="C12" s="3">
        <v>710599</v>
      </c>
      <c r="D12" s="3">
        <v>2</v>
      </c>
    </row>
    <row r="13" spans="1:9" ht="26.25" customHeight="1" x14ac:dyDescent="0.25">
      <c r="A13" s="3" t="s">
        <v>145</v>
      </c>
      <c r="B13" s="3" t="s">
        <v>844</v>
      </c>
      <c r="C13" s="3">
        <v>708157</v>
      </c>
      <c r="D13" s="3">
        <v>2</v>
      </c>
    </row>
    <row r="14" spans="1:9" ht="26.25" customHeight="1" x14ac:dyDescent="0.25">
      <c r="A14" s="3" t="s">
        <v>14</v>
      </c>
      <c r="B14" s="3" t="s">
        <v>845</v>
      </c>
      <c r="C14" s="3">
        <v>707844</v>
      </c>
      <c r="D14" s="3">
        <v>1</v>
      </c>
    </row>
    <row r="15" spans="1:9" ht="26.25" customHeight="1" x14ac:dyDescent="0.25">
      <c r="A15" s="3">
        <v>52056965</v>
      </c>
      <c r="B15" s="3" t="s">
        <v>846</v>
      </c>
      <c r="C15" s="3">
        <v>706601</v>
      </c>
      <c r="D15" s="3">
        <v>1</v>
      </c>
    </row>
    <row r="16" spans="1:9" ht="26.25" customHeight="1" x14ac:dyDescent="0.25">
      <c r="A16" s="3">
        <v>61525</v>
      </c>
      <c r="B16" s="3" t="s">
        <v>847</v>
      </c>
      <c r="C16" s="3">
        <v>708148</v>
      </c>
      <c r="D16" s="3">
        <v>1</v>
      </c>
    </row>
    <row r="17" spans="1:4" ht="26.25" customHeight="1" x14ac:dyDescent="0.25">
      <c r="A17" s="3" t="s">
        <v>98</v>
      </c>
      <c r="B17" s="3" t="s">
        <v>848</v>
      </c>
      <c r="C17" s="3">
        <v>707356</v>
      </c>
      <c r="D17" s="3">
        <v>1</v>
      </c>
    </row>
    <row r="18" spans="1:4" ht="26.25" customHeight="1" x14ac:dyDescent="0.25">
      <c r="A18" s="3" t="s">
        <v>399</v>
      </c>
      <c r="B18" s="3" t="s">
        <v>849</v>
      </c>
      <c r="C18" s="3">
        <v>709100</v>
      </c>
      <c r="D18" s="3">
        <v>2</v>
      </c>
    </row>
    <row r="19" spans="1:4" ht="26.25" customHeight="1" x14ac:dyDescent="0.25">
      <c r="A19" s="3" t="s">
        <v>625</v>
      </c>
      <c r="B19" s="3" t="s">
        <v>850</v>
      </c>
      <c r="C19" s="3">
        <v>708908</v>
      </c>
      <c r="D19" s="3">
        <v>1</v>
      </c>
    </row>
    <row r="20" spans="1:4" ht="26.25" customHeight="1" x14ac:dyDescent="0.25">
      <c r="A20" s="3" t="s">
        <v>138</v>
      </c>
      <c r="B20" s="3" t="s">
        <v>851</v>
      </c>
      <c r="C20" s="3">
        <v>709350</v>
      </c>
      <c r="D20" s="3">
        <v>2</v>
      </c>
    </row>
    <row r="21" spans="1:4" ht="26.25" customHeight="1" x14ac:dyDescent="0.25">
      <c r="A21" s="3" t="s">
        <v>834</v>
      </c>
      <c r="B21" s="3" t="s">
        <v>852</v>
      </c>
      <c r="C21" s="3">
        <v>709527</v>
      </c>
      <c r="D21" s="3">
        <v>1</v>
      </c>
    </row>
    <row r="22" spans="1:4" ht="26.25" customHeight="1" x14ac:dyDescent="0.25">
      <c r="A22" s="3" t="s">
        <v>332</v>
      </c>
      <c r="B22" s="3" t="s">
        <v>853</v>
      </c>
      <c r="C22" s="3">
        <v>710634</v>
      </c>
      <c r="D22" s="3">
        <v>1</v>
      </c>
    </row>
    <row r="23" spans="1:4" ht="26.25" customHeight="1" x14ac:dyDescent="0.25">
      <c r="A23" s="3" t="s">
        <v>835</v>
      </c>
      <c r="B23" s="3" t="s">
        <v>854</v>
      </c>
      <c r="C23" s="3">
        <v>708596</v>
      </c>
      <c r="D23" s="3">
        <v>1</v>
      </c>
    </row>
    <row r="24" spans="1:4" ht="26.25" customHeight="1" x14ac:dyDescent="0.25">
      <c r="A24" s="3" t="s">
        <v>10</v>
      </c>
      <c r="B24" s="3" t="s">
        <v>855</v>
      </c>
      <c r="C24" s="3">
        <v>707785</v>
      </c>
      <c r="D24" s="3">
        <v>2</v>
      </c>
    </row>
    <row r="25" spans="1:4" ht="26.25" customHeight="1" x14ac:dyDescent="0.25">
      <c r="A25" s="3" t="s">
        <v>436</v>
      </c>
      <c r="B25" s="3" t="s">
        <v>856</v>
      </c>
      <c r="C25" s="3">
        <v>707169</v>
      </c>
      <c r="D25" s="3">
        <v>2</v>
      </c>
    </row>
    <row r="26" spans="1:4" ht="26.25" customHeight="1" x14ac:dyDescent="0.25">
      <c r="A26" s="3" t="s">
        <v>435</v>
      </c>
      <c r="B26" s="3" t="s">
        <v>857</v>
      </c>
      <c r="C26" s="3">
        <v>709508</v>
      </c>
      <c r="D26" s="3">
        <v>1</v>
      </c>
    </row>
    <row r="27" spans="1:4" ht="26.25" customHeight="1" x14ac:dyDescent="0.25">
      <c r="A27" s="3" t="s">
        <v>579</v>
      </c>
      <c r="B27" s="3" t="s">
        <v>858</v>
      </c>
      <c r="C27" s="3">
        <v>707867</v>
      </c>
      <c r="D27" s="3">
        <v>2</v>
      </c>
    </row>
    <row r="28" spans="1:4" ht="26.25" customHeight="1" x14ac:dyDescent="0.25">
      <c r="A28" s="3">
        <v>11602659</v>
      </c>
      <c r="B28" s="3" t="s">
        <v>859</v>
      </c>
      <c r="C28" s="3">
        <v>708733</v>
      </c>
      <c r="D28" s="3">
        <v>1</v>
      </c>
    </row>
    <row r="29" spans="1:4" ht="26.25" customHeight="1" x14ac:dyDescent="0.25">
      <c r="A29" s="3">
        <v>11604000</v>
      </c>
      <c r="B29" s="3" t="s">
        <v>860</v>
      </c>
      <c r="C29" s="3">
        <v>710981</v>
      </c>
      <c r="D29" s="3">
        <v>1</v>
      </c>
    </row>
    <row r="30" spans="1:4" ht="26.25" customHeight="1" x14ac:dyDescent="0.25">
      <c r="A30" s="3" t="s">
        <v>331</v>
      </c>
      <c r="B30" s="3" t="s">
        <v>861</v>
      </c>
      <c r="C30" s="3">
        <v>708448</v>
      </c>
      <c r="D30" s="3">
        <v>1</v>
      </c>
    </row>
    <row r="31" spans="1:4" ht="26.25" customHeight="1" x14ac:dyDescent="0.25">
      <c r="A31" s="3">
        <v>11549204</v>
      </c>
      <c r="B31" s="3" t="s">
        <v>862</v>
      </c>
      <c r="C31" s="3">
        <v>707626</v>
      </c>
      <c r="D31" s="3">
        <v>1</v>
      </c>
    </row>
    <row r="32" spans="1:4" ht="26.25" customHeight="1" x14ac:dyDescent="0.25">
      <c r="A32" s="3">
        <v>11549171</v>
      </c>
      <c r="B32" s="3" t="s">
        <v>863</v>
      </c>
      <c r="C32" s="3">
        <v>706617</v>
      </c>
      <c r="D32" s="3">
        <v>1</v>
      </c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customHeight="1" x14ac:dyDescent="0.25">
      <c r="A47" s="40" t="s">
        <v>610</v>
      </c>
      <c r="B47" s="41"/>
      <c r="C47" s="42"/>
      <c r="D47" s="42"/>
    </row>
    <row r="48" spans="1:4" ht="26.25" customHeight="1" thickBot="1" x14ac:dyDescent="0.3">
      <c r="A48" s="39" t="s">
        <v>0</v>
      </c>
      <c r="B48" s="39"/>
      <c r="C48" s="2"/>
      <c r="D48" s="1">
        <f>+SUM(D5:D46)</f>
        <v>36</v>
      </c>
    </row>
    <row r="49" ht="15.75" thickTop="1" x14ac:dyDescent="0.25"/>
  </sheetData>
  <mergeCells count="4">
    <mergeCell ref="A1:D1"/>
    <mergeCell ref="A2:D2"/>
    <mergeCell ref="A47:D47"/>
    <mergeCell ref="A48:B48"/>
  </mergeCells>
  <conditionalFormatting sqref="A1:A1048576">
    <cfRule type="duplicateValues" dxfId="261" priority="11"/>
  </conditionalFormatting>
  <conditionalFormatting sqref="A5:A41">
    <cfRule type="duplicateValues" dxfId="260" priority="15"/>
  </conditionalFormatting>
  <conditionalFormatting sqref="A42:A1048576 A1:A4">
    <cfRule type="duplicateValues" dxfId="259" priority="14"/>
  </conditionalFormatting>
  <conditionalFormatting sqref="B42:B1048576 B1:B4">
    <cfRule type="duplicateValues" dxfId="258" priority="12"/>
    <cfRule type="duplicateValues" dxfId="257" priority="13"/>
  </conditionalFormatting>
  <conditionalFormatting sqref="B5:C5">
    <cfRule type="duplicateValues" dxfId="256" priority="3"/>
    <cfRule type="duplicateValues" dxfId="255" priority="4"/>
  </conditionalFormatting>
  <conditionalFormatting sqref="B6:C32">
    <cfRule type="duplicateValues" dxfId="254" priority="1"/>
    <cfRule type="duplicateValues" dxfId="253" priority="2"/>
  </conditionalFormatting>
  <conditionalFormatting sqref="B33:C41">
    <cfRule type="duplicateValues" dxfId="252" priority="9"/>
    <cfRule type="duplicateValues" dxfId="251" priority="10"/>
  </conditionalFormatting>
  <printOptions horizontalCentered="1"/>
  <pageMargins left="0.11811023622047245" right="0.11811023622047245" top="0.15748031496062992" bottom="0.15748031496062992" header="0.11811023622047245" footer="0.11811023622047245"/>
  <pageSetup scale="8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1D1D-B5C2-43F2-9C3C-E77C22588F8A}">
  <sheetPr>
    <tabColor rgb="FFFF0000"/>
    <pageSetUpPr fitToPage="1"/>
  </sheetPr>
  <dimension ref="A1:I49"/>
  <sheetViews>
    <sheetView topLeftCell="A8" zoomScaleNormal="100" workbookViewId="0">
      <selection activeCell="E19" sqref="E19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  <col min="6" max="6" width="15.5703125" bestFit="1" customWidth="1"/>
    <col min="7" max="7" width="14.5703125" bestFit="1" customWidth="1"/>
    <col min="8" max="8" width="15.5703125" bestFit="1" customWidth="1"/>
    <col min="9" max="9" width="14.5703125" bestFit="1" customWidth="1"/>
  </cols>
  <sheetData>
    <row r="1" spans="1:9" ht="22.5" x14ac:dyDescent="0.25">
      <c r="A1" s="37" t="s">
        <v>6</v>
      </c>
      <c r="B1" s="37"/>
      <c r="C1" s="37"/>
      <c r="D1" s="37"/>
    </row>
    <row r="2" spans="1:9" ht="17.25" x14ac:dyDescent="0.25">
      <c r="A2" s="38">
        <v>46178</v>
      </c>
      <c r="B2" s="38"/>
      <c r="C2" s="38"/>
      <c r="D2" s="38"/>
    </row>
    <row r="3" spans="1:9" ht="17.25" x14ac:dyDescent="0.25">
      <c r="A3" s="5"/>
      <c r="B3" s="5"/>
      <c r="C3" s="5"/>
      <c r="D3" s="5"/>
    </row>
    <row r="4" spans="1:9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  <c r="F4" s="8"/>
      <c r="G4" s="8"/>
      <c r="H4" s="8"/>
      <c r="I4" s="8"/>
    </row>
    <row r="5" spans="1:9" ht="26.25" customHeight="1" x14ac:dyDescent="0.25">
      <c r="A5" s="3" t="s">
        <v>864</v>
      </c>
      <c r="B5" s="3" t="s">
        <v>895</v>
      </c>
      <c r="C5" s="3">
        <v>702187</v>
      </c>
      <c r="D5" s="3">
        <v>1</v>
      </c>
    </row>
    <row r="6" spans="1:9" ht="26.25" customHeight="1" x14ac:dyDescent="0.25">
      <c r="A6" s="3" t="s">
        <v>435</v>
      </c>
      <c r="B6" s="3" t="s">
        <v>869</v>
      </c>
      <c r="C6" s="3">
        <v>696424</v>
      </c>
      <c r="D6" s="3">
        <v>1</v>
      </c>
    </row>
    <row r="7" spans="1:9" ht="26.25" customHeight="1" x14ac:dyDescent="0.25">
      <c r="A7" s="3">
        <v>82246</v>
      </c>
      <c r="B7" s="3" t="s">
        <v>870</v>
      </c>
      <c r="C7" s="3">
        <v>697467</v>
      </c>
      <c r="D7" s="3">
        <v>1</v>
      </c>
    </row>
    <row r="8" spans="1:9" ht="26.25" customHeight="1" x14ac:dyDescent="0.25">
      <c r="A8" s="3" t="s">
        <v>365</v>
      </c>
      <c r="B8" s="3" t="s">
        <v>871</v>
      </c>
      <c r="C8" s="3">
        <v>702141</v>
      </c>
      <c r="D8" s="3">
        <v>1</v>
      </c>
    </row>
    <row r="9" spans="1:9" ht="26.25" customHeight="1" x14ac:dyDescent="0.25">
      <c r="A9" s="3">
        <v>11546545</v>
      </c>
      <c r="B9" s="3" t="s">
        <v>872</v>
      </c>
      <c r="C9" s="3">
        <v>704082</v>
      </c>
      <c r="D9" s="3">
        <v>1</v>
      </c>
    </row>
    <row r="10" spans="1:9" ht="26.25" customHeight="1" x14ac:dyDescent="0.25">
      <c r="A10" s="3" t="s">
        <v>1</v>
      </c>
      <c r="B10" s="3" t="s">
        <v>873</v>
      </c>
      <c r="C10" s="3">
        <v>704319</v>
      </c>
      <c r="D10" s="3">
        <v>1</v>
      </c>
    </row>
    <row r="11" spans="1:9" ht="26.25" customHeight="1" x14ac:dyDescent="0.25">
      <c r="A11" s="3">
        <v>11611122</v>
      </c>
      <c r="B11" s="3" t="s">
        <v>874</v>
      </c>
      <c r="C11" s="3">
        <v>704378</v>
      </c>
      <c r="D11" s="3">
        <v>1</v>
      </c>
    </row>
    <row r="12" spans="1:9" ht="26.25" customHeight="1" x14ac:dyDescent="0.25">
      <c r="A12" s="3">
        <v>11562515</v>
      </c>
      <c r="B12" s="3" t="s">
        <v>875</v>
      </c>
      <c r="C12" s="3">
        <v>697437</v>
      </c>
      <c r="D12" s="3">
        <v>1</v>
      </c>
    </row>
    <row r="13" spans="1:9" ht="26.25" customHeight="1" x14ac:dyDescent="0.25">
      <c r="A13" s="3" t="s">
        <v>865</v>
      </c>
      <c r="B13" s="3" t="s">
        <v>876</v>
      </c>
      <c r="C13" s="3">
        <v>696450</v>
      </c>
      <c r="D13" s="3">
        <v>1</v>
      </c>
    </row>
    <row r="14" spans="1:9" ht="26.25" customHeight="1" x14ac:dyDescent="0.25">
      <c r="A14" s="3" t="s">
        <v>866</v>
      </c>
      <c r="B14" s="3" t="s">
        <v>877</v>
      </c>
      <c r="C14" s="3">
        <v>702418</v>
      </c>
      <c r="D14" s="3">
        <v>3</v>
      </c>
    </row>
    <row r="15" spans="1:9" ht="26.25" customHeight="1" x14ac:dyDescent="0.25">
      <c r="A15" s="3">
        <v>94012078</v>
      </c>
      <c r="B15" s="3" t="s">
        <v>878</v>
      </c>
      <c r="C15" s="3">
        <v>703186</v>
      </c>
      <c r="D15" s="3">
        <v>2</v>
      </c>
    </row>
    <row r="16" spans="1:9" ht="26.25" customHeight="1" x14ac:dyDescent="0.25">
      <c r="A16" s="3" t="s">
        <v>98</v>
      </c>
      <c r="B16" s="3" t="s">
        <v>879</v>
      </c>
      <c r="C16" s="3">
        <v>703780</v>
      </c>
      <c r="D16" s="3">
        <v>1</v>
      </c>
    </row>
    <row r="17" spans="1:5" ht="26.25" customHeight="1" x14ac:dyDescent="0.25">
      <c r="A17" s="3" t="s">
        <v>49</v>
      </c>
      <c r="B17" s="3" t="s">
        <v>880</v>
      </c>
      <c r="C17" s="3">
        <v>705363</v>
      </c>
      <c r="D17" s="3">
        <v>1</v>
      </c>
    </row>
    <row r="18" spans="1:5" ht="26.25" customHeight="1" x14ac:dyDescent="0.25">
      <c r="A18" s="3">
        <v>11588714</v>
      </c>
      <c r="B18" s="3" t="s">
        <v>881</v>
      </c>
      <c r="C18" s="3">
        <v>706173</v>
      </c>
      <c r="D18" s="3">
        <v>3</v>
      </c>
      <c r="E18">
        <f>+D18*1400</f>
        <v>4200</v>
      </c>
    </row>
    <row r="19" spans="1:5" ht="26.25" customHeight="1" x14ac:dyDescent="0.25">
      <c r="A19" s="3" t="s">
        <v>531</v>
      </c>
      <c r="B19" s="3" t="s">
        <v>882</v>
      </c>
      <c r="C19" s="3">
        <v>704511</v>
      </c>
      <c r="D19" s="3">
        <v>2</v>
      </c>
    </row>
    <row r="20" spans="1:5" ht="26.25" customHeight="1" x14ac:dyDescent="0.25">
      <c r="A20" s="3" t="s">
        <v>57</v>
      </c>
      <c r="B20" s="3" t="s">
        <v>883</v>
      </c>
      <c r="C20" s="3">
        <v>695424</v>
      </c>
      <c r="D20" s="3">
        <v>3</v>
      </c>
    </row>
    <row r="21" spans="1:5" ht="26.25" customHeight="1" x14ac:dyDescent="0.25">
      <c r="A21" s="3">
        <v>11602292</v>
      </c>
      <c r="B21" s="3" t="s">
        <v>884</v>
      </c>
      <c r="C21" s="3">
        <v>697398</v>
      </c>
      <c r="D21" s="3">
        <v>1</v>
      </c>
    </row>
    <row r="22" spans="1:5" ht="26.25" customHeight="1" x14ac:dyDescent="0.25">
      <c r="A22" s="3">
        <v>11609280</v>
      </c>
      <c r="B22" s="3" t="s">
        <v>885</v>
      </c>
      <c r="C22" s="3">
        <v>696068</v>
      </c>
      <c r="D22" s="3">
        <v>1</v>
      </c>
    </row>
    <row r="23" spans="1:5" ht="26.25" customHeight="1" x14ac:dyDescent="0.25">
      <c r="A23" s="3" t="s">
        <v>216</v>
      </c>
      <c r="B23" s="3" t="s">
        <v>886</v>
      </c>
      <c r="C23" s="3">
        <v>701069</v>
      </c>
      <c r="D23" s="3">
        <v>1</v>
      </c>
    </row>
    <row r="24" spans="1:5" ht="26.25" customHeight="1" x14ac:dyDescent="0.25">
      <c r="A24" s="3">
        <v>82218</v>
      </c>
      <c r="B24" s="3" t="s">
        <v>887</v>
      </c>
      <c r="C24" s="3">
        <v>707213</v>
      </c>
      <c r="D24" s="3">
        <v>1</v>
      </c>
    </row>
    <row r="25" spans="1:5" ht="26.25" customHeight="1" x14ac:dyDescent="0.25">
      <c r="A25" s="3">
        <v>40073474</v>
      </c>
      <c r="B25" s="3" t="s">
        <v>888</v>
      </c>
      <c r="C25" s="3">
        <v>695995</v>
      </c>
      <c r="D25" s="3">
        <v>1</v>
      </c>
    </row>
    <row r="26" spans="1:5" ht="26.25" customHeight="1" x14ac:dyDescent="0.25">
      <c r="A26" s="3">
        <v>52056965</v>
      </c>
      <c r="B26" s="3" t="s">
        <v>889</v>
      </c>
      <c r="C26" s="3">
        <v>694959</v>
      </c>
      <c r="D26" s="3">
        <v>1</v>
      </c>
    </row>
    <row r="27" spans="1:5" ht="26.25" customHeight="1" x14ac:dyDescent="0.25">
      <c r="A27" s="3" t="s">
        <v>332</v>
      </c>
      <c r="B27" s="3" t="s">
        <v>590</v>
      </c>
      <c r="C27" s="3">
        <v>661292</v>
      </c>
      <c r="D27" s="3">
        <v>1</v>
      </c>
    </row>
    <row r="28" spans="1:5" ht="26.25" customHeight="1" x14ac:dyDescent="0.25">
      <c r="A28" s="3" t="s">
        <v>389</v>
      </c>
      <c r="B28" s="3" t="s">
        <v>890</v>
      </c>
      <c r="C28" s="3">
        <v>702242</v>
      </c>
      <c r="D28" s="3">
        <v>1</v>
      </c>
    </row>
    <row r="29" spans="1:5" ht="26.25" customHeight="1" x14ac:dyDescent="0.25">
      <c r="A29" s="3" t="s">
        <v>867</v>
      </c>
      <c r="B29" s="3" t="s">
        <v>891</v>
      </c>
      <c r="C29" s="3">
        <v>704624</v>
      </c>
      <c r="D29" s="3">
        <v>1</v>
      </c>
    </row>
    <row r="30" spans="1:5" ht="26.25" customHeight="1" x14ac:dyDescent="0.25">
      <c r="A30" s="3" t="s">
        <v>175</v>
      </c>
      <c r="B30" s="3" t="s">
        <v>892</v>
      </c>
      <c r="C30" s="3">
        <v>707345</v>
      </c>
      <c r="D30" s="3">
        <v>1</v>
      </c>
    </row>
    <row r="31" spans="1:5" ht="26.25" customHeight="1" x14ac:dyDescent="0.25">
      <c r="A31" s="3">
        <v>11561114</v>
      </c>
      <c r="B31" s="3" t="s">
        <v>893</v>
      </c>
      <c r="C31" s="3">
        <v>697404</v>
      </c>
      <c r="D31" s="3">
        <v>1</v>
      </c>
    </row>
    <row r="32" spans="1:5" ht="26.25" customHeight="1" x14ac:dyDescent="0.25">
      <c r="A32" s="3" t="s">
        <v>868</v>
      </c>
      <c r="B32" s="3" t="s">
        <v>894</v>
      </c>
      <c r="C32" s="3">
        <v>700976</v>
      </c>
      <c r="D32" s="3">
        <v>1</v>
      </c>
    </row>
    <row r="33" spans="1:4" ht="26.25" hidden="1" customHeight="1" x14ac:dyDescent="0.25">
      <c r="A33" s="3"/>
      <c r="B33" s="3"/>
      <c r="C33" s="3"/>
      <c r="D33" s="3"/>
    </row>
    <row r="34" spans="1:4" ht="26.25" hidden="1" customHeight="1" x14ac:dyDescent="0.25">
      <c r="A34" s="3"/>
      <c r="B34" s="3"/>
      <c r="C34" s="3"/>
      <c r="D34" s="3"/>
    </row>
    <row r="35" spans="1:4" ht="26.25" hidden="1" customHeight="1" x14ac:dyDescent="0.25">
      <c r="A35" s="3"/>
      <c r="B35" s="3"/>
      <c r="C35" s="3"/>
      <c r="D35" s="3"/>
    </row>
    <row r="36" spans="1:4" ht="26.25" hidden="1" customHeight="1" x14ac:dyDescent="0.25">
      <c r="A36" s="3"/>
      <c r="B36" s="3"/>
      <c r="C36" s="3"/>
      <c r="D36" s="3"/>
    </row>
    <row r="37" spans="1:4" ht="26.25" hidden="1" customHeight="1" x14ac:dyDescent="0.25">
      <c r="A37" s="3"/>
      <c r="B37" s="3"/>
      <c r="C37" s="3"/>
      <c r="D37" s="3"/>
    </row>
    <row r="38" spans="1:4" ht="26.25" hidden="1" customHeight="1" x14ac:dyDescent="0.25">
      <c r="A38" s="3"/>
      <c r="B38" s="3"/>
      <c r="C38" s="3"/>
      <c r="D38" s="3"/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hidden="1" customHeight="1" x14ac:dyDescent="0.25">
      <c r="A46" s="3"/>
      <c r="B46" s="3"/>
      <c r="C46" s="3"/>
      <c r="D46" s="3"/>
    </row>
    <row r="47" spans="1:4" ht="26.25" customHeight="1" x14ac:dyDescent="0.25">
      <c r="A47" s="40" t="s">
        <v>616</v>
      </c>
      <c r="B47" s="41"/>
      <c r="C47" s="42"/>
      <c r="D47" s="42"/>
    </row>
    <row r="48" spans="1:4" ht="26.25" customHeight="1" thickBot="1" x14ac:dyDescent="0.3">
      <c r="A48" s="39" t="s">
        <v>0</v>
      </c>
      <c r="B48" s="39"/>
      <c r="C48" s="2"/>
      <c r="D48" s="1">
        <f>+SUM(D5:D46)</f>
        <v>36</v>
      </c>
    </row>
    <row r="49" ht="15.75" thickTop="1" x14ac:dyDescent="0.25"/>
  </sheetData>
  <mergeCells count="4">
    <mergeCell ref="A1:D1"/>
    <mergeCell ref="A2:D2"/>
    <mergeCell ref="A47:D47"/>
    <mergeCell ref="A48:B48"/>
  </mergeCells>
  <conditionalFormatting sqref="A1:A1048576">
    <cfRule type="duplicateValues" dxfId="250" priority="16"/>
  </conditionalFormatting>
  <conditionalFormatting sqref="A5:A41">
    <cfRule type="duplicateValues" dxfId="249" priority="20"/>
  </conditionalFormatting>
  <conditionalFormatting sqref="A42:A1048576 A1:A4">
    <cfRule type="duplicateValues" dxfId="248" priority="19"/>
  </conditionalFormatting>
  <conditionalFormatting sqref="B42:B1048576 B1:B4">
    <cfRule type="duplicateValues" dxfId="247" priority="17"/>
    <cfRule type="duplicateValues" dxfId="246" priority="18"/>
  </conditionalFormatting>
  <conditionalFormatting sqref="B5:C5">
    <cfRule type="duplicateValues" dxfId="245" priority="1"/>
    <cfRule type="duplicateValues" dxfId="244" priority="2"/>
  </conditionalFormatting>
  <conditionalFormatting sqref="B6:C6">
    <cfRule type="duplicateValues" dxfId="243" priority="6"/>
    <cfRule type="duplicateValues" dxfId="242" priority="7"/>
  </conditionalFormatting>
  <conditionalFormatting sqref="B7:C32">
    <cfRule type="duplicateValues" dxfId="241" priority="4"/>
    <cfRule type="duplicateValues" dxfId="240" priority="5"/>
  </conditionalFormatting>
  <conditionalFormatting sqref="B33:C41">
    <cfRule type="duplicateValues" dxfId="239" priority="14"/>
    <cfRule type="duplicateValues" dxfId="238" priority="15"/>
  </conditionalFormatting>
  <printOptions horizontalCentered="1"/>
  <pageMargins left="0.11811023622047245" right="0.11811023622047245" top="0.15748031496062992" bottom="0.15748031496062992" header="0.11811023622047245" footer="0.11811023622047245"/>
  <pageSetup scale="8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EBC9-E7C1-4363-B3BC-0F3AB09B086B}">
  <sheetPr>
    <tabColor rgb="FFFF0000"/>
    <pageSetUpPr fitToPage="1"/>
  </sheetPr>
  <dimension ref="A1:I48"/>
  <sheetViews>
    <sheetView zoomScaleNormal="100" workbookViewId="0">
      <selection activeCell="D9" sqref="D9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  <col min="6" max="6" width="15.5703125" bestFit="1" customWidth="1"/>
    <col min="7" max="7" width="14.5703125" bestFit="1" customWidth="1"/>
    <col min="8" max="8" width="15.5703125" bestFit="1" customWidth="1"/>
    <col min="9" max="9" width="14.5703125" bestFit="1" customWidth="1"/>
  </cols>
  <sheetData>
    <row r="1" spans="1:9" ht="22.5" x14ac:dyDescent="0.25">
      <c r="A1" s="37" t="s">
        <v>6</v>
      </c>
      <c r="B1" s="37"/>
      <c r="C1" s="37"/>
      <c r="D1" s="37"/>
    </row>
    <row r="2" spans="1:9" ht="17.25" x14ac:dyDescent="0.25">
      <c r="A2" s="38">
        <v>46179</v>
      </c>
      <c r="B2" s="38"/>
      <c r="C2" s="38"/>
      <c r="D2" s="38"/>
    </row>
    <row r="3" spans="1:9" ht="17.25" x14ac:dyDescent="0.25">
      <c r="A3" s="5"/>
      <c r="B3" s="5"/>
      <c r="C3" s="5"/>
      <c r="D3" s="5"/>
    </row>
    <row r="4" spans="1:9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  <c r="F4" s="8"/>
      <c r="G4" s="8"/>
      <c r="H4" s="8"/>
      <c r="I4" s="8"/>
    </row>
    <row r="5" spans="1:9" ht="26.25" customHeight="1" x14ac:dyDescent="0.25">
      <c r="A5" s="3" t="s">
        <v>896</v>
      </c>
      <c r="B5" s="3" t="s">
        <v>901</v>
      </c>
      <c r="C5" s="3">
        <v>703279</v>
      </c>
      <c r="D5" s="3">
        <v>1</v>
      </c>
    </row>
    <row r="6" spans="1:9" ht="26.25" customHeight="1" x14ac:dyDescent="0.25">
      <c r="A6" s="3" t="s">
        <v>897</v>
      </c>
      <c r="B6" s="3" t="s">
        <v>902</v>
      </c>
      <c r="C6" s="3">
        <v>707971</v>
      </c>
      <c r="D6" s="3">
        <v>1</v>
      </c>
    </row>
    <row r="7" spans="1:9" ht="26.25" customHeight="1" x14ac:dyDescent="0.25">
      <c r="A7" s="3" t="s">
        <v>341</v>
      </c>
      <c r="B7" s="3" t="s">
        <v>932</v>
      </c>
      <c r="C7" s="3">
        <v>677424</v>
      </c>
      <c r="D7" s="3">
        <v>1</v>
      </c>
    </row>
    <row r="8" spans="1:9" ht="26.25" customHeight="1" x14ac:dyDescent="0.25">
      <c r="A8" s="3" t="s">
        <v>16</v>
      </c>
      <c r="B8" s="3" t="s">
        <v>903</v>
      </c>
      <c r="C8" s="3">
        <v>700701</v>
      </c>
      <c r="D8" s="3">
        <v>1</v>
      </c>
    </row>
    <row r="9" spans="1:9" ht="26.25" customHeight="1" x14ac:dyDescent="0.25">
      <c r="A9" s="3" t="s">
        <v>603</v>
      </c>
      <c r="B9" s="3" t="s">
        <v>904</v>
      </c>
      <c r="C9" s="3">
        <v>702072</v>
      </c>
      <c r="D9" s="3">
        <v>1</v>
      </c>
    </row>
    <row r="10" spans="1:9" ht="26.25" customHeight="1" x14ac:dyDescent="0.25">
      <c r="A10" s="3">
        <v>22800396</v>
      </c>
      <c r="B10" s="3" t="s">
        <v>905</v>
      </c>
      <c r="C10" s="3">
        <v>702397</v>
      </c>
      <c r="D10" s="3">
        <v>1</v>
      </c>
    </row>
    <row r="11" spans="1:9" ht="26.25" customHeight="1" x14ac:dyDescent="0.25">
      <c r="A11" s="3" t="s">
        <v>46</v>
      </c>
      <c r="B11" s="3" t="s">
        <v>906</v>
      </c>
      <c r="C11" s="3">
        <v>703145</v>
      </c>
      <c r="D11" s="3">
        <v>1</v>
      </c>
    </row>
    <row r="12" spans="1:9" ht="26.25" customHeight="1" x14ac:dyDescent="0.25">
      <c r="A12" s="3">
        <v>40161567</v>
      </c>
      <c r="B12" s="3" t="s">
        <v>907</v>
      </c>
      <c r="C12" s="3">
        <v>703790</v>
      </c>
      <c r="D12" s="3">
        <v>1</v>
      </c>
    </row>
    <row r="13" spans="1:9" ht="26.25" customHeight="1" x14ac:dyDescent="0.25">
      <c r="A13" s="3" t="s">
        <v>898</v>
      </c>
      <c r="B13" s="3" t="s">
        <v>908</v>
      </c>
      <c r="C13" s="3">
        <v>706871</v>
      </c>
      <c r="D13" s="3">
        <v>1</v>
      </c>
    </row>
    <row r="14" spans="1:9" ht="26.25" customHeight="1" x14ac:dyDescent="0.25">
      <c r="A14" s="3">
        <v>11546545</v>
      </c>
      <c r="B14" s="3" t="s">
        <v>909</v>
      </c>
      <c r="C14" s="3">
        <v>706432</v>
      </c>
      <c r="D14" s="3">
        <v>2</v>
      </c>
    </row>
    <row r="15" spans="1:9" ht="26.25" customHeight="1" x14ac:dyDescent="0.25">
      <c r="A15" s="3">
        <v>11516755</v>
      </c>
      <c r="B15" s="3" t="s">
        <v>910</v>
      </c>
      <c r="C15" s="3">
        <v>711080</v>
      </c>
      <c r="D15" s="3">
        <v>1</v>
      </c>
    </row>
    <row r="16" spans="1:9" ht="26.25" customHeight="1" x14ac:dyDescent="0.25">
      <c r="A16" s="3" t="s">
        <v>899</v>
      </c>
      <c r="B16" s="3" t="s">
        <v>911</v>
      </c>
      <c r="C16" s="3">
        <v>709671</v>
      </c>
      <c r="D16" s="3">
        <v>1</v>
      </c>
    </row>
    <row r="17" spans="1:4" ht="26.25" customHeight="1" x14ac:dyDescent="0.25">
      <c r="A17" s="3" t="s">
        <v>217</v>
      </c>
      <c r="B17" s="3" t="s">
        <v>912</v>
      </c>
      <c r="C17" s="3">
        <v>709483</v>
      </c>
      <c r="D17" s="3">
        <v>1</v>
      </c>
    </row>
    <row r="18" spans="1:4" ht="26.25" customHeight="1" x14ac:dyDescent="0.25">
      <c r="A18" s="3">
        <v>1420503001</v>
      </c>
      <c r="B18" s="3" t="s">
        <v>913</v>
      </c>
      <c r="C18" s="3">
        <v>710971</v>
      </c>
      <c r="D18" s="3">
        <v>1</v>
      </c>
    </row>
    <row r="19" spans="1:4" ht="26.25" customHeight="1" x14ac:dyDescent="0.25">
      <c r="A19" s="3" t="s">
        <v>177</v>
      </c>
      <c r="B19" s="3" t="s">
        <v>914</v>
      </c>
      <c r="C19" s="3">
        <v>700972</v>
      </c>
      <c r="D19" s="3">
        <v>1</v>
      </c>
    </row>
    <row r="20" spans="1:4" ht="26.25" customHeight="1" x14ac:dyDescent="0.25">
      <c r="A20" s="3" t="s">
        <v>102</v>
      </c>
      <c r="B20" s="3" t="s">
        <v>915</v>
      </c>
      <c r="C20" s="3">
        <v>697255</v>
      </c>
      <c r="D20" s="3">
        <v>1</v>
      </c>
    </row>
    <row r="21" spans="1:4" ht="26.25" customHeight="1" x14ac:dyDescent="0.25">
      <c r="A21" s="3" t="s">
        <v>362</v>
      </c>
      <c r="B21" s="3" t="s">
        <v>916</v>
      </c>
      <c r="C21" s="3">
        <v>703557</v>
      </c>
      <c r="D21" s="3">
        <v>1</v>
      </c>
    </row>
    <row r="22" spans="1:4" ht="26.25" customHeight="1" x14ac:dyDescent="0.25">
      <c r="A22" s="3">
        <v>90280051</v>
      </c>
      <c r="B22" s="3" t="s">
        <v>917</v>
      </c>
      <c r="C22" s="3">
        <v>710602</v>
      </c>
      <c r="D22" s="3">
        <v>1</v>
      </c>
    </row>
    <row r="23" spans="1:4" ht="26.25" customHeight="1" x14ac:dyDescent="0.25">
      <c r="A23" s="3" t="s">
        <v>86</v>
      </c>
      <c r="B23" s="3" t="s">
        <v>918</v>
      </c>
      <c r="C23" s="3">
        <v>707922</v>
      </c>
      <c r="D23" s="3">
        <v>1</v>
      </c>
    </row>
    <row r="24" spans="1:4" ht="26.25" customHeight="1" x14ac:dyDescent="0.25">
      <c r="A24" s="3" t="s">
        <v>12</v>
      </c>
      <c r="B24" s="3" t="s">
        <v>933</v>
      </c>
      <c r="C24" s="3">
        <v>676584</v>
      </c>
      <c r="D24" s="3">
        <v>1</v>
      </c>
    </row>
    <row r="25" spans="1:4" ht="26.25" customHeight="1" x14ac:dyDescent="0.25">
      <c r="A25" s="3" t="s">
        <v>614</v>
      </c>
      <c r="B25" s="3" t="s">
        <v>919</v>
      </c>
      <c r="C25" s="3">
        <v>700852</v>
      </c>
      <c r="D25" s="3">
        <v>1</v>
      </c>
    </row>
    <row r="26" spans="1:4" ht="26.25" customHeight="1" x14ac:dyDescent="0.25">
      <c r="A26" s="3" t="s">
        <v>789</v>
      </c>
      <c r="B26" s="3" t="s">
        <v>920</v>
      </c>
      <c r="C26" s="3">
        <v>702069</v>
      </c>
      <c r="D26" s="3">
        <v>1</v>
      </c>
    </row>
    <row r="27" spans="1:4" ht="26.25" customHeight="1" x14ac:dyDescent="0.25">
      <c r="A27" s="3" t="s">
        <v>213</v>
      </c>
      <c r="B27" s="3" t="s">
        <v>830</v>
      </c>
      <c r="C27" s="3">
        <v>694799</v>
      </c>
      <c r="D27" s="3">
        <v>1</v>
      </c>
    </row>
    <row r="28" spans="1:4" ht="26.25" customHeight="1" x14ac:dyDescent="0.25">
      <c r="A28" s="3" t="s">
        <v>176</v>
      </c>
      <c r="B28" s="3" t="s">
        <v>921</v>
      </c>
      <c r="C28" s="3">
        <v>696072</v>
      </c>
      <c r="D28" s="3">
        <v>1</v>
      </c>
    </row>
    <row r="29" spans="1:4" ht="26.25" customHeight="1" x14ac:dyDescent="0.25">
      <c r="A29" s="3">
        <v>11546391</v>
      </c>
      <c r="B29" s="3" t="s">
        <v>922</v>
      </c>
      <c r="C29" s="3">
        <v>701543</v>
      </c>
      <c r="D29" s="3">
        <v>1</v>
      </c>
    </row>
    <row r="30" spans="1:4" ht="26.25" customHeight="1" x14ac:dyDescent="0.25">
      <c r="A30" s="3">
        <v>11546389</v>
      </c>
      <c r="B30" s="3" t="s">
        <v>923</v>
      </c>
      <c r="C30" s="3">
        <v>696185</v>
      </c>
      <c r="D30" s="3">
        <v>1</v>
      </c>
    </row>
    <row r="31" spans="1:4" ht="26.25" customHeight="1" x14ac:dyDescent="0.25">
      <c r="A31" s="3">
        <v>11561645</v>
      </c>
      <c r="B31" s="3" t="s">
        <v>924</v>
      </c>
      <c r="C31" s="3">
        <v>708441</v>
      </c>
      <c r="D31" s="3">
        <v>2</v>
      </c>
    </row>
    <row r="32" spans="1:4" ht="26.25" customHeight="1" x14ac:dyDescent="0.25">
      <c r="A32" s="3" t="s">
        <v>926</v>
      </c>
      <c r="B32" s="3" t="s">
        <v>925</v>
      </c>
      <c r="C32" s="3">
        <v>710984</v>
      </c>
      <c r="D32" s="3">
        <v>1</v>
      </c>
    </row>
    <row r="33" spans="1:4" ht="26.25" customHeight="1" x14ac:dyDescent="0.25">
      <c r="A33" s="3">
        <v>11588293</v>
      </c>
      <c r="B33" s="3" t="s">
        <v>927</v>
      </c>
      <c r="C33" s="3">
        <v>709463</v>
      </c>
      <c r="D33" s="3">
        <v>1</v>
      </c>
    </row>
    <row r="34" spans="1:4" ht="26.25" customHeight="1" x14ac:dyDescent="0.25">
      <c r="A34" s="3" t="s">
        <v>900</v>
      </c>
      <c r="B34" s="3" t="s">
        <v>928</v>
      </c>
      <c r="C34" s="3">
        <v>707098</v>
      </c>
      <c r="D34" s="3">
        <v>1</v>
      </c>
    </row>
    <row r="35" spans="1:4" ht="26.25" customHeight="1" x14ac:dyDescent="0.25">
      <c r="A35" s="3">
        <v>11562515</v>
      </c>
      <c r="B35" s="3" t="s">
        <v>929</v>
      </c>
      <c r="C35" s="3">
        <v>706376</v>
      </c>
      <c r="D35" s="3">
        <v>1</v>
      </c>
    </row>
    <row r="36" spans="1:4" ht="26.25" customHeight="1" x14ac:dyDescent="0.25">
      <c r="A36" s="3" t="s">
        <v>47</v>
      </c>
      <c r="B36" s="3" t="s">
        <v>930</v>
      </c>
      <c r="C36" s="3">
        <v>709241</v>
      </c>
      <c r="D36" s="3">
        <v>1</v>
      </c>
    </row>
    <row r="37" spans="1:4" ht="26.25" customHeight="1" x14ac:dyDescent="0.25">
      <c r="A37" s="3" t="s">
        <v>136</v>
      </c>
      <c r="B37" s="3" t="s">
        <v>931</v>
      </c>
      <c r="C37" s="3">
        <v>709643</v>
      </c>
      <c r="D37" s="3">
        <v>1</v>
      </c>
    </row>
    <row r="38" spans="1:4" ht="26.25" customHeight="1" x14ac:dyDescent="0.25">
      <c r="A38" s="3" t="s">
        <v>722</v>
      </c>
      <c r="B38" s="3" t="s">
        <v>934</v>
      </c>
      <c r="C38" s="3">
        <v>707139</v>
      </c>
      <c r="D38" s="3">
        <v>1</v>
      </c>
    </row>
    <row r="39" spans="1:4" ht="26.25" hidden="1" customHeight="1" x14ac:dyDescent="0.25">
      <c r="A39" s="3"/>
      <c r="B39" s="3"/>
      <c r="C39" s="3"/>
      <c r="D39" s="3"/>
    </row>
    <row r="40" spans="1:4" ht="26.25" hidden="1" customHeight="1" x14ac:dyDescent="0.25">
      <c r="A40" s="3"/>
      <c r="B40" s="3"/>
      <c r="C40" s="3"/>
      <c r="D40" s="3"/>
    </row>
    <row r="41" spans="1:4" ht="26.25" hidden="1" customHeight="1" x14ac:dyDescent="0.25">
      <c r="A41" s="3"/>
      <c r="B41" s="3"/>
      <c r="C41" s="3"/>
      <c r="D41" s="3"/>
    </row>
    <row r="42" spans="1:4" ht="26.25" hidden="1" customHeight="1" x14ac:dyDescent="0.25">
      <c r="A42" s="3"/>
      <c r="B42" s="3"/>
      <c r="C42" s="3"/>
      <c r="D42" s="3"/>
    </row>
    <row r="43" spans="1:4" ht="26.25" hidden="1" customHeight="1" x14ac:dyDescent="0.25">
      <c r="A43" s="3"/>
      <c r="B43" s="3"/>
      <c r="C43" s="3"/>
      <c r="D43" s="3"/>
    </row>
    <row r="44" spans="1:4" ht="26.25" hidden="1" customHeight="1" x14ac:dyDescent="0.25">
      <c r="A44" s="3"/>
      <c r="B44" s="3"/>
      <c r="C44" s="3"/>
      <c r="D44" s="3"/>
    </row>
    <row r="45" spans="1:4" ht="26.25" hidden="1" customHeight="1" x14ac:dyDescent="0.25">
      <c r="A45" s="3"/>
      <c r="B45" s="3"/>
      <c r="C45" s="3"/>
      <c r="D45" s="3"/>
    </row>
    <row r="46" spans="1:4" ht="26.25" customHeight="1" x14ac:dyDescent="0.25">
      <c r="A46" s="40" t="s">
        <v>618</v>
      </c>
      <c r="B46" s="41"/>
      <c r="C46" s="42"/>
      <c r="D46" s="42"/>
    </row>
    <row r="47" spans="1:4" ht="26.25" customHeight="1" thickBot="1" x14ac:dyDescent="0.3">
      <c r="A47" s="39" t="s">
        <v>0</v>
      </c>
      <c r="B47" s="39"/>
      <c r="C47" s="2"/>
      <c r="D47" s="1">
        <f>+SUM(D5:D45)</f>
        <v>36</v>
      </c>
    </row>
    <row r="48" spans="1:4" ht="15.75" thickTop="1" x14ac:dyDescent="0.25"/>
  </sheetData>
  <mergeCells count="4">
    <mergeCell ref="A1:D1"/>
    <mergeCell ref="A2:D2"/>
    <mergeCell ref="A46:D46"/>
    <mergeCell ref="A47:B47"/>
  </mergeCells>
  <conditionalFormatting sqref="A1:A1048576">
    <cfRule type="duplicateValues" dxfId="237" priority="13"/>
  </conditionalFormatting>
  <conditionalFormatting sqref="A5:A40">
    <cfRule type="duplicateValues" dxfId="236" priority="114"/>
  </conditionalFormatting>
  <conditionalFormatting sqref="A41:A1048576 A1:A4">
    <cfRule type="duplicateValues" dxfId="235" priority="16"/>
  </conditionalFormatting>
  <conditionalFormatting sqref="B41:B1048576 B1:B4">
    <cfRule type="duplicateValues" dxfId="234" priority="14"/>
    <cfRule type="duplicateValues" dxfId="233" priority="15"/>
  </conditionalFormatting>
  <conditionalFormatting sqref="B5:C5">
    <cfRule type="duplicateValues" dxfId="232" priority="3"/>
    <cfRule type="duplicateValues" dxfId="231" priority="4"/>
  </conditionalFormatting>
  <conditionalFormatting sqref="B6:C38">
    <cfRule type="duplicateValues" dxfId="230" priority="1"/>
    <cfRule type="duplicateValues" dxfId="229" priority="2"/>
  </conditionalFormatting>
  <conditionalFormatting sqref="B39:C40">
    <cfRule type="duplicateValues" dxfId="228" priority="11"/>
    <cfRule type="duplicateValues" dxfId="227" priority="12"/>
  </conditionalFormatting>
  <printOptions horizontalCentered="1"/>
  <pageMargins left="0.11811023622047245" right="0.11811023622047245" top="0.15748031496062992" bottom="0.15748031496062992" header="0.11811023622047245" footer="0.11811023622047245"/>
  <pageSetup scale="7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E2B64-346A-4BA0-B1F5-3CD406BCC048}">
  <dimension ref="A1:D51"/>
  <sheetViews>
    <sheetView workbookViewId="0">
      <selection activeCell="D27" sqref="D27"/>
    </sheetView>
  </sheetViews>
  <sheetFormatPr defaultRowHeight="15" x14ac:dyDescent="0.25"/>
  <cols>
    <col min="1" max="1" width="26.140625" customWidth="1"/>
    <col min="2" max="2" width="26.140625" style="14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46227</v>
      </c>
      <c r="B2" s="38"/>
      <c r="C2" s="38"/>
      <c r="D2" s="38"/>
    </row>
    <row r="3" spans="1:4" ht="17.25" x14ac:dyDescent="0.25">
      <c r="A3" s="5"/>
      <c r="B3" s="11"/>
      <c r="C3" s="5"/>
      <c r="D3" s="5"/>
    </row>
    <row r="4" spans="1:4" ht="26.25" customHeight="1" x14ac:dyDescent="0.25">
      <c r="A4" s="4" t="s">
        <v>5</v>
      </c>
      <c r="B4" s="12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10"/>
      <c r="C5" s="3"/>
      <c r="D5" s="3"/>
    </row>
    <row r="6" spans="1:4" ht="26.25" hidden="1" customHeight="1" x14ac:dyDescent="0.25">
      <c r="A6" s="3"/>
      <c r="B6" s="10"/>
      <c r="C6" s="3"/>
      <c r="D6" s="3"/>
    </row>
    <row r="7" spans="1:4" ht="26.25" hidden="1" customHeight="1" x14ac:dyDescent="0.25">
      <c r="A7" s="3"/>
      <c r="B7" s="10"/>
      <c r="C7" s="3"/>
      <c r="D7" s="3"/>
    </row>
    <row r="8" spans="1:4" ht="26.25" hidden="1" customHeight="1" x14ac:dyDescent="0.25">
      <c r="A8" s="3"/>
      <c r="B8" s="10"/>
      <c r="C8" s="3"/>
      <c r="D8" s="3"/>
    </row>
    <row r="9" spans="1:4" ht="26.25" hidden="1" customHeight="1" x14ac:dyDescent="0.25">
      <c r="A9" s="3"/>
      <c r="B9" s="10"/>
      <c r="C9" s="3"/>
      <c r="D9" s="3"/>
    </row>
    <row r="10" spans="1:4" ht="26.25" hidden="1" customHeight="1" x14ac:dyDescent="0.25">
      <c r="A10" s="3"/>
      <c r="B10" s="10"/>
      <c r="C10" s="3"/>
      <c r="D10" s="3"/>
    </row>
    <row r="11" spans="1:4" ht="26.25" hidden="1" customHeight="1" x14ac:dyDescent="0.25">
      <c r="A11" s="3"/>
      <c r="B11" s="10"/>
      <c r="C11" s="3"/>
      <c r="D11" s="3"/>
    </row>
    <row r="12" spans="1:4" ht="26.25" hidden="1" customHeight="1" x14ac:dyDescent="0.25">
      <c r="A12" s="3"/>
      <c r="B12" s="10"/>
      <c r="C12" s="3"/>
      <c r="D12" s="3"/>
    </row>
    <row r="13" spans="1:4" ht="26.25" hidden="1" customHeight="1" x14ac:dyDescent="0.25">
      <c r="A13" s="3"/>
      <c r="B13" s="10"/>
      <c r="C13" s="3"/>
      <c r="D13" s="3"/>
    </row>
    <row r="14" spans="1:4" ht="26.25" hidden="1" customHeight="1" x14ac:dyDescent="0.25">
      <c r="A14" s="3"/>
      <c r="B14" s="10"/>
      <c r="C14" s="3"/>
      <c r="D14" s="3"/>
    </row>
    <row r="15" spans="1:4" ht="26.25" hidden="1" customHeight="1" x14ac:dyDescent="0.25">
      <c r="A15" s="3"/>
      <c r="B15" s="10"/>
      <c r="C15" s="3"/>
      <c r="D15" s="3"/>
    </row>
    <row r="16" spans="1:4" ht="26.25" hidden="1" customHeight="1" x14ac:dyDescent="0.25">
      <c r="A16" s="3"/>
      <c r="B16" s="10"/>
      <c r="C16" s="3"/>
      <c r="D16" s="3"/>
    </row>
    <row r="17" spans="1:4" ht="26.25" hidden="1" customHeight="1" x14ac:dyDescent="0.25">
      <c r="A17" s="3"/>
      <c r="B17" s="10"/>
      <c r="C17" s="3"/>
      <c r="D17" s="3"/>
    </row>
    <row r="18" spans="1:4" ht="26.25" hidden="1" customHeight="1" x14ac:dyDescent="0.25">
      <c r="A18" s="3"/>
      <c r="B18" s="10"/>
      <c r="C18" s="3"/>
      <c r="D18" s="3"/>
    </row>
    <row r="19" spans="1:4" ht="26.25" hidden="1" customHeight="1" x14ac:dyDescent="0.25">
      <c r="A19" s="3"/>
      <c r="B19" s="10"/>
      <c r="C19" s="3"/>
      <c r="D19" s="3"/>
    </row>
    <row r="20" spans="1:4" ht="26.25" hidden="1" customHeight="1" x14ac:dyDescent="0.25">
      <c r="A20" s="3"/>
      <c r="B20" s="10"/>
      <c r="C20" s="3"/>
      <c r="D20" s="3"/>
    </row>
    <row r="21" spans="1:4" ht="26.25" hidden="1" customHeight="1" x14ac:dyDescent="0.25">
      <c r="A21" s="3"/>
      <c r="B21" s="10"/>
      <c r="C21" s="3"/>
      <c r="D21" s="3"/>
    </row>
    <row r="22" spans="1:4" ht="26.25" hidden="1" customHeight="1" x14ac:dyDescent="0.25">
      <c r="A22" s="3"/>
      <c r="B22" s="10"/>
      <c r="C22" s="3"/>
      <c r="D22" s="3"/>
    </row>
    <row r="23" spans="1:4" ht="26.25" hidden="1" customHeight="1" x14ac:dyDescent="0.25">
      <c r="A23" s="3"/>
      <c r="B23" s="10"/>
      <c r="C23" s="3"/>
      <c r="D23" s="3"/>
    </row>
    <row r="24" spans="1:4" ht="26.25" hidden="1" customHeight="1" x14ac:dyDescent="0.25">
      <c r="A24" s="3"/>
      <c r="B24" s="10"/>
      <c r="C24" s="3"/>
      <c r="D24" s="3"/>
    </row>
    <row r="25" spans="1:4" ht="26.25" customHeight="1" x14ac:dyDescent="0.25">
      <c r="A25" s="3" t="s">
        <v>17</v>
      </c>
      <c r="B25" s="10" t="s">
        <v>952</v>
      </c>
      <c r="C25" s="3"/>
      <c r="D25" s="3">
        <v>1</v>
      </c>
    </row>
    <row r="26" spans="1:4" ht="26.25" customHeight="1" x14ac:dyDescent="0.25">
      <c r="A26" s="3">
        <v>6101736</v>
      </c>
      <c r="B26" s="13" t="s">
        <v>935</v>
      </c>
      <c r="C26" s="3"/>
      <c r="D26" s="3">
        <v>4</v>
      </c>
    </row>
    <row r="27" spans="1:4" ht="26.25" customHeight="1" x14ac:dyDescent="0.25">
      <c r="A27" s="3">
        <v>11546449</v>
      </c>
      <c r="B27" s="13" t="s">
        <v>936</v>
      </c>
      <c r="C27" s="3"/>
      <c r="D27" s="3">
        <v>5</v>
      </c>
    </row>
    <row r="28" spans="1:4" ht="26.25" customHeight="1" x14ac:dyDescent="0.25">
      <c r="A28" s="3" t="s">
        <v>1</v>
      </c>
      <c r="B28" s="10" t="s">
        <v>946</v>
      </c>
      <c r="C28" s="3"/>
      <c r="D28" s="3">
        <v>2</v>
      </c>
    </row>
    <row r="29" spans="1:4" ht="26.25" customHeight="1" x14ac:dyDescent="0.25">
      <c r="A29" s="3" t="s">
        <v>404</v>
      </c>
      <c r="B29" s="13" t="s">
        <v>937</v>
      </c>
      <c r="C29" s="3"/>
      <c r="D29" s="3">
        <v>1</v>
      </c>
    </row>
    <row r="30" spans="1:4" ht="26.25" customHeight="1" x14ac:dyDescent="0.25">
      <c r="A30" s="3">
        <v>11602031</v>
      </c>
      <c r="B30" s="13" t="s">
        <v>938</v>
      </c>
      <c r="C30" s="3"/>
      <c r="D30" s="3">
        <v>3</v>
      </c>
    </row>
    <row r="31" spans="1:4" ht="26.25" customHeight="1" x14ac:dyDescent="0.25">
      <c r="A31" s="3">
        <v>11546703</v>
      </c>
      <c r="B31" s="13" t="s">
        <v>939</v>
      </c>
      <c r="C31" s="3"/>
      <c r="D31" s="3">
        <v>3</v>
      </c>
    </row>
    <row r="32" spans="1:4" ht="26.25" customHeight="1" x14ac:dyDescent="0.25">
      <c r="A32" s="3" t="s">
        <v>208</v>
      </c>
      <c r="B32" s="13" t="s">
        <v>940</v>
      </c>
      <c r="C32" s="3"/>
      <c r="D32" s="3">
        <v>2</v>
      </c>
    </row>
    <row r="33" spans="1:4" ht="26.25" customHeight="1" x14ac:dyDescent="0.25">
      <c r="A33" s="3" t="s">
        <v>181</v>
      </c>
      <c r="B33" s="13" t="s">
        <v>941</v>
      </c>
      <c r="C33" s="3"/>
      <c r="D33" s="3">
        <v>2</v>
      </c>
    </row>
    <row r="34" spans="1:4" ht="26.25" customHeight="1" x14ac:dyDescent="0.25">
      <c r="A34" s="3" t="s">
        <v>102</v>
      </c>
      <c r="B34" s="13" t="s">
        <v>942</v>
      </c>
      <c r="C34" s="3"/>
      <c r="D34" s="3">
        <v>3</v>
      </c>
    </row>
    <row r="35" spans="1:4" ht="26.25" customHeight="1" x14ac:dyDescent="0.25">
      <c r="A35" s="3">
        <v>11549168</v>
      </c>
      <c r="B35" s="13" t="s">
        <v>943</v>
      </c>
      <c r="C35" s="3"/>
      <c r="D35" s="3">
        <v>3</v>
      </c>
    </row>
    <row r="36" spans="1:4" ht="26.25" customHeight="1" x14ac:dyDescent="0.25">
      <c r="A36" s="3">
        <v>6511777</v>
      </c>
      <c r="B36" s="13" t="s">
        <v>944</v>
      </c>
      <c r="C36" s="3"/>
      <c r="D36" s="3">
        <v>1</v>
      </c>
    </row>
    <row r="37" spans="1:4" ht="26.25" customHeight="1" x14ac:dyDescent="0.25">
      <c r="A37" s="3" t="s">
        <v>331</v>
      </c>
      <c r="B37" s="13" t="s">
        <v>945</v>
      </c>
      <c r="C37" s="3"/>
      <c r="D37" s="3">
        <v>1</v>
      </c>
    </row>
    <row r="38" spans="1:4" ht="26.25" customHeight="1" x14ac:dyDescent="0.25">
      <c r="A38" s="3">
        <v>11546463</v>
      </c>
      <c r="B38" s="9" t="s">
        <v>951</v>
      </c>
      <c r="C38" s="3"/>
      <c r="D38" s="3">
        <v>1</v>
      </c>
    </row>
    <row r="39" spans="1:4" ht="26.25" customHeight="1" x14ac:dyDescent="0.25">
      <c r="A39" s="3" t="s">
        <v>337</v>
      </c>
      <c r="B39" s="10" t="s">
        <v>947</v>
      </c>
      <c r="C39" s="3"/>
      <c r="D39" s="3">
        <v>1</v>
      </c>
    </row>
    <row r="40" spans="1:4" ht="26.25" customHeight="1" x14ac:dyDescent="0.25">
      <c r="A40" s="3">
        <v>11548414</v>
      </c>
      <c r="B40" s="10" t="s">
        <v>948</v>
      </c>
      <c r="C40" s="3"/>
      <c r="D40" s="3">
        <v>1</v>
      </c>
    </row>
    <row r="41" spans="1:4" ht="26.25" customHeight="1" x14ac:dyDescent="0.25">
      <c r="A41" s="3">
        <v>6101831</v>
      </c>
      <c r="B41" s="10" t="s">
        <v>949</v>
      </c>
      <c r="C41" s="3"/>
      <c r="D41" s="3">
        <v>1</v>
      </c>
    </row>
    <row r="42" spans="1:4" ht="26.25" customHeight="1" x14ac:dyDescent="0.25">
      <c r="A42" s="3" t="s">
        <v>46</v>
      </c>
      <c r="B42" s="10" t="s">
        <v>950</v>
      </c>
      <c r="C42" s="3"/>
      <c r="D42" s="3">
        <v>1</v>
      </c>
    </row>
    <row r="43" spans="1:4" ht="26.25" customHeight="1" x14ac:dyDescent="0.25">
      <c r="A43" s="3"/>
      <c r="B43" s="10"/>
      <c r="C43" s="3"/>
      <c r="D43" s="3">
        <f>SUM(D25:D42)</f>
        <v>36</v>
      </c>
    </row>
    <row r="44" spans="1:4" ht="26.25" customHeight="1" x14ac:dyDescent="0.25">
      <c r="A44" s="3"/>
      <c r="B44" s="10"/>
      <c r="C44" s="3"/>
      <c r="D44" s="3"/>
    </row>
    <row r="45" spans="1:4" ht="26.25" customHeight="1" x14ac:dyDescent="0.25">
      <c r="A45" s="3"/>
      <c r="B45" s="10"/>
      <c r="C45" s="3"/>
      <c r="D45" s="3"/>
    </row>
    <row r="46" spans="1:4" ht="26.25" customHeight="1" x14ac:dyDescent="0.25">
      <c r="A46" s="3"/>
      <c r="B46" s="10"/>
      <c r="C46" s="3"/>
      <c r="D46" s="3"/>
    </row>
    <row r="47" spans="1:4" ht="26.25" customHeight="1" x14ac:dyDescent="0.25">
      <c r="A47" s="3"/>
      <c r="B47" s="10"/>
      <c r="C47" s="3"/>
      <c r="D47" s="3"/>
    </row>
    <row r="48" spans="1:4" ht="26.25" customHeight="1" x14ac:dyDescent="0.25">
      <c r="A48" s="3"/>
      <c r="B48" s="10"/>
      <c r="C48" s="3"/>
      <c r="D48" s="3"/>
    </row>
    <row r="49" spans="1:4" ht="26.25" customHeight="1" x14ac:dyDescent="0.25">
      <c r="A49" s="40" t="s">
        <v>777</v>
      </c>
      <c r="B49" s="41"/>
      <c r="C49" s="42"/>
      <c r="D49" s="42"/>
    </row>
    <row r="50" spans="1:4" ht="26.25" customHeight="1" thickBot="1" x14ac:dyDescent="0.3">
      <c r="A50" s="39" t="s">
        <v>0</v>
      </c>
      <c r="B50" s="39"/>
      <c r="C50" s="2"/>
      <c r="D50" s="1">
        <f>+SUM(D5:D48)</f>
        <v>72</v>
      </c>
    </row>
    <row r="51" spans="1:4" ht="15.75" thickTop="1" x14ac:dyDescent="0.25"/>
  </sheetData>
  <mergeCells count="4">
    <mergeCell ref="A1:D1"/>
    <mergeCell ref="A2:D2"/>
    <mergeCell ref="A49:D49"/>
    <mergeCell ref="A50:B50"/>
  </mergeCells>
  <conditionalFormatting sqref="A1:A1048576">
    <cfRule type="duplicateValues" dxfId="226" priority="11"/>
  </conditionalFormatting>
  <conditionalFormatting sqref="A5:A43">
    <cfRule type="duplicateValues" dxfId="225" priority="15"/>
  </conditionalFormatting>
  <conditionalFormatting sqref="A44:A1048576 A1:A4">
    <cfRule type="duplicateValues" dxfId="224" priority="14"/>
  </conditionalFormatting>
  <conditionalFormatting sqref="B44:B1048576 B1:B4">
    <cfRule type="duplicateValues" dxfId="223" priority="12"/>
    <cfRule type="duplicateValues" dxfId="222" priority="13"/>
  </conditionalFormatting>
  <conditionalFormatting sqref="B5:C5">
    <cfRule type="duplicateValues" dxfId="221" priority="7"/>
    <cfRule type="duplicateValues" dxfId="220" priority="8"/>
  </conditionalFormatting>
  <conditionalFormatting sqref="B6:C25 B28:C28 C26:C27 C29:C34">
    <cfRule type="duplicateValues" dxfId="219" priority="5"/>
    <cfRule type="duplicateValues" dxfId="218" priority="6"/>
  </conditionalFormatting>
  <conditionalFormatting sqref="B39:C43 C35:C38">
    <cfRule type="duplicateValues" dxfId="217" priority="9"/>
    <cfRule type="duplicateValues" dxfId="216" priority="10"/>
  </conditionalFormatting>
  <conditionalFormatting sqref="D26:D34">
    <cfRule type="duplicateValues" dxfId="215" priority="1"/>
    <cfRule type="duplicateValues" dxfId="214" priority="2"/>
  </conditionalFormatting>
  <conditionalFormatting sqref="D35:D38">
    <cfRule type="duplicateValues" dxfId="213" priority="3"/>
    <cfRule type="duplicateValues" dxfId="212" priority="4"/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623FF-D05D-42D7-AD5F-A5CC82F3732C}">
  <sheetPr>
    <pageSetUpPr fitToPage="1"/>
  </sheetPr>
  <dimension ref="A1:D51"/>
  <sheetViews>
    <sheetView topLeftCell="A40" workbookViewId="0">
      <selection activeCell="A47" sqref="A47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46226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 t="s">
        <v>145</v>
      </c>
      <c r="B25" s="15" t="s">
        <v>953</v>
      </c>
      <c r="C25" s="3"/>
      <c r="D25" s="3">
        <v>2</v>
      </c>
    </row>
    <row r="26" spans="1:4" ht="26.25" customHeight="1" x14ac:dyDescent="0.25">
      <c r="A26" s="3">
        <v>11549170</v>
      </c>
      <c r="B26" s="15" t="s">
        <v>954</v>
      </c>
      <c r="C26" s="3"/>
      <c r="D26" s="3">
        <v>6</v>
      </c>
    </row>
    <row r="27" spans="1:4" ht="26.25" customHeight="1" x14ac:dyDescent="0.25">
      <c r="A27" s="3">
        <v>11546703</v>
      </c>
      <c r="B27" s="15" t="s">
        <v>939</v>
      </c>
      <c r="C27" s="3"/>
      <c r="D27" s="3">
        <v>2</v>
      </c>
    </row>
    <row r="28" spans="1:4" ht="26.25" customHeight="1" x14ac:dyDescent="0.25">
      <c r="A28" s="3">
        <v>11549171</v>
      </c>
      <c r="B28" s="10" t="s">
        <v>968</v>
      </c>
      <c r="C28" s="3"/>
      <c r="D28" s="3">
        <v>3</v>
      </c>
    </row>
    <row r="29" spans="1:4" ht="26.25" customHeight="1" x14ac:dyDescent="0.25">
      <c r="A29" s="3">
        <v>11610126</v>
      </c>
      <c r="B29" s="15" t="s">
        <v>955</v>
      </c>
      <c r="C29" s="3"/>
      <c r="D29" s="3">
        <v>1</v>
      </c>
    </row>
    <row r="30" spans="1:4" ht="26.25" customHeight="1" x14ac:dyDescent="0.25">
      <c r="A30" s="3" t="s">
        <v>95</v>
      </c>
      <c r="B30" s="15" t="s">
        <v>956</v>
      </c>
      <c r="C30" s="3"/>
      <c r="D30" s="3">
        <v>1</v>
      </c>
    </row>
    <row r="31" spans="1:4" ht="26.25" customHeight="1" x14ac:dyDescent="0.25">
      <c r="A31" s="3">
        <v>11549204</v>
      </c>
      <c r="B31" s="15" t="s">
        <v>957</v>
      </c>
      <c r="C31" s="3"/>
      <c r="D31" s="3">
        <v>2</v>
      </c>
    </row>
    <row r="32" spans="1:4" ht="26.25" customHeight="1" x14ac:dyDescent="0.25">
      <c r="A32" s="3" t="s">
        <v>52</v>
      </c>
      <c r="B32" s="10" t="s">
        <v>969</v>
      </c>
      <c r="C32" s="3"/>
      <c r="D32" s="3">
        <v>2</v>
      </c>
    </row>
    <row r="33" spans="1:4" ht="26.25" customHeight="1" x14ac:dyDescent="0.25">
      <c r="A33" s="3" t="s">
        <v>15</v>
      </c>
      <c r="B33" s="15" t="s">
        <v>958</v>
      </c>
      <c r="C33" s="3"/>
      <c r="D33" s="3">
        <v>1</v>
      </c>
    </row>
    <row r="34" spans="1:4" ht="26.25" customHeight="1" x14ac:dyDescent="0.25">
      <c r="A34" s="3" t="s">
        <v>13</v>
      </c>
      <c r="B34" t="s">
        <v>959</v>
      </c>
      <c r="C34" s="3"/>
      <c r="D34" s="3">
        <v>1</v>
      </c>
    </row>
    <row r="35" spans="1:4" ht="26.25" customHeight="1" x14ac:dyDescent="0.25">
      <c r="A35" s="3" t="s">
        <v>55</v>
      </c>
      <c r="B35" s="15" t="s">
        <v>960</v>
      </c>
      <c r="C35" s="3"/>
      <c r="D35" s="3">
        <v>2</v>
      </c>
    </row>
    <row r="36" spans="1:4" ht="26.25" customHeight="1" x14ac:dyDescent="0.25">
      <c r="A36" s="3">
        <v>54049001</v>
      </c>
      <c r="B36" s="15" t="s">
        <v>961</v>
      </c>
      <c r="C36" s="3"/>
      <c r="D36" s="3">
        <v>1</v>
      </c>
    </row>
    <row r="37" spans="1:4" ht="26.25" customHeight="1" x14ac:dyDescent="0.25">
      <c r="A37" s="3" t="s">
        <v>142</v>
      </c>
      <c r="B37" s="15" t="s">
        <v>962</v>
      </c>
      <c r="C37" s="3"/>
      <c r="D37" s="3">
        <v>1</v>
      </c>
    </row>
    <row r="38" spans="1:4" ht="26.25" customHeight="1" x14ac:dyDescent="0.25">
      <c r="A38" s="3" t="s">
        <v>216</v>
      </c>
      <c r="B38" s="10" t="s">
        <v>970</v>
      </c>
      <c r="C38" s="3"/>
      <c r="D38" s="3">
        <v>1</v>
      </c>
    </row>
    <row r="39" spans="1:4" ht="26.25" customHeight="1" x14ac:dyDescent="0.25">
      <c r="A39" s="3" t="s">
        <v>621</v>
      </c>
      <c r="B39" s="10" t="s">
        <v>971</v>
      </c>
      <c r="C39" s="3"/>
      <c r="D39" s="3">
        <v>1</v>
      </c>
    </row>
    <row r="40" spans="1:4" ht="26.25" customHeight="1" x14ac:dyDescent="0.25">
      <c r="A40" s="3" t="s">
        <v>136</v>
      </c>
      <c r="B40" s="10" t="s">
        <v>972</v>
      </c>
      <c r="C40" s="3"/>
      <c r="D40" s="3">
        <v>1</v>
      </c>
    </row>
    <row r="41" spans="1:4" ht="26.25" customHeight="1" x14ac:dyDescent="0.25">
      <c r="A41" s="3">
        <v>11610128</v>
      </c>
      <c r="B41" s="15" t="s">
        <v>963</v>
      </c>
      <c r="C41" s="3"/>
      <c r="D41" s="3">
        <v>1</v>
      </c>
    </row>
    <row r="42" spans="1:4" ht="26.25" customHeight="1" x14ac:dyDescent="0.25">
      <c r="A42" s="3">
        <v>11548535</v>
      </c>
      <c r="B42" s="15" t="s">
        <v>964</v>
      </c>
      <c r="C42" s="3"/>
      <c r="D42" s="3">
        <v>1</v>
      </c>
    </row>
    <row r="43" spans="1:4" ht="26.25" customHeight="1" x14ac:dyDescent="0.25">
      <c r="A43" s="3" t="s">
        <v>436</v>
      </c>
      <c r="B43" s="15" t="s">
        <v>965</v>
      </c>
      <c r="C43" s="3"/>
      <c r="D43" s="3">
        <v>2</v>
      </c>
    </row>
    <row r="44" spans="1:4" ht="26.25" customHeight="1" x14ac:dyDescent="0.25">
      <c r="A44" s="3">
        <v>11546545</v>
      </c>
      <c r="B44" s="15" t="s">
        <v>966</v>
      </c>
      <c r="C44" s="3"/>
      <c r="D44" s="3">
        <v>1</v>
      </c>
    </row>
    <row r="45" spans="1:4" ht="26.25" customHeight="1" x14ac:dyDescent="0.25">
      <c r="A45" s="3">
        <v>11546437</v>
      </c>
      <c r="B45" s="10" t="s">
        <v>967</v>
      </c>
      <c r="C45" s="3"/>
      <c r="D45" s="3">
        <v>1</v>
      </c>
    </row>
    <row r="46" spans="1:4" ht="26.25" customHeight="1" x14ac:dyDescent="0.25">
      <c r="A46" s="3">
        <v>11548414</v>
      </c>
      <c r="B46" s="10" t="s">
        <v>974</v>
      </c>
      <c r="C46" s="3"/>
      <c r="D46" s="7">
        <v>1</v>
      </c>
    </row>
    <row r="47" spans="1:4" ht="26.25" customHeight="1" x14ac:dyDescent="0.25">
      <c r="A47" s="3" t="s">
        <v>100</v>
      </c>
      <c r="B47" s="10" t="s">
        <v>973</v>
      </c>
      <c r="C47" s="3"/>
      <c r="D47" s="3">
        <v>1</v>
      </c>
    </row>
    <row r="48" spans="1:4" ht="26.25" customHeight="1" x14ac:dyDescent="0.25">
      <c r="A48" s="3"/>
      <c r="B48" s="3"/>
      <c r="C48" s="3"/>
      <c r="D48" s="3">
        <f>SUM(D25:D47)</f>
        <v>36</v>
      </c>
    </row>
    <row r="49" spans="1:4" ht="26.25" customHeight="1" x14ac:dyDescent="0.25">
      <c r="A49" s="40">
        <v>34</v>
      </c>
      <c r="B49" s="41"/>
      <c r="C49" s="42"/>
      <c r="D49" s="42"/>
    </row>
    <row r="50" spans="1:4" ht="26.25" customHeight="1" thickBot="1" x14ac:dyDescent="0.3">
      <c r="A50" s="39" t="s">
        <v>0</v>
      </c>
      <c r="B50" s="39"/>
      <c r="C50" s="2"/>
      <c r="D50" s="1"/>
    </row>
    <row r="51" spans="1:4" ht="15.75" thickTop="1" x14ac:dyDescent="0.25"/>
  </sheetData>
  <mergeCells count="4">
    <mergeCell ref="A1:D1"/>
    <mergeCell ref="A2:D2"/>
    <mergeCell ref="A49:D49"/>
    <mergeCell ref="A50:B50"/>
  </mergeCells>
  <conditionalFormatting sqref="A1:A1048576">
    <cfRule type="duplicateValues" dxfId="211" priority="7"/>
  </conditionalFormatting>
  <conditionalFormatting sqref="A5:A42">
    <cfRule type="duplicateValues" dxfId="210" priority="11"/>
  </conditionalFormatting>
  <conditionalFormatting sqref="A43:A1048576 A1:A4">
    <cfRule type="duplicateValues" dxfId="209" priority="10"/>
  </conditionalFormatting>
  <conditionalFormatting sqref="B45:B1048576 B1:B4">
    <cfRule type="duplicateValues" dxfId="208" priority="8"/>
    <cfRule type="duplicateValues" dxfId="207" priority="9"/>
  </conditionalFormatting>
  <conditionalFormatting sqref="B5:C5">
    <cfRule type="duplicateValues" dxfId="206" priority="3"/>
    <cfRule type="duplicateValues" dxfId="205" priority="4"/>
  </conditionalFormatting>
  <conditionalFormatting sqref="B6:C24 B28:C28 C25:C27 B32:C32 C29:C31 C33">
    <cfRule type="duplicateValues" dxfId="204" priority="1"/>
    <cfRule type="duplicateValues" dxfId="203" priority="2"/>
  </conditionalFormatting>
  <conditionalFormatting sqref="B38:C40 C34:C37 C41:C42">
    <cfRule type="duplicateValues" dxfId="202" priority="5"/>
    <cfRule type="duplicateValues" dxfId="201" priority="6"/>
  </conditionalFormatting>
  <pageMargins left="0.70866141732283472" right="0.70866141732283472" top="0.74803149606299213" bottom="0.74803149606299213" header="0.31496062992125984" footer="0.31496062992125984"/>
  <pageSetup scale="91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CABF-0154-48F5-A6C4-0D9758E60B4E}">
  <sheetPr>
    <pageSetUpPr fitToPage="1"/>
  </sheetPr>
  <dimension ref="A1:D51"/>
  <sheetViews>
    <sheetView workbookViewId="0">
      <selection activeCell="O38" sqref="O38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1578</v>
      </c>
      <c r="B1" s="37"/>
      <c r="C1" s="37"/>
      <c r="D1" s="37"/>
    </row>
    <row r="2" spans="1:4" ht="17.25" x14ac:dyDescent="0.25">
      <c r="A2" s="38">
        <v>46261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 t="s">
        <v>48</v>
      </c>
      <c r="B25" s="3" t="s">
        <v>975</v>
      </c>
      <c r="C25" s="3"/>
      <c r="D25" s="3">
        <v>1</v>
      </c>
    </row>
    <row r="26" spans="1:4" ht="26.25" customHeight="1" x14ac:dyDescent="0.25">
      <c r="A26" s="3">
        <v>11546389</v>
      </c>
      <c r="B26" s="3" t="s">
        <v>976</v>
      </c>
      <c r="C26" s="3"/>
      <c r="D26" s="3">
        <v>2</v>
      </c>
    </row>
    <row r="27" spans="1:4" ht="26.25" customHeight="1" x14ac:dyDescent="0.25">
      <c r="A27" s="3">
        <v>82246</v>
      </c>
      <c r="B27" s="3" t="s">
        <v>977</v>
      </c>
      <c r="C27" s="3"/>
      <c r="D27" s="3">
        <v>1</v>
      </c>
    </row>
    <row r="28" spans="1:4" ht="26.25" customHeight="1" x14ac:dyDescent="0.25">
      <c r="A28" s="3">
        <v>11516133</v>
      </c>
      <c r="B28" s="3" t="s">
        <v>978</v>
      </c>
      <c r="C28" s="3"/>
      <c r="D28" s="3">
        <v>1</v>
      </c>
    </row>
    <row r="29" spans="1:4" ht="26.25" customHeight="1" x14ac:dyDescent="0.25">
      <c r="A29" s="3" t="s">
        <v>175</v>
      </c>
      <c r="B29" s="3" t="s">
        <v>979</v>
      </c>
      <c r="C29" s="3"/>
      <c r="D29" s="3">
        <v>1</v>
      </c>
    </row>
    <row r="30" spans="1:4" ht="26.25" customHeight="1" x14ac:dyDescent="0.25">
      <c r="A30" s="3" t="s">
        <v>15</v>
      </c>
      <c r="B30" s="3" t="s">
        <v>980</v>
      </c>
      <c r="C30" s="3"/>
      <c r="D30" s="3">
        <v>2</v>
      </c>
    </row>
    <row r="31" spans="1:4" ht="26.25" customHeight="1" x14ac:dyDescent="0.25">
      <c r="A31" s="3">
        <v>11547059</v>
      </c>
      <c r="B31" s="3" t="s">
        <v>981</v>
      </c>
      <c r="C31" s="3"/>
      <c r="D31" s="3">
        <v>2</v>
      </c>
    </row>
    <row r="32" spans="1:4" ht="26.25" customHeight="1" x14ac:dyDescent="0.25">
      <c r="A32" s="3" t="s">
        <v>404</v>
      </c>
      <c r="B32" s="3" t="s">
        <v>982</v>
      </c>
      <c r="C32" s="3"/>
      <c r="D32" s="3">
        <v>1</v>
      </c>
    </row>
    <row r="33" spans="1:4" ht="26.25" customHeight="1" x14ac:dyDescent="0.25">
      <c r="A33" s="3">
        <v>11546462</v>
      </c>
      <c r="B33" s="3" t="s">
        <v>983</v>
      </c>
      <c r="C33" s="3"/>
      <c r="D33" s="3">
        <v>1</v>
      </c>
    </row>
    <row r="34" spans="1:4" ht="26.25" customHeight="1" x14ac:dyDescent="0.25">
      <c r="A34" s="3">
        <v>11546463</v>
      </c>
      <c r="B34" s="3" t="s">
        <v>984</v>
      </c>
      <c r="C34" s="3"/>
      <c r="D34" s="3">
        <v>1</v>
      </c>
    </row>
    <row r="35" spans="1:4" ht="26.25" customHeight="1" x14ac:dyDescent="0.25">
      <c r="A35" s="3">
        <v>11602326</v>
      </c>
      <c r="B35" s="3" t="s">
        <v>985</v>
      </c>
      <c r="C35" s="3"/>
      <c r="D35" s="3">
        <v>3</v>
      </c>
    </row>
    <row r="36" spans="1:4" ht="26.25" customHeight="1" x14ac:dyDescent="0.25">
      <c r="A36" s="3">
        <v>11604000</v>
      </c>
      <c r="B36" s="3" t="s">
        <v>986</v>
      </c>
      <c r="C36" s="3"/>
      <c r="D36" s="3">
        <v>3</v>
      </c>
    </row>
    <row r="37" spans="1:4" ht="26.25" customHeight="1" x14ac:dyDescent="0.25">
      <c r="A37" s="3" t="s">
        <v>391</v>
      </c>
      <c r="B37" s="3" t="s">
        <v>987</v>
      </c>
      <c r="C37" s="3"/>
      <c r="D37" s="3">
        <v>1</v>
      </c>
    </row>
    <row r="38" spans="1:4" ht="26.25" customHeight="1" x14ac:dyDescent="0.25">
      <c r="A38" s="3" t="s">
        <v>208</v>
      </c>
      <c r="B38" s="3" t="s">
        <v>988</v>
      </c>
      <c r="C38" s="3"/>
      <c r="D38" s="3">
        <v>1</v>
      </c>
    </row>
    <row r="39" spans="1:4" ht="26.25" customHeight="1" x14ac:dyDescent="0.25">
      <c r="A39" s="3" t="s">
        <v>102</v>
      </c>
      <c r="B39" s="3" t="s">
        <v>989</v>
      </c>
      <c r="C39" s="3"/>
      <c r="D39" s="3">
        <v>2</v>
      </c>
    </row>
    <row r="40" spans="1:4" ht="26.25" customHeight="1" x14ac:dyDescent="0.25">
      <c r="A40" s="3" t="s">
        <v>99</v>
      </c>
      <c r="B40" s="3" t="s">
        <v>990</v>
      </c>
      <c r="C40" s="3"/>
      <c r="D40" s="3">
        <v>1</v>
      </c>
    </row>
    <row r="41" spans="1:4" ht="26.25" customHeight="1" x14ac:dyDescent="0.25">
      <c r="A41" s="3" t="s">
        <v>216</v>
      </c>
      <c r="B41" s="3" t="s">
        <v>991</v>
      </c>
      <c r="C41" s="3"/>
      <c r="D41" s="3">
        <v>1</v>
      </c>
    </row>
    <row r="42" spans="1:4" ht="26.25" customHeight="1" x14ac:dyDescent="0.25">
      <c r="A42" s="3" t="s">
        <v>176</v>
      </c>
      <c r="B42" s="3" t="s">
        <v>992</v>
      </c>
      <c r="C42" s="3"/>
      <c r="D42" s="3">
        <v>2</v>
      </c>
    </row>
    <row r="43" spans="1:4" ht="26.25" customHeight="1" x14ac:dyDescent="0.25">
      <c r="A43" s="3">
        <v>11516072</v>
      </c>
      <c r="B43" s="3" t="s">
        <v>993</v>
      </c>
      <c r="C43" s="3"/>
      <c r="D43" s="3">
        <v>1</v>
      </c>
    </row>
    <row r="44" spans="1:4" ht="26.25" customHeight="1" x14ac:dyDescent="0.25">
      <c r="A44" s="3" t="s">
        <v>614</v>
      </c>
      <c r="B44" s="3" t="s">
        <v>994</v>
      </c>
      <c r="C44" s="3"/>
      <c r="D44" s="3">
        <v>1</v>
      </c>
    </row>
    <row r="45" spans="1:4" ht="26.25" customHeight="1" x14ac:dyDescent="0.25">
      <c r="A45" s="3" t="s">
        <v>341</v>
      </c>
      <c r="B45" s="3" t="s">
        <v>995</v>
      </c>
      <c r="C45" s="3"/>
      <c r="D45" s="3">
        <v>2</v>
      </c>
    </row>
    <row r="46" spans="1:4" ht="26.25" customHeight="1" x14ac:dyDescent="0.25">
      <c r="A46" s="3" t="s">
        <v>179</v>
      </c>
      <c r="B46" s="3" t="s">
        <v>996</v>
      </c>
      <c r="C46" s="3"/>
      <c r="D46" s="3">
        <v>2</v>
      </c>
    </row>
    <row r="47" spans="1:4" ht="26.25" customHeight="1" x14ac:dyDescent="0.25">
      <c r="A47" s="3" t="s">
        <v>339</v>
      </c>
      <c r="B47" s="3" t="s">
        <v>997</v>
      </c>
      <c r="C47" s="3"/>
      <c r="D47" s="3">
        <v>2</v>
      </c>
    </row>
    <row r="48" spans="1:4" ht="26.25" customHeight="1" x14ac:dyDescent="0.25">
      <c r="A48" s="16" t="s">
        <v>139</v>
      </c>
      <c r="B48" s="3" t="s">
        <v>998</v>
      </c>
      <c r="C48" s="17"/>
      <c r="D48" s="17">
        <v>1</v>
      </c>
    </row>
    <row r="49" spans="1:4" ht="26.25" customHeight="1" x14ac:dyDescent="0.25">
      <c r="A49" s="40"/>
      <c r="B49" s="41"/>
      <c r="C49" s="42"/>
      <c r="D49" s="42"/>
    </row>
    <row r="50" spans="1:4" ht="26.25" customHeight="1" thickBot="1" x14ac:dyDescent="0.3">
      <c r="A50" s="39" t="s">
        <v>0</v>
      </c>
      <c r="B50" s="39"/>
      <c r="C50" s="2"/>
      <c r="D50" s="1">
        <f>+SUM(D5:D48)</f>
        <v>36</v>
      </c>
    </row>
    <row r="51" spans="1:4" ht="15.75" thickTop="1" x14ac:dyDescent="0.25"/>
  </sheetData>
  <mergeCells count="4">
    <mergeCell ref="A1:D1"/>
    <mergeCell ref="A2:D2"/>
    <mergeCell ref="A49:D49"/>
    <mergeCell ref="A50:B50"/>
  </mergeCells>
  <conditionalFormatting sqref="A1:A1048576">
    <cfRule type="duplicateValues" dxfId="200" priority="7"/>
  </conditionalFormatting>
  <conditionalFormatting sqref="A5:A42">
    <cfRule type="duplicateValues" dxfId="199" priority="11"/>
  </conditionalFormatting>
  <conditionalFormatting sqref="A43:A1048576 A1:A4">
    <cfRule type="duplicateValues" dxfId="198" priority="10"/>
  </conditionalFormatting>
  <conditionalFormatting sqref="B43:B1048576 B1:B4">
    <cfRule type="duplicateValues" dxfId="197" priority="8"/>
    <cfRule type="duplicateValues" dxfId="196" priority="9"/>
  </conditionalFormatting>
  <conditionalFormatting sqref="B5:C5">
    <cfRule type="duplicateValues" dxfId="195" priority="3"/>
    <cfRule type="duplicateValues" dxfId="194" priority="4"/>
  </conditionalFormatting>
  <conditionalFormatting sqref="B6:C33">
    <cfRule type="duplicateValues" dxfId="193" priority="1"/>
    <cfRule type="duplicateValues" dxfId="192" priority="2"/>
  </conditionalFormatting>
  <conditionalFormatting sqref="B34:C42">
    <cfRule type="duplicateValues" dxfId="191" priority="5"/>
    <cfRule type="duplicateValues" dxfId="190" priority="6"/>
  </conditionalFormatting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735B-AD39-4373-BC0F-9D1B36351E6F}">
  <sheetPr>
    <pageSetUpPr fitToPage="1"/>
  </sheetPr>
  <dimension ref="A1:D55"/>
  <sheetViews>
    <sheetView workbookViewId="0">
      <selection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46231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 t="s">
        <v>49</v>
      </c>
      <c r="B25" s="3" t="s">
        <v>1003</v>
      </c>
      <c r="C25" s="3"/>
      <c r="D25" s="3">
        <v>1</v>
      </c>
    </row>
    <row r="26" spans="1:4" ht="26.25" customHeight="1" x14ac:dyDescent="0.25">
      <c r="A26" s="3" t="s">
        <v>809</v>
      </c>
      <c r="B26" s="3" t="s">
        <v>1029</v>
      </c>
      <c r="C26" s="3"/>
      <c r="D26" s="3">
        <v>1</v>
      </c>
    </row>
    <row r="27" spans="1:4" ht="26.25" customHeight="1" x14ac:dyDescent="0.25">
      <c r="A27" s="3">
        <v>6100050</v>
      </c>
      <c r="B27" s="3" t="s">
        <v>1004</v>
      </c>
      <c r="C27" s="3"/>
      <c r="D27" s="3">
        <v>4</v>
      </c>
    </row>
    <row r="28" spans="1:4" ht="26.25" customHeight="1" x14ac:dyDescent="0.25">
      <c r="A28" s="3" t="s">
        <v>435</v>
      </c>
      <c r="B28" s="3" t="s">
        <v>1005</v>
      </c>
      <c r="C28" s="3"/>
      <c r="D28" s="3">
        <v>1</v>
      </c>
    </row>
    <row r="29" spans="1:4" ht="26.25" customHeight="1" x14ac:dyDescent="0.25">
      <c r="A29" s="3">
        <v>11588714</v>
      </c>
      <c r="B29" s="3" t="s">
        <v>1006</v>
      </c>
      <c r="C29" s="3"/>
      <c r="D29" s="3">
        <v>1</v>
      </c>
    </row>
    <row r="30" spans="1:4" ht="26.25" customHeight="1" x14ac:dyDescent="0.25">
      <c r="A30" s="3">
        <v>11609411</v>
      </c>
      <c r="B30" s="3" t="s">
        <v>1007</v>
      </c>
      <c r="C30" s="3"/>
      <c r="D30" s="3">
        <v>2</v>
      </c>
    </row>
    <row r="31" spans="1:4" ht="26.25" customHeight="1" x14ac:dyDescent="0.25">
      <c r="A31" s="3" t="s">
        <v>898</v>
      </c>
      <c r="B31" s="3" t="s">
        <v>1008</v>
      </c>
      <c r="C31" s="3"/>
      <c r="D31" s="3">
        <v>1</v>
      </c>
    </row>
    <row r="32" spans="1:4" ht="26.25" customHeight="1" x14ac:dyDescent="0.25">
      <c r="A32" s="3" t="s">
        <v>999</v>
      </c>
      <c r="B32" s="3" t="s">
        <v>1009</v>
      </c>
      <c r="C32" s="3"/>
      <c r="D32" s="3">
        <v>1</v>
      </c>
    </row>
    <row r="33" spans="1:4" ht="26.25" customHeight="1" x14ac:dyDescent="0.25">
      <c r="A33" s="3">
        <v>54049001</v>
      </c>
      <c r="B33" s="3" t="s">
        <v>961</v>
      </c>
      <c r="C33" s="3"/>
      <c r="D33" s="3">
        <v>1</v>
      </c>
    </row>
    <row r="34" spans="1:4" ht="26.25" customHeight="1" x14ac:dyDescent="0.25">
      <c r="A34" s="3" t="s">
        <v>1000</v>
      </c>
      <c r="B34" s="3" t="s">
        <v>1010</v>
      </c>
      <c r="C34" s="3"/>
      <c r="D34" s="3">
        <v>1</v>
      </c>
    </row>
    <row r="35" spans="1:4" ht="26.25" customHeight="1" x14ac:dyDescent="0.25">
      <c r="A35" s="3" t="s">
        <v>531</v>
      </c>
      <c r="B35" s="3" t="s">
        <v>1011</v>
      </c>
      <c r="C35" s="3"/>
      <c r="D35" s="3">
        <v>1</v>
      </c>
    </row>
    <row r="36" spans="1:4" ht="26.25" customHeight="1" x14ac:dyDescent="0.25">
      <c r="A36" s="3" t="s">
        <v>1001</v>
      </c>
      <c r="B36" s="3" t="s">
        <v>1012</v>
      </c>
      <c r="C36" s="3"/>
      <c r="D36" s="3">
        <v>1</v>
      </c>
    </row>
    <row r="37" spans="1:4" ht="26.25" customHeight="1" x14ac:dyDescent="0.25">
      <c r="A37" s="3" t="s">
        <v>91</v>
      </c>
      <c r="B37" s="3" t="s">
        <v>1013</v>
      </c>
      <c r="C37" s="3"/>
      <c r="D37" s="3">
        <v>1</v>
      </c>
    </row>
    <row r="38" spans="1:4" ht="26.25" customHeight="1" x14ac:dyDescent="0.25">
      <c r="A38" s="3">
        <v>11612078</v>
      </c>
      <c r="B38" s="3" t="s">
        <v>1014</v>
      </c>
      <c r="C38" s="3"/>
      <c r="D38" s="3">
        <v>1</v>
      </c>
    </row>
    <row r="39" spans="1:4" ht="26.25" customHeight="1" x14ac:dyDescent="0.25">
      <c r="A39" s="3" t="s">
        <v>359</v>
      </c>
      <c r="B39" s="3" t="s">
        <v>1015</v>
      </c>
      <c r="C39" s="3"/>
      <c r="D39" s="3">
        <v>1</v>
      </c>
    </row>
    <row r="40" spans="1:4" ht="26.25" customHeight="1" x14ac:dyDescent="0.25">
      <c r="A40" s="3" t="s">
        <v>98</v>
      </c>
      <c r="B40" s="3" t="s">
        <v>1016</v>
      </c>
      <c r="C40" s="3"/>
      <c r="D40" s="3">
        <v>2</v>
      </c>
    </row>
    <row r="41" spans="1:4" ht="26.25" customHeight="1" x14ac:dyDescent="0.25">
      <c r="A41" s="3">
        <v>40204491</v>
      </c>
      <c r="B41" s="3" t="s">
        <v>1017</v>
      </c>
      <c r="C41" s="3"/>
      <c r="D41" s="3">
        <v>1</v>
      </c>
    </row>
    <row r="42" spans="1:4" ht="26.25" customHeight="1" x14ac:dyDescent="0.25">
      <c r="A42" s="3" t="s">
        <v>1002</v>
      </c>
      <c r="B42" s="3" t="s">
        <v>1018</v>
      </c>
      <c r="C42" s="3"/>
      <c r="D42" s="3">
        <v>1</v>
      </c>
    </row>
    <row r="43" spans="1:4" ht="26.25" customHeight="1" x14ac:dyDescent="0.25">
      <c r="A43" s="3" t="s">
        <v>95</v>
      </c>
      <c r="B43" s="3" t="s">
        <v>1019</v>
      </c>
      <c r="C43" s="3"/>
      <c r="D43" s="3">
        <v>1</v>
      </c>
    </row>
    <row r="44" spans="1:4" ht="26.25" customHeight="1" x14ac:dyDescent="0.25">
      <c r="A44" s="3">
        <v>15685170</v>
      </c>
      <c r="B44" s="3" t="s">
        <v>1020</v>
      </c>
      <c r="C44" s="3"/>
      <c r="D44" s="3">
        <v>1</v>
      </c>
    </row>
    <row r="45" spans="1:4" ht="26.25" customHeight="1" x14ac:dyDescent="0.25">
      <c r="A45" s="3" t="s">
        <v>13</v>
      </c>
      <c r="B45" s="3" t="s">
        <v>13</v>
      </c>
      <c r="C45" s="3"/>
      <c r="D45" s="3">
        <v>1</v>
      </c>
    </row>
    <row r="46" spans="1:4" ht="26.25" customHeight="1" x14ac:dyDescent="0.25">
      <c r="A46" s="3" t="s">
        <v>52</v>
      </c>
      <c r="B46" s="3" t="s">
        <v>1021</v>
      </c>
      <c r="C46" s="3"/>
      <c r="D46" s="3">
        <v>2</v>
      </c>
    </row>
    <row r="47" spans="1:4" ht="26.25" customHeight="1" x14ac:dyDescent="0.25">
      <c r="A47" s="3">
        <v>11546389</v>
      </c>
      <c r="B47" s="3" t="s">
        <v>1022</v>
      </c>
      <c r="C47" s="3"/>
      <c r="D47" s="3">
        <v>2</v>
      </c>
    </row>
    <row r="48" spans="1:4" ht="26.25" customHeight="1" x14ac:dyDescent="0.25">
      <c r="A48" s="16">
        <v>11604439</v>
      </c>
      <c r="B48" s="3" t="s">
        <v>1023</v>
      </c>
      <c r="C48" s="17"/>
      <c r="D48" s="17">
        <v>1</v>
      </c>
    </row>
    <row r="49" spans="1:4" ht="26.25" customHeight="1" x14ac:dyDescent="0.25">
      <c r="A49" s="16" t="s">
        <v>1</v>
      </c>
      <c r="B49" s="3" t="s">
        <v>1024</v>
      </c>
      <c r="C49" s="17"/>
      <c r="D49" s="17">
        <v>2</v>
      </c>
    </row>
    <row r="50" spans="1:4" ht="26.25" customHeight="1" x14ac:dyDescent="0.25">
      <c r="A50" s="16" t="s">
        <v>10</v>
      </c>
      <c r="B50" s="3" t="s">
        <v>1025</v>
      </c>
      <c r="C50" s="17"/>
      <c r="D50" s="17">
        <v>1</v>
      </c>
    </row>
    <row r="51" spans="1:4" ht="26.25" customHeight="1" x14ac:dyDescent="0.25">
      <c r="A51" s="16" t="s">
        <v>101</v>
      </c>
      <c r="B51" s="3" t="s">
        <v>1026</v>
      </c>
      <c r="C51" s="17"/>
      <c r="D51" s="17">
        <v>1</v>
      </c>
    </row>
    <row r="52" spans="1:4" ht="26.25" customHeight="1" x14ac:dyDescent="0.25">
      <c r="A52" s="16" t="s">
        <v>1028</v>
      </c>
      <c r="B52" s="3" t="s">
        <v>1027</v>
      </c>
      <c r="C52" s="17"/>
      <c r="D52" s="17">
        <v>1</v>
      </c>
    </row>
    <row r="53" spans="1:4" ht="26.25" customHeight="1" x14ac:dyDescent="0.25">
      <c r="A53" s="40"/>
      <c r="B53" s="41"/>
      <c r="C53" s="42"/>
      <c r="D53" s="42"/>
    </row>
    <row r="54" spans="1:4" ht="26.25" customHeight="1" thickBot="1" x14ac:dyDescent="0.3">
      <c r="A54" s="39" t="s">
        <v>0</v>
      </c>
      <c r="B54" s="39"/>
      <c r="C54" s="2"/>
      <c r="D54" s="1">
        <f>+SUM(D5:D52)</f>
        <v>36</v>
      </c>
    </row>
    <row r="55" spans="1:4" ht="15.75" thickTop="1" x14ac:dyDescent="0.25"/>
  </sheetData>
  <mergeCells count="4">
    <mergeCell ref="A1:D1"/>
    <mergeCell ref="A2:D2"/>
    <mergeCell ref="A53:D53"/>
    <mergeCell ref="A54:B54"/>
  </mergeCells>
  <conditionalFormatting sqref="A1:A1048576">
    <cfRule type="duplicateValues" dxfId="189" priority="9"/>
  </conditionalFormatting>
  <conditionalFormatting sqref="A5:A42">
    <cfRule type="duplicateValues" dxfId="188" priority="13"/>
  </conditionalFormatting>
  <conditionalFormatting sqref="A43:A1048576 A1:A4">
    <cfRule type="duplicateValues" dxfId="187" priority="12"/>
  </conditionalFormatting>
  <conditionalFormatting sqref="B43:B44 B1:B4 B46:B1048576">
    <cfRule type="duplicateValues" dxfId="186" priority="10"/>
    <cfRule type="duplicateValues" dxfId="185" priority="11"/>
  </conditionalFormatting>
  <conditionalFormatting sqref="B45">
    <cfRule type="duplicateValues" dxfId="184" priority="1"/>
    <cfRule type="duplicateValues" dxfId="183" priority="2"/>
  </conditionalFormatting>
  <conditionalFormatting sqref="B5:C5">
    <cfRule type="duplicateValues" dxfId="182" priority="5"/>
    <cfRule type="duplicateValues" dxfId="181" priority="6"/>
  </conditionalFormatting>
  <conditionalFormatting sqref="B6:C33">
    <cfRule type="duplicateValues" dxfId="180" priority="3"/>
    <cfRule type="duplicateValues" dxfId="179" priority="4"/>
  </conditionalFormatting>
  <conditionalFormatting sqref="B34:C42">
    <cfRule type="duplicateValues" dxfId="178" priority="7"/>
    <cfRule type="duplicateValues" dxfId="177" priority="8"/>
  </conditionalFormatting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A104-ED78-48DD-98F9-399E246CB638}">
  <sheetPr>
    <pageSetUpPr fitToPage="1"/>
  </sheetPr>
  <dimension ref="A1:D57"/>
  <sheetViews>
    <sheetView workbookViewId="0">
      <selection activeCell="G37" sqref="G37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46232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>
        <v>11546566</v>
      </c>
      <c r="B25" s="3" t="s">
        <v>1046</v>
      </c>
      <c r="C25" s="3"/>
      <c r="D25" s="3">
        <v>1</v>
      </c>
    </row>
    <row r="26" spans="1:4" ht="26.25" customHeight="1" x14ac:dyDescent="0.25">
      <c r="A26" s="3">
        <v>11549168</v>
      </c>
      <c r="B26" s="3" t="s">
        <v>1047</v>
      </c>
      <c r="C26" s="3"/>
      <c r="D26" s="3">
        <v>1</v>
      </c>
    </row>
    <row r="27" spans="1:4" ht="26.25" customHeight="1" x14ac:dyDescent="0.25">
      <c r="A27" s="3" t="s">
        <v>97</v>
      </c>
      <c r="B27" s="3" t="s">
        <v>1048</v>
      </c>
      <c r="C27" s="3"/>
      <c r="D27" s="3">
        <v>1</v>
      </c>
    </row>
    <row r="28" spans="1:4" ht="26.25" customHeight="1" x14ac:dyDescent="0.25">
      <c r="A28" s="3">
        <v>11561645</v>
      </c>
      <c r="B28" s="3" t="s">
        <v>1049</v>
      </c>
      <c r="C28" s="3"/>
      <c r="D28" s="3">
        <v>1</v>
      </c>
    </row>
    <row r="29" spans="1:4" ht="26.25" customHeight="1" x14ac:dyDescent="0.25">
      <c r="A29" s="3">
        <v>11549169</v>
      </c>
      <c r="B29" s="3" t="s">
        <v>1055</v>
      </c>
      <c r="C29" s="3"/>
      <c r="D29" s="3">
        <v>2</v>
      </c>
    </row>
    <row r="30" spans="1:4" ht="26.25" customHeight="1" x14ac:dyDescent="0.25">
      <c r="A30" s="3" t="s">
        <v>53</v>
      </c>
      <c r="B30" s="3" t="s">
        <v>1050</v>
      </c>
      <c r="C30" s="3"/>
      <c r="D30" s="3">
        <v>1</v>
      </c>
    </row>
    <row r="31" spans="1:4" ht="26.25" customHeight="1" x14ac:dyDescent="0.25">
      <c r="A31" s="3">
        <v>11549170</v>
      </c>
      <c r="B31" s="3" t="s">
        <v>1051</v>
      </c>
      <c r="C31" s="3"/>
      <c r="D31" s="3">
        <v>2</v>
      </c>
    </row>
    <row r="32" spans="1:4" ht="26.25" customHeight="1" x14ac:dyDescent="0.25">
      <c r="A32" s="3" t="s">
        <v>459</v>
      </c>
      <c r="B32" s="3" t="s">
        <v>1052</v>
      </c>
      <c r="C32" s="3"/>
      <c r="D32" s="3">
        <v>1</v>
      </c>
    </row>
    <row r="33" spans="1:4" ht="26.25" customHeight="1" x14ac:dyDescent="0.25">
      <c r="A33" s="3" t="s">
        <v>625</v>
      </c>
      <c r="B33" s="3" t="s">
        <v>1060</v>
      </c>
      <c r="C33" s="3"/>
      <c r="D33" s="3">
        <v>1</v>
      </c>
    </row>
    <row r="34" spans="1:4" ht="26.25" customHeight="1" x14ac:dyDescent="0.25">
      <c r="A34" s="3" t="s">
        <v>339</v>
      </c>
      <c r="B34" s="3" t="s">
        <v>1053</v>
      </c>
      <c r="C34" s="3"/>
      <c r="D34" s="3">
        <v>1</v>
      </c>
    </row>
    <row r="35" spans="1:4" ht="26.25" customHeight="1" x14ac:dyDescent="0.25">
      <c r="A35" s="3" t="s">
        <v>10</v>
      </c>
      <c r="B35" s="3" t="s">
        <v>1061</v>
      </c>
      <c r="C35" s="3"/>
      <c r="D35" s="3">
        <v>1</v>
      </c>
    </row>
    <row r="36" spans="1:4" ht="26.25" customHeight="1" x14ac:dyDescent="0.25">
      <c r="A36" s="3" t="s">
        <v>92</v>
      </c>
      <c r="B36" s="3" t="s">
        <v>1054</v>
      </c>
      <c r="C36" s="3"/>
      <c r="D36" s="3">
        <v>2</v>
      </c>
    </row>
    <row r="37" spans="1:4" ht="26.25" customHeight="1" x14ac:dyDescent="0.25">
      <c r="A37" s="3" t="s">
        <v>216</v>
      </c>
      <c r="B37" s="3" t="s">
        <v>1062</v>
      </c>
      <c r="C37" s="3"/>
      <c r="D37" s="3">
        <v>1</v>
      </c>
    </row>
    <row r="38" spans="1:4" ht="26.25" customHeight="1" x14ac:dyDescent="0.25">
      <c r="A38" s="3" t="s">
        <v>213</v>
      </c>
      <c r="B38" s="3" t="s">
        <v>1063</v>
      </c>
      <c r="C38" s="3"/>
      <c r="D38" s="3">
        <v>2</v>
      </c>
    </row>
    <row r="39" spans="1:4" ht="26.25" customHeight="1" x14ac:dyDescent="0.25">
      <c r="A39" s="3" t="s">
        <v>359</v>
      </c>
      <c r="B39" s="3" t="s">
        <v>1056</v>
      </c>
      <c r="C39" s="3"/>
      <c r="D39" s="3">
        <v>2</v>
      </c>
    </row>
    <row r="40" spans="1:4" ht="26.25" customHeight="1" x14ac:dyDescent="0.25">
      <c r="A40" s="3">
        <v>11610091</v>
      </c>
      <c r="B40" s="3" t="s">
        <v>1064</v>
      </c>
      <c r="C40" s="3"/>
      <c r="D40" s="3">
        <v>1</v>
      </c>
    </row>
    <row r="41" spans="1:4" ht="26.25" customHeight="1" x14ac:dyDescent="0.25">
      <c r="A41" s="3">
        <v>11612078</v>
      </c>
      <c r="B41" s="3" t="s">
        <v>1065</v>
      </c>
      <c r="C41" s="3"/>
      <c r="D41" s="3">
        <v>1</v>
      </c>
    </row>
    <row r="42" spans="1:4" ht="26.25" customHeight="1" x14ac:dyDescent="0.25">
      <c r="A42" s="3" t="s">
        <v>102</v>
      </c>
      <c r="B42" s="3" t="s">
        <v>1066</v>
      </c>
      <c r="C42" s="3"/>
      <c r="D42" s="3">
        <v>1</v>
      </c>
    </row>
    <row r="43" spans="1:4" ht="26.25" customHeight="1" x14ac:dyDescent="0.25">
      <c r="A43" s="3" t="s">
        <v>139</v>
      </c>
      <c r="B43" s="3" t="s">
        <v>1067</v>
      </c>
      <c r="C43" s="3"/>
      <c r="D43" s="3">
        <v>1</v>
      </c>
    </row>
    <row r="44" spans="1:4" ht="26.25" customHeight="1" x14ac:dyDescent="0.25">
      <c r="A44" s="3" t="s">
        <v>360</v>
      </c>
      <c r="B44" s="3" t="s">
        <v>1057</v>
      </c>
      <c r="C44" s="3"/>
      <c r="D44" s="3">
        <v>1</v>
      </c>
    </row>
    <row r="45" spans="1:4" ht="26.25" customHeight="1" x14ac:dyDescent="0.25">
      <c r="A45" s="3" t="s">
        <v>144</v>
      </c>
      <c r="B45" s="3" t="s">
        <v>1068</v>
      </c>
      <c r="C45" s="3"/>
      <c r="D45" s="3">
        <v>1</v>
      </c>
    </row>
    <row r="46" spans="1:4" ht="26.25" customHeight="1" x14ac:dyDescent="0.25">
      <c r="A46" s="3">
        <v>11602326</v>
      </c>
      <c r="B46" s="3" t="s">
        <v>1058</v>
      </c>
      <c r="C46" s="3"/>
      <c r="D46" s="3">
        <v>1</v>
      </c>
    </row>
    <row r="47" spans="1:4" ht="26.25" customHeight="1" x14ac:dyDescent="0.25">
      <c r="A47" s="3" t="s">
        <v>386</v>
      </c>
      <c r="B47" s="3" t="s">
        <v>1059</v>
      </c>
      <c r="C47" s="3"/>
      <c r="D47" s="3">
        <v>1</v>
      </c>
    </row>
    <row r="48" spans="1:4" ht="26.25" customHeight="1" x14ac:dyDescent="0.25">
      <c r="A48" s="3">
        <v>42068967</v>
      </c>
      <c r="B48" s="3" t="s">
        <v>1069</v>
      </c>
      <c r="C48" s="3"/>
      <c r="D48" s="3">
        <v>1</v>
      </c>
    </row>
    <row r="49" spans="1:4" ht="26.25" customHeight="1" x14ac:dyDescent="0.25">
      <c r="A49" s="3" t="s">
        <v>179</v>
      </c>
      <c r="B49" s="3" t="s">
        <v>1070</v>
      </c>
      <c r="C49" s="3"/>
      <c r="D49" s="3">
        <v>1</v>
      </c>
    </row>
    <row r="50" spans="1:4" ht="26.25" customHeight="1" x14ac:dyDescent="0.25">
      <c r="A50" s="3" t="s">
        <v>319</v>
      </c>
      <c r="B50" s="3" t="s">
        <v>1071</v>
      </c>
      <c r="C50" s="3"/>
      <c r="D50" s="3">
        <v>2</v>
      </c>
    </row>
    <row r="51" spans="1:4" ht="26.25" customHeight="1" x14ac:dyDescent="0.25">
      <c r="A51" s="3">
        <v>91058</v>
      </c>
      <c r="B51" s="3" t="s">
        <v>1072</v>
      </c>
      <c r="C51" s="3"/>
      <c r="D51" s="3">
        <v>1</v>
      </c>
    </row>
    <row r="52" spans="1:4" ht="26.25" customHeight="1" x14ac:dyDescent="0.25">
      <c r="A52" s="3">
        <v>11546377</v>
      </c>
      <c r="B52" s="3" t="s">
        <v>1073</v>
      </c>
      <c r="C52" s="3"/>
      <c r="D52" s="3">
        <v>1</v>
      </c>
    </row>
    <row r="53" spans="1:4" ht="26.25" customHeight="1" x14ac:dyDescent="0.25">
      <c r="A53" s="3" t="s">
        <v>90</v>
      </c>
      <c r="B53" s="3" t="s">
        <v>1074</v>
      </c>
      <c r="C53" s="3"/>
      <c r="D53" s="3">
        <v>1</v>
      </c>
    </row>
    <row r="54" spans="1:4" ht="26.25" customHeight="1" x14ac:dyDescent="0.25">
      <c r="A54" s="3" t="s">
        <v>138</v>
      </c>
      <c r="B54" s="3" t="s">
        <v>1075</v>
      </c>
      <c r="C54" s="3"/>
      <c r="D54" s="3">
        <v>1</v>
      </c>
    </row>
    <row r="55" spans="1:4" ht="26.25" customHeight="1" x14ac:dyDescent="0.25">
      <c r="A55" s="40"/>
      <c r="B55" s="41"/>
      <c r="C55" s="42"/>
      <c r="D55" s="42"/>
    </row>
    <row r="56" spans="1:4" ht="26.25" customHeight="1" thickBot="1" x14ac:dyDescent="0.3">
      <c r="A56" s="39" t="s">
        <v>0</v>
      </c>
      <c r="B56" s="39"/>
      <c r="C56" s="2"/>
      <c r="D56" s="1">
        <f>+SUM(D5:D54)</f>
        <v>36</v>
      </c>
    </row>
    <row r="57" spans="1:4" ht="15.75" thickTop="1" x14ac:dyDescent="0.25"/>
  </sheetData>
  <mergeCells count="4">
    <mergeCell ref="A1:D1"/>
    <mergeCell ref="A2:D2"/>
    <mergeCell ref="A55:D55"/>
    <mergeCell ref="A56:B56"/>
  </mergeCells>
  <conditionalFormatting sqref="A1:A4 A43:A1048576">
    <cfRule type="duplicateValues" dxfId="176" priority="12"/>
  </conditionalFormatting>
  <conditionalFormatting sqref="A1:A1048576">
    <cfRule type="duplicateValues" dxfId="175" priority="9"/>
  </conditionalFormatting>
  <conditionalFormatting sqref="A5:A42">
    <cfRule type="duplicateValues" dxfId="174" priority="13"/>
  </conditionalFormatting>
  <conditionalFormatting sqref="B43:B44 B1:B4 B46:B1048576">
    <cfRule type="duplicateValues" dxfId="173" priority="10"/>
    <cfRule type="duplicateValues" dxfId="172" priority="11"/>
  </conditionalFormatting>
  <conditionalFormatting sqref="B45">
    <cfRule type="duplicateValues" dxfId="171" priority="1"/>
    <cfRule type="duplicateValues" dxfId="170" priority="2"/>
  </conditionalFormatting>
  <conditionalFormatting sqref="B5:C5">
    <cfRule type="duplicateValues" dxfId="169" priority="5"/>
    <cfRule type="duplicateValues" dxfId="168" priority="6"/>
  </conditionalFormatting>
  <conditionalFormatting sqref="B6:C33">
    <cfRule type="duplicateValues" dxfId="167" priority="3"/>
    <cfRule type="duplicateValues" dxfId="166" priority="4"/>
  </conditionalFormatting>
  <conditionalFormatting sqref="B34:C42">
    <cfRule type="duplicateValues" dxfId="165" priority="7"/>
    <cfRule type="duplicateValues" dxfId="164" priority="8"/>
  </conditionalFormatting>
  <pageMargins left="0.11811023622047245" right="0.11811023622047245" top="0.15748031496062992" bottom="0.15748031496062992" header="0.11811023622047245" footer="0.11811023622047245"/>
  <pageSetup scale="8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A8DA-B626-4902-AE77-513307FE0E5C}">
  <dimension ref="A1:F899"/>
  <sheetViews>
    <sheetView zoomScaleNormal="100" workbookViewId="0">
      <selection activeCell="F26" sqref="F26"/>
    </sheetView>
  </sheetViews>
  <sheetFormatPr defaultRowHeight="15" outlineLevelRow="2" x14ac:dyDescent="0.25"/>
  <cols>
    <col min="2" max="2" width="26.140625" customWidth="1"/>
    <col min="3" max="3" width="27.28515625" customWidth="1"/>
    <col min="4" max="4" width="10.140625" hidden="1" customWidth="1"/>
    <col min="5" max="5" width="22.140625" customWidth="1"/>
    <col min="6" max="6" width="23.5703125" style="24" customWidth="1"/>
  </cols>
  <sheetData>
    <row r="1" spans="1:6" ht="22.5" customHeight="1" x14ac:dyDescent="0.25">
      <c r="A1" s="46" t="s">
        <v>6</v>
      </c>
      <c r="B1" s="46"/>
      <c r="C1" s="46"/>
      <c r="D1" s="46"/>
      <c r="E1" s="46"/>
      <c r="F1" s="46"/>
    </row>
    <row r="2" spans="1:6" ht="17.25" customHeight="1" x14ac:dyDescent="0.25">
      <c r="A2" s="46"/>
      <c r="B2" s="46"/>
      <c r="C2" s="46"/>
      <c r="D2" s="46"/>
      <c r="E2" s="46"/>
      <c r="F2" s="46"/>
    </row>
    <row r="3" spans="1:6" ht="17.25" customHeight="1" x14ac:dyDescent="0.25">
      <c r="A3" s="47"/>
      <c r="B3" s="47"/>
      <c r="C3" s="47"/>
      <c r="D3" s="47"/>
      <c r="E3" s="47"/>
      <c r="F3" s="47"/>
    </row>
    <row r="4" spans="1:6" ht="26.25" customHeight="1" x14ac:dyDescent="0.25">
      <c r="A4" s="34"/>
      <c r="B4" s="4" t="s">
        <v>5</v>
      </c>
      <c r="C4" s="4" t="s">
        <v>4</v>
      </c>
      <c r="D4" s="4" t="s">
        <v>3</v>
      </c>
      <c r="E4" s="4" t="s">
        <v>1511</v>
      </c>
      <c r="F4" s="35" t="s">
        <v>1510</v>
      </c>
    </row>
    <row r="5" spans="1:6" ht="15" customHeight="1" outlineLevel="2" x14ac:dyDescent="0.25">
      <c r="A5" s="15" t="s">
        <v>1112</v>
      </c>
      <c r="B5" s="3">
        <v>61273</v>
      </c>
      <c r="C5" s="3"/>
      <c r="D5" s="3"/>
      <c r="E5" s="3">
        <v>261</v>
      </c>
      <c r="F5" s="26">
        <v>300</v>
      </c>
    </row>
    <row r="6" spans="1:6" ht="15" customHeight="1" outlineLevel="2" x14ac:dyDescent="0.25">
      <c r="A6" s="15" t="s">
        <v>1112</v>
      </c>
      <c r="B6" s="3">
        <v>61273</v>
      </c>
      <c r="C6" s="3"/>
      <c r="D6" s="3"/>
      <c r="E6" s="3">
        <v>218</v>
      </c>
      <c r="F6" s="26">
        <v>300</v>
      </c>
    </row>
    <row r="7" spans="1:6" ht="15" customHeight="1" outlineLevel="2" x14ac:dyDescent="0.25">
      <c r="A7" s="18">
        <v>46234</v>
      </c>
      <c r="B7" s="3">
        <v>61273</v>
      </c>
      <c r="C7" s="3" t="s">
        <v>1123</v>
      </c>
      <c r="D7" s="3"/>
      <c r="E7" s="3">
        <v>218</v>
      </c>
      <c r="F7" s="25">
        <v>300</v>
      </c>
    </row>
    <row r="8" spans="1:6" ht="15" customHeight="1" outlineLevel="2" x14ac:dyDescent="0.25">
      <c r="A8" s="18">
        <v>46234</v>
      </c>
      <c r="B8" s="3">
        <v>61273</v>
      </c>
      <c r="C8" s="3" t="s">
        <v>1124</v>
      </c>
      <c r="D8" s="3"/>
      <c r="E8" s="3">
        <v>261</v>
      </c>
      <c r="F8" s="25">
        <v>300</v>
      </c>
    </row>
    <row r="9" spans="1:6" ht="15" customHeight="1" outlineLevel="1" x14ac:dyDescent="0.25">
      <c r="A9" s="18"/>
      <c r="B9" s="19" t="s">
        <v>1217</v>
      </c>
      <c r="C9" s="3"/>
      <c r="D9" s="3"/>
      <c r="E9" s="19">
        <f>SUBTOTAL(9,E5:E8)</f>
        <v>958</v>
      </c>
      <c r="F9" s="25"/>
    </row>
    <row r="10" spans="1:6" ht="15" customHeight="1" outlineLevel="2" x14ac:dyDescent="0.25">
      <c r="A10" s="18">
        <v>46246</v>
      </c>
      <c r="B10" s="3">
        <v>61525</v>
      </c>
      <c r="C10" s="3"/>
      <c r="D10" s="3"/>
      <c r="E10" s="3">
        <v>2243</v>
      </c>
      <c r="F10" s="25">
        <v>3000</v>
      </c>
    </row>
    <row r="11" spans="1:6" ht="15" customHeight="1" outlineLevel="2" x14ac:dyDescent="0.25">
      <c r="A11" s="18">
        <v>46253</v>
      </c>
      <c r="B11" s="3">
        <v>61525</v>
      </c>
      <c r="C11" s="3" t="s">
        <v>1192</v>
      </c>
      <c r="D11" s="3"/>
      <c r="E11" s="3">
        <v>2682</v>
      </c>
      <c r="F11" s="25">
        <v>3000</v>
      </c>
    </row>
    <row r="12" spans="1:6" ht="15" customHeight="1" outlineLevel="1" x14ac:dyDescent="0.25">
      <c r="A12" s="18"/>
      <c r="B12" s="19" t="s">
        <v>1218</v>
      </c>
      <c r="C12" s="3"/>
      <c r="D12" s="3"/>
      <c r="E12" s="19">
        <f>SUBTOTAL(9,E10:E11)</f>
        <v>4925</v>
      </c>
      <c r="F12" s="25"/>
    </row>
    <row r="13" spans="1:6" ht="15" customHeight="1" outlineLevel="2" x14ac:dyDescent="0.25">
      <c r="A13" s="27" t="s">
        <v>1092</v>
      </c>
      <c r="B13" s="23">
        <v>62264</v>
      </c>
      <c r="C13" s="23"/>
      <c r="D13" s="23"/>
      <c r="E13" s="23">
        <v>915</v>
      </c>
      <c r="F13" s="28">
        <v>1080</v>
      </c>
    </row>
    <row r="14" spans="1:6" ht="15" customHeight="1" outlineLevel="1" x14ac:dyDescent="0.25">
      <c r="A14" s="27"/>
      <c r="B14" s="22" t="s">
        <v>1219</v>
      </c>
      <c r="C14" s="23"/>
      <c r="D14" s="23"/>
      <c r="E14" s="22">
        <f>SUBTOTAL(9,E13:E13)</f>
        <v>915</v>
      </c>
      <c r="F14" s="28"/>
    </row>
    <row r="15" spans="1:6" ht="15" customHeight="1" outlineLevel="2" x14ac:dyDescent="0.25">
      <c r="A15" s="27" t="s">
        <v>1033</v>
      </c>
      <c r="B15" s="23">
        <v>82218</v>
      </c>
      <c r="C15" s="23"/>
      <c r="D15" s="23"/>
      <c r="E15" s="23">
        <v>226</v>
      </c>
      <c r="F15" s="28">
        <v>370</v>
      </c>
    </row>
    <row r="16" spans="1:6" ht="15" customHeight="1" outlineLevel="1" x14ac:dyDescent="0.25">
      <c r="A16" s="27"/>
      <c r="B16" s="22" t="s">
        <v>1220</v>
      </c>
      <c r="C16" s="23"/>
      <c r="D16" s="23"/>
      <c r="E16" s="22">
        <f>SUBTOTAL(9,E15:E15)</f>
        <v>226</v>
      </c>
      <c r="F16" s="28"/>
    </row>
    <row r="17" spans="1:6" ht="15" customHeight="1" outlineLevel="2" x14ac:dyDescent="0.25">
      <c r="A17" s="27" t="s">
        <v>1035</v>
      </c>
      <c r="B17" s="23">
        <v>82244</v>
      </c>
      <c r="C17" s="23"/>
      <c r="D17" s="23"/>
      <c r="E17" s="23">
        <v>471</v>
      </c>
      <c r="F17" s="28">
        <v>600</v>
      </c>
    </row>
    <row r="18" spans="1:6" ht="15" customHeight="1" outlineLevel="1" x14ac:dyDescent="0.25">
      <c r="A18" s="27"/>
      <c r="B18" s="22" t="s">
        <v>1221</v>
      </c>
      <c r="C18" s="23"/>
      <c r="D18" s="23"/>
      <c r="E18" s="22">
        <f>SUBTOTAL(9,E17:E17)</f>
        <v>471</v>
      </c>
      <c r="F18" s="28"/>
    </row>
    <row r="19" spans="1:6" ht="15" customHeight="1" outlineLevel="2" x14ac:dyDescent="0.25">
      <c r="A19" s="27" t="s">
        <v>1036</v>
      </c>
      <c r="B19" s="23">
        <v>82248</v>
      </c>
      <c r="C19" s="23"/>
      <c r="D19" s="23"/>
      <c r="E19" s="23">
        <v>644</v>
      </c>
      <c r="F19" s="28">
        <v>1050</v>
      </c>
    </row>
    <row r="20" spans="1:6" ht="15" customHeight="1" outlineLevel="1" x14ac:dyDescent="0.25">
      <c r="A20" s="27"/>
      <c r="B20" s="22" t="s">
        <v>1222</v>
      </c>
      <c r="C20" s="23"/>
      <c r="D20" s="23"/>
      <c r="E20" s="22">
        <f>SUBTOTAL(9,E19:E19)</f>
        <v>644</v>
      </c>
      <c r="F20" s="28"/>
    </row>
    <row r="21" spans="1:6" ht="15" customHeight="1" outlineLevel="2" x14ac:dyDescent="0.25">
      <c r="A21" s="27" t="s">
        <v>1092</v>
      </c>
      <c r="B21" s="23">
        <v>82250</v>
      </c>
      <c r="C21" s="23"/>
      <c r="D21" s="23"/>
      <c r="E21" s="23">
        <v>503</v>
      </c>
      <c r="F21" s="28">
        <v>625</v>
      </c>
    </row>
    <row r="22" spans="1:6" ht="15" customHeight="1" outlineLevel="1" x14ac:dyDescent="0.25">
      <c r="A22" s="27"/>
      <c r="B22" s="22" t="s">
        <v>1223</v>
      </c>
      <c r="C22" s="23"/>
      <c r="D22" s="23"/>
      <c r="E22" s="22">
        <f>SUBTOTAL(9,E21:E21)</f>
        <v>503</v>
      </c>
      <c r="F22" s="28"/>
    </row>
    <row r="23" spans="1:6" ht="15" customHeight="1" outlineLevel="2" x14ac:dyDescent="0.25">
      <c r="A23" s="15" t="s">
        <v>1034</v>
      </c>
      <c r="B23" s="3">
        <v>82253</v>
      </c>
      <c r="C23" s="3"/>
      <c r="D23" s="3"/>
      <c r="E23" s="3">
        <v>1265</v>
      </c>
      <c r="F23" s="25">
        <v>1350</v>
      </c>
    </row>
    <row r="24" spans="1:6" ht="15" customHeight="1" outlineLevel="2" x14ac:dyDescent="0.25">
      <c r="A24" s="15" t="s">
        <v>1112</v>
      </c>
      <c r="B24" s="3">
        <v>82253</v>
      </c>
      <c r="C24" s="3"/>
      <c r="D24" s="3"/>
      <c r="E24" s="3">
        <v>1294</v>
      </c>
      <c r="F24" s="25">
        <v>1350</v>
      </c>
    </row>
    <row r="25" spans="1:6" ht="15" customHeight="1" outlineLevel="2" x14ac:dyDescent="0.25">
      <c r="A25" s="18">
        <v>46234</v>
      </c>
      <c r="B25" s="3">
        <v>82253</v>
      </c>
      <c r="C25" s="3" t="s">
        <v>1121</v>
      </c>
      <c r="D25" s="3"/>
      <c r="E25" s="3">
        <v>1294</v>
      </c>
      <c r="F25" s="25">
        <v>1350</v>
      </c>
    </row>
    <row r="26" spans="1:6" ht="15" customHeight="1" outlineLevel="1" x14ac:dyDescent="0.25">
      <c r="A26" s="18"/>
      <c r="B26" s="19" t="s">
        <v>1224</v>
      </c>
      <c r="C26" s="3"/>
      <c r="D26" s="3"/>
      <c r="E26" s="19">
        <f>SUBTOTAL(9,E23:E25)</f>
        <v>3853</v>
      </c>
      <c r="F26" s="25"/>
    </row>
    <row r="27" spans="1:6" ht="15" customHeight="1" outlineLevel="2" x14ac:dyDescent="0.25">
      <c r="A27" s="18">
        <v>46238</v>
      </c>
      <c r="B27" s="3">
        <v>91054</v>
      </c>
      <c r="C27" s="3" t="s">
        <v>1151</v>
      </c>
      <c r="D27" s="3"/>
      <c r="E27" s="3">
        <v>1285</v>
      </c>
      <c r="F27" s="25">
        <v>1700</v>
      </c>
    </row>
    <row r="28" spans="1:6" ht="15" customHeight="1" outlineLevel="2" x14ac:dyDescent="0.25">
      <c r="A28" s="18">
        <v>46238</v>
      </c>
      <c r="B28" s="3">
        <v>91054</v>
      </c>
      <c r="C28" s="3" t="s">
        <v>1151</v>
      </c>
      <c r="D28" s="3"/>
      <c r="E28" s="3">
        <v>1538</v>
      </c>
      <c r="F28" s="25">
        <v>1700</v>
      </c>
    </row>
    <row r="29" spans="1:6" ht="15" customHeight="1" outlineLevel="1" x14ac:dyDescent="0.25">
      <c r="A29" s="18"/>
      <c r="B29" s="19" t="s">
        <v>1225</v>
      </c>
      <c r="C29" s="3"/>
      <c r="D29" s="3"/>
      <c r="E29" s="19">
        <f>SUBTOTAL(9,E27:E28)</f>
        <v>2823</v>
      </c>
      <c r="F29" s="25"/>
    </row>
    <row r="30" spans="1:6" ht="15" customHeight="1" outlineLevel="2" x14ac:dyDescent="0.25">
      <c r="A30" s="15" t="s">
        <v>1035</v>
      </c>
      <c r="B30" s="3">
        <v>91058</v>
      </c>
      <c r="C30" s="3"/>
      <c r="D30" s="3"/>
      <c r="E30" s="3">
        <v>1050</v>
      </c>
      <c r="F30" s="25">
        <v>1200</v>
      </c>
    </row>
    <row r="31" spans="1:6" ht="15" customHeight="1" outlineLevel="2" x14ac:dyDescent="0.25">
      <c r="A31" s="18">
        <v>46244</v>
      </c>
      <c r="B31" s="3">
        <v>91058</v>
      </c>
      <c r="C31" s="3"/>
      <c r="D31" s="3"/>
      <c r="E31" s="3">
        <v>1131</v>
      </c>
      <c r="F31" s="25">
        <v>1200</v>
      </c>
    </row>
    <row r="32" spans="1:6" ht="15" customHeight="1" outlineLevel="1" x14ac:dyDescent="0.25">
      <c r="A32" s="18"/>
      <c r="B32" s="19" t="s">
        <v>1226</v>
      </c>
      <c r="C32" s="3"/>
      <c r="D32" s="3"/>
      <c r="E32" s="19">
        <f>SUBTOTAL(9,E30:E31)</f>
        <v>2181</v>
      </c>
      <c r="F32" s="25"/>
    </row>
    <row r="33" spans="1:6" ht="15" customHeight="1" outlineLevel="2" x14ac:dyDescent="0.25">
      <c r="A33" s="15" t="s">
        <v>1035</v>
      </c>
      <c r="B33" s="3">
        <v>92468</v>
      </c>
      <c r="C33" s="3"/>
      <c r="D33" s="3"/>
      <c r="E33" s="3">
        <v>342</v>
      </c>
      <c r="F33" s="25">
        <v>1000</v>
      </c>
    </row>
    <row r="34" spans="1:6" ht="15" customHeight="1" outlineLevel="2" x14ac:dyDescent="0.25">
      <c r="A34" s="18">
        <v>46241</v>
      </c>
      <c r="B34" s="3">
        <v>92468</v>
      </c>
      <c r="C34" s="3" t="s">
        <v>1159</v>
      </c>
      <c r="D34" s="3"/>
      <c r="E34" s="3">
        <v>578</v>
      </c>
      <c r="F34" s="25">
        <v>1000</v>
      </c>
    </row>
    <row r="35" spans="1:6" ht="15" customHeight="1" outlineLevel="2" x14ac:dyDescent="0.25">
      <c r="A35" s="18">
        <v>46241</v>
      </c>
      <c r="B35" s="3">
        <v>92468</v>
      </c>
      <c r="C35" s="3" t="s">
        <v>1164</v>
      </c>
      <c r="D35" s="3"/>
      <c r="E35" s="3">
        <v>384</v>
      </c>
      <c r="F35" s="25">
        <v>1000</v>
      </c>
    </row>
    <row r="36" spans="1:6" ht="15" customHeight="1" outlineLevel="1" x14ac:dyDescent="0.25">
      <c r="A36" s="18"/>
      <c r="B36" s="19" t="s">
        <v>1227</v>
      </c>
      <c r="C36" s="3"/>
      <c r="D36" s="3"/>
      <c r="E36" s="19">
        <f>SUBTOTAL(9,E33:E35)</f>
        <v>1304</v>
      </c>
      <c r="F36" s="25"/>
    </row>
    <row r="37" spans="1:6" ht="15" customHeight="1" outlineLevel="2" x14ac:dyDescent="0.25">
      <c r="A37" s="27" t="s">
        <v>1102</v>
      </c>
      <c r="B37" s="23">
        <v>901657</v>
      </c>
      <c r="C37" s="23"/>
      <c r="D37" s="23"/>
      <c r="E37" s="23" t="s">
        <v>1087</v>
      </c>
      <c r="F37" s="28"/>
    </row>
    <row r="38" spans="1:6" ht="15" customHeight="1" outlineLevel="1" x14ac:dyDescent="0.25">
      <c r="A38" s="27"/>
      <c r="B38" s="22" t="s">
        <v>1228</v>
      </c>
      <c r="C38" s="23"/>
      <c r="D38" s="23"/>
      <c r="E38" s="23">
        <f>SUBTOTAL(9,E37:E37)</f>
        <v>0</v>
      </c>
      <c r="F38" s="28"/>
    </row>
    <row r="39" spans="1:6" ht="15" customHeight="1" outlineLevel="2" x14ac:dyDescent="0.25">
      <c r="A39" s="15" t="s">
        <v>1077</v>
      </c>
      <c r="B39" s="3">
        <v>3001150</v>
      </c>
      <c r="C39" s="3"/>
      <c r="D39" s="3"/>
      <c r="E39" s="3">
        <v>1152</v>
      </c>
      <c r="F39" s="25">
        <v>1575</v>
      </c>
    </row>
    <row r="40" spans="1:6" ht="15" customHeight="1" outlineLevel="2" x14ac:dyDescent="0.25">
      <c r="A40" s="15" t="s">
        <v>1112</v>
      </c>
      <c r="B40" s="3">
        <v>3001150</v>
      </c>
      <c r="C40" s="3"/>
      <c r="D40" s="3"/>
      <c r="E40" s="3">
        <v>1379</v>
      </c>
      <c r="F40" s="25">
        <v>1575</v>
      </c>
    </row>
    <row r="41" spans="1:6" ht="15" customHeight="1" outlineLevel="1" x14ac:dyDescent="0.25">
      <c r="A41" s="15"/>
      <c r="B41" s="19" t="s">
        <v>1229</v>
      </c>
      <c r="C41" s="3"/>
      <c r="D41" s="3"/>
      <c r="E41" s="19">
        <f>SUBTOTAL(9,E39:E40)</f>
        <v>2531</v>
      </c>
      <c r="F41" s="25"/>
    </row>
    <row r="42" spans="1:6" ht="15" customHeight="1" outlineLevel="2" x14ac:dyDescent="0.25">
      <c r="A42" s="15" t="s">
        <v>1036</v>
      </c>
      <c r="B42" s="3">
        <v>6504080</v>
      </c>
      <c r="C42" s="3"/>
      <c r="D42" s="3"/>
      <c r="E42" s="3"/>
      <c r="F42" s="25"/>
    </row>
    <row r="43" spans="1:6" ht="15" customHeight="1" outlineLevel="1" x14ac:dyDescent="0.25">
      <c r="A43" s="15"/>
      <c r="B43" s="19" t="s">
        <v>1230</v>
      </c>
      <c r="C43" s="3"/>
      <c r="D43" s="3"/>
      <c r="E43" s="19">
        <f>SUBTOTAL(9,E42:E42)</f>
        <v>0</v>
      </c>
      <c r="F43" s="25"/>
    </row>
    <row r="44" spans="1:6" ht="15" customHeight="1" outlineLevel="2" x14ac:dyDescent="0.25">
      <c r="A44" s="15" t="s">
        <v>1036</v>
      </c>
      <c r="B44" s="3">
        <v>7320491</v>
      </c>
      <c r="C44" s="3"/>
      <c r="D44" s="3"/>
      <c r="E44" s="3">
        <v>1639</v>
      </c>
      <c r="F44" s="25">
        <v>1900</v>
      </c>
    </row>
    <row r="45" spans="1:6" ht="15" customHeight="1" outlineLevel="2" x14ac:dyDescent="0.25">
      <c r="A45" s="15" t="s">
        <v>1077</v>
      </c>
      <c r="B45" s="3">
        <v>7320491</v>
      </c>
      <c r="C45" s="3"/>
      <c r="D45" s="3"/>
      <c r="E45" s="3">
        <v>1770</v>
      </c>
      <c r="F45" s="25">
        <v>1900</v>
      </c>
    </row>
    <row r="46" spans="1:6" ht="15" customHeight="1" outlineLevel="1" x14ac:dyDescent="0.25">
      <c r="A46" s="15"/>
      <c r="B46" s="19" t="s">
        <v>1231</v>
      </c>
      <c r="C46" s="3"/>
      <c r="D46" s="3"/>
      <c r="E46" s="19">
        <f>SUBTOTAL(9,E44:E45)</f>
        <v>3409</v>
      </c>
      <c r="F46" s="25"/>
    </row>
    <row r="47" spans="1:6" ht="15" customHeight="1" outlineLevel="2" x14ac:dyDescent="0.25">
      <c r="A47" s="18">
        <v>46244</v>
      </c>
      <c r="B47" s="3">
        <v>10083390</v>
      </c>
      <c r="C47" s="3"/>
      <c r="D47" s="3"/>
      <c r="E47" s="3">
        <v>875</v>
      </c>
      <c r="F47" s="25">
        <v>875</v>
      </c>
    </row>
    <row r="48" spans="1:6" ht="15" customHeight="1" outlineLevel="2" x14ac:dyDescent="0.25">
      <c r="A48" s="18">
        <v>46246</v>
      </c>
      <c r="B48" s="3">
        <v>10083390</v>
      </c>
      <c r="C48" s="3"/>
      <c r="D48" s="3"/>
      <c r="E48" s="3">
        <v>875</v>
      </c>
      <c r="F48" s="25">
        <v>875</v>
      </c>
    </row>
    <row r="49" spans="1:6" ht="15" customHeight="1" outlineLevel="1" x14ac:dyDescent="0.25">
      <c r="A49" s="18"/>
      <c r="B49" s="19" t="s">
        <v>1232</v>
      </c>
      <c r="C49" s="3"/>
      <c r="D49" s="3"/>
      <c r="E49" s="19">
        <f>SUBTOTAL(9,E47:E48)</f>
        <v>1750</v>
      </c>
      <c r="F49" s="25"/>
    </row>
    <row r="50" spans="1:6" ht="15" customHeight="1" outlineLevel="2" x14ac:dyDescent="0.25">
      <c r="A50" s="27" t="s">
        <v>1035</v>
      </c>
      <c r="B50" s="23">
        <v>11514597</v>
      </c>
      <c r="C50" s="23"/>
      <c r="D50" s="23"/>
      <c r="E50" s="23"/>
      <c r="F50" s="28"/>
    </row>
    <row r="51" spans="1:6" ht="15" customHeight="1" outlineLevel="1" x14ac:dyDescent="0.25">
      <c r="A51" s="27"/>
      <c r="B51" s="22" t="s">
        <v>1233</v>
      </c>
      <c r="C51" s="23"/>
      <c r="D51" s="23"/>
      <c r="E51" s="22">
        <f>SUBTOTAL(9,E50:E50)</f>
        <v>0</v>
      </c>
      <c r="F51" s="28"/>
    </row>
    <row r="52" spans="1:6" ht="15" customHeight="1" outlineLevel="2" x14ac:dyDescent="0.25">
      <c r="A52" s="27" t="s">
        <v>1077</v>
      </c>
      <c r="B52" s="23">
        <v>11514598</v>
      </c>
      <c r="C52" s="23"/>
      <c r="D52" s="23"/>
      <c r="E52" s="23">
        <v>520</v>
      </c>
      <c r="F52" s="28">
        <v>700</v>
      </c>
    </row>
    <row r="53" spans="1:6" ht="15" customHeight="1" outlineLevel="1" x14ac:dyDescent="0.25">
      <c r="A53" s="27"/>
      <c r="B53" s="22" t="s">
        <v>1234</v>
      </c>
      <c r="C53" s="23"/>
      <c r="D53" s="23"/>
      <c r="E53" s="22">
        <f>SUBTOTAL(9,E52:E52)</f>
        <v>520</v>
      </c>
      <c r="F53" s="28"/>
    </row>
    <row r="54" spans="1:6" ht="15" customHeight="1" outlineLevel="2" x14ac:dyDescent="0.25">
      <c r="A54" s="27" t="s">
        <v>1077</v>
      </c>
      <c r="B54" s="23">
        <v>11516074</v>
      </c>
      <c r="C54" s="23"/>
      <c r="D54" s="23"/>
      <c r="E54" s="23">
        <v>435</v>
      </c>
      <c r="F54" s="28">
        <v>700</v>
      </c>
    </row>
    <row r="55" spans="1:6" ht="15" customHeight="1" outlineLevel="1" x14ac:dyDescent="0.25">
      <c r="A55" s="27"/>
      <c r="B55" s="22" t="s">
        <v>1235</v>
      </c>
      <c r="C55" s="23"/>
      <c r="D55" s="23"/>
      <c r="E55" s="22">
        <f>SUBTOTAL(9,E54:E54)</f>
        <v>435</v>
      </c>
      <c r="F55" s="28"/>
    </row>
    <row r="56" spans="1:6" ht="15" customHeight="1" outlineLevel="2" x14ac:dyDescent="0.25">
      <c r="A56" s="15" t="s">
        <v>1036</v>
      </c>
      <c r="B56" s="3">
        <v>11516076</v>
      </c>
      <c r="C56" s="3"/>
      <c r="D56" s="3"/>
      <c r="E56" s="3">
        <v>1440</v>
      </c>
      <c r="F56" s="25">
        <v>2200</v>
      </c>
    </row>
    <row r="57" spans="1:6" ht="15" customHeight="1" outlineLevel="2" x14ac:dyDescent="0.25">
      <c r="A57" s="15" t="s">
        <v>1102</v>
      </c>
      <c r="B57" s="3">
        <v>11516076</v>
      </c>
      <c r="C57" s="3"/>
      <c r="D57" s="3"/>
      <c r="E57" s="3">
        <v>1555</v>
      </c>
      <c r="F57" s="25">
        <v>2200</v>
      </c>
    </row>
    <row r="58" spans="1:6" ht="15" customHeight="1" outlineLevel="2" x14ac:dyDescent="0.25">
      <c r="A58" s="18">
        <v>46244</v>
      </c>
      <c r="B58" s="3">
        <v>11516076</v>
      </c>
      <c r="C58" s="3"/>
      <c r="D58" s="3"/>
      <c r="E58" s="3">
        <v>2017</v>
      </c>
      <c r="F58" s="25">
        <v>2200</v>
      </c>
    </row>
    <row r="59" spans="1:6" ht="15" customHeight="1" outlineLevel="1" x14ac:dyDescent="0.25">
      <c r="A59" s="18"/>
      <c r="B59" s="19" t="s">
        <v>1236</v>
      </c>
      <c r="C59" s="3"/>
      <c r="D59" s="3"/>
      <c r="E59" s="19">
        <f>SUBTOTAL(9,E56:E58)</f>
        <v>5012</v>
      </c>
      <c r="F59" s="25"/>
    </row>
    <row r="60" spans="1:6" ht="15" customHeight="1" outlineLevel="2" x14ac:dyDescent="0.25">
      <c r="A60" s="29">
        <v>46246</v>
      </c>
      <c r="B60" s="23">
        <v>11516133</v>
      </c>
      <c r="C60" s="23"/>
      <c r="D60" s="23"/>
      <c r="E60" s="23">
        <v>324</v>
      </c>
      <c r="F60" s="28">
        <v>500</v>
      </c>
    </row>
    <row r="61" spans="1:6" ht="15" customHeight="1" outlineLevel="1" x14ac:dyDescent="0.25">
      <c r="A61" s="29"/>
      <c r="B61" s="22" t="s">
        <v>1237</v>
      </c>
      <c r="C61" s="23"/>
      <c r="D61" s="23"/>
      <c r="E61" s="22">
        <f>SUBTOTAL(9,E60:E60)</f>
        <v>324</v>
      </c>
      <c r="F61" s="28"/>
    </row>
    <row r="62" spans="1:6" ht="15" customHeight="1" outlineLevel="2" x14ac:dyDescent="0.25">
      <c r="A62" s="27" t="s">
        <v>1033</v>
      </c>
      <c r="B62" s="23">
        <v>11516172</v>
      </c>
      <c r="C62" s="23"/>
      <c r="D62" s="23"/>
      <c r="E62" s="23">
        <v>488</v>
      </c>
      <c r="F62" s="28">
        <v>2200</v>
      </c>
    </row>
    <row r="63" spans="1:6" ht="15" customHeight="1" outlineLevel="1" x14ac:dyDescent="0.25">
      <c r="A63" s="27"/>
      <c r="B63" s="22" t="s">
        <v>1238</v>
      </c>
      <c r="C63" s="23"/>
      <c r="D63" s="23"/>
      <c r="E63" s="22">
        <f>SUBTOTAL(9,E62:E62)</f>
        <v>488</v>
      </c>
      <c r="F63" s="28"/>
    </row>
    <row r="64" spans="1:6" ht="15" customHeight="1" outlineLevel="2" x14ac:dyDescent="0.25">
      <c r="A64" s="27" t="s">
        <v>1092</v>
      </c>
      <c r="B64" s="23">
        <v>11516382</v>
      </c>
      <c r="C64" s="23"/>
      <c r="D64" s="23"/>
      <c r="E64" s="23">
        <v>450</v>
      </c>
      <c r="F64" s="28">
        <v>450</v>
      </c>
    </row>
    <row r="65" spans="1:6" ht="15" customHeight="1" outlineLevel="1" x14ac:dyDescent="0.25">
      <c r="A65" s="27"/>
      <c r="B65" s="22" t="s">
        <v>1239</v>
      </c>
      <c r="C65" s="23"/>
      <c r="D65" s="23"/>
      <c r="E65" s="22">
        <f>SUBTOTAL(9,E64:E64)</f>
        <v>450</v>
      </c>
      <c r="F65" s="28"/>
    </row>
    <row r="66" spans="1:6" ht="15" customHeight="1" outlineLevel="2" x14ac:dyDescent="0.25">
      <c r="A66" s="29">
        <v>46253</v>
      </c>
      <c r="B66" s="23">
        <v>11517665</v>
      </c>
      <c r="C66" s="23"/>
      <c r="D66" s="23"/>
      <c r="E66" s="23">
        <v>1983</v>
      </c>
      <c r="F66" s="28">
        <v>3000</v>
      </c>
    </row>
    <row r="67" spans="1:6" ht="15" customHeight="1" outlineLevel="1" x14ac:dyDescent="0.25">
      <c r="A67" s="29"/>
      <c r="B67" s="22" t="s">
        <v>1240</v>
      </c>
      <c r="C67" s="23"/>
      <c r="D67" s="23"/>
      <c r="E67" s="22">
        <f>SUBTOTAL(9,E66:E66)</f>
        <v>1983</v>
      </c>
      <c r="F67" s="28"/>
    </row>
    <row r="68" spans="1:6" ht="15" customHeight="1" outlineLevel="2" x14ac:dyDescent="0.25">
      <c r="A68" s="27" t="s">
        <v>1077</v>
      </c>
      <c r="B68" s="23">
        <v>11517996</v>
      </c>
      <c r="C68" s="23"/>
      <c r="D68" s="23"/>
      <c r="E68" s="23">
        <v>1131</v>
      </c>
      <c r="F68" s="28">
        <v>1200</v>
      </c>
    </row>
    <row r="69" spans="1:6" ht="15" customHeight="1" outlineLevel="1" x14ac:dyDescent="0.25">
      <c r="A69" s="27"/>
      <c r="B69" s="22" t="s">
        <v>1241</v>
      </c>
      <c r="C69" s="23"/>
      <c r="D69" s="23"/>
      <c r="E69" s="22">
        <f>SUBTOTAL(9,E68:E68)</f>
        <v>1131</v>
      </c>
      <c r="F69" s="28"/>
    </row>
    <row r="70" spans="1:6" ht="15" customHeight="1" outlineLevel="2" x14ac:dyDescent="0.25">
      <c r="A70" s="27" t="s">
        <v>1035</v>
      </c>
      <c r="B70" s="23">
        <v>11518428</v>
      </c>
      <c r="C70" s="23"/>
      <c r="D70" s="23"/>
      <c r="E70" s="23">
        <v>692</v>
      </c>
      <c r="F70" s="28">
        <v>1200</v>
      </c>
    </row>
    <row r="71" spans="1:6" ht="15" customHeight="1" outlineLevel="1" x14ac:dyDescent="0.25">
      <c r="A71" s="27"/>
      <c r="B71" s="22" t="s">
        <v>1242</v>
      </c>
      <c r="C71" s="23"/>
      <c r="D71" s="23"/>
      <c r="E71" s="22">
        <f>SUBTOTAL(9,E70:E70)</f>
        <v>692</v>
      </c>
      <c r="F71" s="28"/>
    </row>
    <row r="72" spans="1:6" ht="15" customHeight="1" outlineLevel="2" x14ac:dyDescent="0.25">
      <c r="A72" s="27" t="s">
        <v>1077</v>
      </c>
      <c r="B72" s="23">
        <v>11518532</v>
      </c>
      <c r="C72" s="23"/>
      <c r="D72" s="23"/>
      <c r="E72" s="23">
        <v>1282</v>
      </c>
      <c r="F72" s="28">
        <v>1400</v>
      </c>
    </row>
    <row r="73" spans="1:6" ht="15" customHeight="1" outlineLevel="1" x14ac:dyDescent="0.25">
      <c r="A73" s="27"/>
      <c r="B73" s="22" t="s">
        <v>1243</v>
      </c>
      <c r="C73" s="23"/>
      <c r="D73" s="23"/>
      <c r="E73" s="22">
        <f>SUBTOTAL(9,E72:E72)</f>
        <v>1282</v>
      </c>
      <c r="F73" s="28"/>
    </row>
    <row r="74" spans="1:6" ht="15" customHeight="1" outlineLevel="2" x14ac:dyDescent="0.25">
      <c r="A74" s="27" t="s">
        <v>1102</v>
      </c>
      <c r="B74" s="23">
        <v>11546365</v>
      </c>
      <c r="C74" s="23" t="s">
        <v>1087</v>
      </c>
      <c r="D74" s="23"/>
      <c r="E74" s="23"/>
      <c r="F74" s="28"/>
    </row>
    <row r="75" spans="1:6" ht="15" customHeight="1" outlineLevel="1" x14ac:dyDescent="0.25">
      <c r="A75" s="27"/>
      <c r="B75" s="22" t="s">
        <v>1244</v>
      </c>
      <c r="C75" s="23"/>
      <c r="D75" s="23"/>
      <c r="E75" s="22">
        <f>SUBTOTAL(9,E74:E74)</f>
        <v>0</v>
      </c>
      <c r="F75" s="28"/>
    </row>
    <row r="76" spans="1:6" ht="15" customHeight="1" outlineLevel="2" x14ac:dyDescent="0.25">
      <c r="A76" s="27" t="s">
        <v>1035</v>
      </c>
      <c r="B76" s="23">
        <v>11546366</v>
      </c>
      <c r="C76" s="23"/>
      <c r="D76" s="23"/>
      <c r="E76" s="23"/>
      <c r="F76" s="28">
        <v>1000</v>
      </c>
    </row>
    <row r="77" spans="1:6" ht="15" customHeight="1" outlineLevel="1" x14ac:dyDescent="0.25">
      <c r="A77" s="27"/>
      <c r="B77" s="22" t="s">
        <v>1245</v>
      </c>
      <c r="C77" s="23"/>
      <c r="D77" s="23"/>
      <c r="E77" s="22">
        <f>SUBTOTAL(9,E76:E76)</f>
        <v>0</v>
      </c>
      <c r="F77" s="28"/>
    </row>
    <row r="78" spans="1:6" ht="15" customHeight="1" outlineLevel="2" x14ac:dyDescent="0.25">
      <c r="A78" s="27" t="s">
        <v>1112</v>
      </c>
      <c r="B78" s="23">
        <v>11546367</v>
      </c>
      <c r="C78" s="23"/>
      <c r="D78" s="23"/>
      <c r="E78" s="23">
        <v>631</v>
      </c>
      <c r="F78" s="28">
        <v>700</v>
      </c>
    </row>
    <row r="79" spans="1:6" ht="15" customHeight="1" outlineLevel="1" x14ac:dyDescent="0.25">
      <c r="A79" s="27"/>
      <c r="B79" s="22" t="s">
        <v>1246</v>
      </c>
      <c r="C79" s="23"/>
      <c r="D79" s="23"/>
      <c r="E79" s="22">
        <f>SUBTOTAL(9,E78:E78)</f>
        <v>631</v>
      </c>
      <c r="F79" s="28"/>
    </row>
    <row r="80" spans="1:6" ht="15" customHeight="1" outlineLevel="2" x14ac:dyDescent="0.25">
      <c r="A80" s="27" t="s">
        <v>1035</v>
      </c>
      <c r="B80" s="23">
        <v>11546368</v>
      </c>
      <c r="C80" s="23"/>
      <c r="D80" s="23"/>
      <c r="E80" s="23">
        <v>404</v>
      </c>
      <c r="F80" s="28">
        <v>450</v>
      </c>
    </row>
    <row r="81" spans="1:6" ht="15" customHeight="1" outlineLevel="1" x14ac:dyDescent="0.25">
      <c r="A81" s="27"/>
      <c r="B81" s="22" t="s">
        <v>1247</v>
      </c>
      <c r="C81" s="23"/>
      <c r="D81" s="23"/>
      <c r="E81" s="22">
        <f>SUBTOTAL(9,E80:E80)</f>
        <v>404</v>
      </c>
      <c r="F81" s="28"/>
    </row>
    <row r="82" spans="1:6" ht="15" customHeight="1" outlineLevel="2" x14ac:dyDescent="0.25">
      <c r="A82" s="15" t="s">
        <v>1034</v>
      </c>
      <c r="B82" s="3">
        <v>11546377</v>
      </c>
      <c r="C82" s="3"/>
      <c r="D82" s="3"/>
      <c r="E82" s="3">
        <v>202</v>
      </c>
      <c r="F82" s="25">
        <v>2150</v>
      </c>
    </row>
    <row r="83" spans="1:6" ht="15" customHeight="1" outlineLevel="2" x14ac:dyDescent="0.25">
      <c r="A83" s="18">
        <v>46238</v>
      </c>
      <c r="B83" s="3">
        <v>11546377</v>
      </c>
      <c r="C83" s="3"/>
      <c r="D83" s="3"/>
      <c r="E83" s="3">
        <v>1810</v>
      </c>
      <c r="F83" s="25">
        <v>2150</v>
      </c>
    </row>
    <row r="84" spans="1:6" ht="15" customHeight="1" outlineLevel="2" x14ac:dyDescent="0.25">
      <c r="A84" s="18">
        <v>46244</v>
      </c>
      <c r="B84" s="3">
        <v>11546377</v>
      </c>
      <c r="C84" s="3"/>
      <c r="D84" s="3"/>
      <c r="E84" s="3">
        <v>1355</v>
      </c>
      <c r="F84" s="25">
        <v>2150</v>
      </c>
    </row>
    <row r="85" spans="1:6" ht="15" customHeight="1" outlineLevel="2" x14ac:dyDescent="0.25">
      <c r="A85" s="18">
        <v>46246</v>
      </c>
      <c r="B85" s="3">
        <v>11546377</v>
      </c>
      <c r="C85" s="3"/>
      <c r="D85" s="3"/>
      <c r="E85" s="3">
        <v>709</v>
      </c>
      <c r="F85" s="25">
        <v>2150</v>
      </c>
    </row>
    <row r="86" spans="1:6" ht="15" customHeight="1" outlineLevel="2" x14ac:dyDescent="0.25">
      <c r="A86" s="18">
        <v>46253</v>
      </c>
      <c r="B86" s="3">
        <v>11546377</v>
      </c>
      <c r="C86" s="3"/>
      <c r="D86" s="3"/>
      <c r="E86" s="3">
        <v>613</v>
      </c>
      <c r="F86" s="25">
        <v>2150</v>
      </c>
    </row>
    <row r="87" spans="1:6" ht="15" customHeight="1" outlineLevel="2" x14ac:dyDescent="0.25">
      <c r="A87" s="18">
        <v>46253</v>
      </c>
      <c r="B87" s="3">
        <v>11546377</v>
      </c>
      <c r="C87" s="3"/>
      <c r="D87" s="3"/>
      <c r="E87" s="3">
        <v>1710</v>
      </c>
      <c r="F87" s="25">
        <v>2150</v>
      </c>
    </row>
    <row r="88" spans="1:6" ht="15" customHeight="1" outlineLevel="1" x14ac:dyDescent="0.25">
      <c r="A88" s="18"/>
      <c r="B88" s="19" t="s">
        <v>1248</v>
      </c>
      <c r="C88" s="3"/>
      <c r="D88" s="3"/>
      <c r="E88" s="19">
        <f>SUBTOTAL(9,E82:E87)</f>
        <v>6399</v>
      </c>
      <c r="F88" s="25"/>
    </row>
    <row r="89" spans="1:6" ht="15" customHeight="1" outlineLevel="2" x14ac:dyDescent="0.25">
      <c r="A89" s="18">
        <v>46234</v>
      </c>
      <c r="B89" s="3">
        <v>11546378</v>
      </c>
      <c r="C89" s="3"/>
      <c r="D89" s="3"/>
      <c r="E89" s="3">
        <v>1070</v>
      </c>
      <c r="F89" s="25">
        <v>1250</v>
      </c>
    </row>
    <row r="90" spans="1:6" ht="15" customHeight="1" outlineLevel="2" x14ac:dyDescent="0.25">
      <c r="A90" s="15" t="s">
        <v>1112</v>
      </c>
      <c r="B90" s="3">
        <v>11546378</v>
      </c>
      <c r="C90" s="3"/>
      <c r="D90" s="3"/>
      <c r="E90" s="3">
        <v>1070</v>
      </c>
      <c r="F90" s="25">
        <v>1250</v>
      </c>
    </row>
    <row r="91" spans="1:6" ht="15" customHeight="1" outlineLevel="1" x14ac:dyDescent="0.25">
      <c r="A91" s="15"/>
      <c r="B91" s="19" t="s">
        <v>1249</v>
      </c>
      <c r="C91" s="3"/>
      <c r="D91" s="3"/>
      <c r="E91" s="19">
        <f>SUBTOTAL(9,E89:E90)</f>
        <v>2140</v>
      </c>
      <c r="F91" s="25"/>
    </row>
    <row r="92" spans="1:6" ht="15" customHeight="1" outlineLevel="2" x14ac:dyDescent="0.25">
      <c r="A92" s="27" t="s">
        <v>1092</v>
      </c>
      <c r="B92" s="23">
        <v>11546379</v>
      </c>
      <c r="C92" s="23"/>
      <c r="D92" s="23"/>
      <c r="E92" s="23">
        <v>616</v>
      </c>
      <c r="F92" s="28">
        <v>700</v>
      </c>
    </row>
    <row r="93" spans="1:6" ht="15" customHeight="1" outlineLevel="1" x14ac:dyDescent="0.25">
      <c r="A93" s="27"/>
      <c r="B93" s="22" t="s">
        <v>1250</v>
      </c>
      <c r="C93" s="23"/>
      <c r="D93" s="23"/>
      <c r="E93" s="22">
        <f>SUBTOTAL(9,E92:E92)</f>
        <v>616</v>
      </c>
      <c r="F93" s="28"/>
    </row>
    <row r="94" spans="1:6" ht="15" customHeight="1" outlineLevel="2" x14ac:dyDescent="0.25">
      <c r="A94" s="27" t="s">
        <v>1102</v>
      </c>
      <c r="B94" s="23">
        <v>11546388</v>
      </c>
      <c r="C94" s="23"/>
      <c r="D94" s="23"/>
      <c r="E94" s="23" t="s">
        <v>1087</v>
      </c>
      <c r="F94" s="28">
        <v>6750</v>
      </c>
    </row>
    <row r="95" spans="1:6" ht="15" customHeight="1" outlineLevel="1" x14ac:dyDescent="0.25">
      <c r="A95" s="27"/>
      <c r="B95" s="22" t="s">
        <v>1251</v>
      </c>
      <c r="C95" s="23"/>
      <c r="D95" s="23"/>
      <c r="E95" s="22">
        <f>SUBTOTAL(9,E94:E94)</f>
        <v>0</v>
      </c>
      <c r="F95" s="28"/>
    </row>
    <row r="96" spans="1:6" ht="15" customHeight="1" outlineLevel="2" x14ac:dyDescent="0.25">
      <c r="A96" s="15" t="s">
        <v>1077</v>
      </c>
      <c r="B96" s="3">
        <v>11546389</v>
      </c>
      <c r="C96" s="3"/>
      <c r="D96" s="3"/>
      <c r="E96" s="3">
        <v>3340</v>
      </c>
      <c r="F96" s="25">
        <v>3900</v>
      </c>
    </row>
    <row r="97" spans="1:6" ht="15" customHeight="1" outlineLevel="2" x14ac:dyDescent="0.25">
      <c r="A97" s="18">
        <v>46238</v>
      </c>
      <c r="B97" s="3">
        <v>11546389</v>
      </c>
      <c r="C97" s="3"/>
      <c r="D97" s="3"/>
      <c r="E97" s="3">
        <v>3100</v>
      </c>
      <c r="F97" s="25">
        <v>4500</v>
      </c>
    </row>
    <row r="98" spans="1:6" ht="15" customHeight="1" outlineLevel="2" x14ac:dyDescent="0.25">
      <c r="A98" s="18">
        <v>46238</v>
      </c>
      <c r="B98" s="3">
        <v>11546389</v>
      </c>
      <c r="C98" s="3"/>
      <c r="D98" s="3"/>
      <c r="E98" s="3">
        <v>2399</v>
      </c>
      <c r="F98" s="25">
        <v>4500</v>
      </c>
    </row>
    <row r="99" spans="1:6" ht="15" customHeight="1" outlineLevel="1" x14ac:dyDescent="0.25">
      <c r="A99" s="18"/>
      <c r="B99" s="19" t="s">
        <v>1252</v>
      </c>
      <c r="C99" s="3"/>
      <c r="D99" s="3"/>
      <c r="E99" s="19">
        <f>SUBTOTAL(9,E96:E98)</f>
        <v>8839</v>
      </c>
      <c r="F99" s="25"/>
    </row>
    <row r="100" spans="1:6" ht="15" customHeight="1" outlineLevel="2" x14ac:dyDescent="0.25">
      <c r="A100" s="27" t="s">
        <v>1036</v>
      </c>
      <c r="B100" s="23">
        <v>11546391</v>
      </c>
      <c r="C100" s="23"/>
      <c r="D100" s="23"/>
      <c r="E100" s="23" t="s">
        <v>1087</v>
      </c>
      <c r="F100" s="28">
        <v>4500</v>
      </c>
    </row>
    <row r="101" spans="1:6" ht="15" customHeight="1" outlineLevel="1" x14ac:dyDescent="0.25">
      <c r="A101" s="27"/>
      <c r="B101" s="22" t="s">
        <v>1253</v>
      </c>
      <c r="C101" s="23"/>
      <c r="D101" s="23"/>
      <c r="E101" s="23" t="s">
        <v>1087</v>
      </c>
      <c r="F101" s="28"/>
    </row>
    <row r="102" spans="1:6" ht="15" customHeight="1" outlineLevel="2" x14ac:dyDescent="0.25">
      <c r="A102" s="27" t="s">
        <v>1033</v>
      </c>
      <c r="B102" s="23">
        <v>11546448</v>
      </c>
      <c r="C102" s="23"/>
      <c r="D102" s="23"/>
      <c r="E102" s="23">
        <v>186</v>
      </c>
      <c r="F102" s="28">
        <v>3300</v>
      </c>
    </row>
    <row r="103" spans="1:6" ht="15" customHeight="1" outlineLevel="1" x14ac:dyDescent="0.25">
      <c r="A103" s="27"/>
      <c r="B103" s="22" t="s">
        <v>1254</v>
      </c>
      <c r="C103" s="23"/>
      <c r="D103" s="23"/>
      <c r="E103" s="22">
        <f>SUBTOTAL(9,E102:E102)</f>
        <v>186</v>
      </c>
      <c r="F103" s="28"/>
    </row>
    <row r="104" spans="1:6" ht="15" customHeight="1" outlineLevel="2" x14ac:dyDescent="0.25">
      <c r="A104" s="18">
        <v>46251</v>
      </c>
      <c r="B104" s="3">
        <v>11546449</v>
      </c>
      <c r="C104" s="3"/>
      <c r="D104" s="3"/>
      <c r="E104" s="3">
        <v>1985</v>
      </c>
      <c r="F104" s="25">
        <v>2500</v>
      </c>
    </row>
    <row r="105" spans="1:6" ht="15" customHeight="1" outlineLevel="2" x14ac:dyDescent="0.25">
      <c r="A105" s="15" t="s">
        <v>1034</v>
      </c>
      <c r="B105" s="3">
        <v>11546449</v>
      </c>
      <c r="C105" s="3"/>
      <c r="D105" s="3"/>
      <c r="E105" s="3">
        <v>860</v>
      </c>
      <c r="F105" s="25">
        <v>2500</v>
      </c>
    </row>
    <row r="106" spans="1:6" ht="15" customHeight="1" outlineLevel="2" x14ac:dyDescent="0.25">
      <c r="A106" s="18">
        <v>46234</v>
      </c>
      <c r="B106" s="3">
        <v>11546449</v>
      </c>
      <c r="C106" s="3"/>
      <c r="D106" s="3"/>
      <c r="E106" s="3">
        <v>1690</v>
      </c>
      <c r="F106" s="25">
        <v>2500</v>
      </c>
    </row>
    <row r="107" spans="1:6" ht="15" customHeight="1" outlineLevel="2" x14ac:dyDescent="0.25">
      <c r="A107" s="18">
        <v>46234</v>
      </c>
      <c r="B107" s="3">
        <v>11546449</v>
      </c>
      <c r="C107" s="3"/>
      <c r="D107" s="3"/>
      <c r="E107" s="3">
        <v>1340</v>
      </c>
      <c r="F107" s="25">
        <v>2500</v>
      </c>
    </row>
    <row r="108" spans="1:6" ht="15" customHeight="1" outlineLevel="2" x14ac:dyDescent="0.25">
      <c r="A108" s="18">
        <v>46244</v>
      </c>
      <c r="B108" s="3">
        <v>11546449</v>
      </c>
      <c r="C108" s="3"/>
      <c r="D108" s="3"/>
      <c r="E108" s="3">
        <v>1961</v>
      </c>
      <c r="F108" s="25">
        <v>2500</v>
      </c>
    </row>
    <row r="109" spans="1:6" ht="15" customHeight="1" outlineLevel="2" x14ac:dyDescent="0.25">
      <c r="A109" s="18">
        <v>46251</v>
      </c>
      <c r="B109" s="3">
        <v>11546449</v>
      </c>
      <c r="C109" s="3"/>
      <c r="D109" s="3"/>
      <c r="E109" s="3">
        <v>1900</v>
      </c>
      <c r="F109" s="25">
        <v>2500</v>
      </c>
    </row>
    <row r="110" spans="1:6" ht="15" customHeight="1" outlineLevel="2" x14ac:dyDescent="0.25">
      <c r="A110" s="18">
        <v>46251</v>
      </c>
      <c r="B110" s="3">
        <v>11546449</v>
      </c>
      <c r="C110" s="3"/>
      <c r="D110" s="3"/>
      <c r="E110" s="3">
        <v>2277</v>
      </c>
      <c r="F110" s="25">
        <v>2500</v>
      </c>
    </row>
    <row r="111" spans="1:6" ht="15" customHeight="1" outlineLevel="2" x14ac:dyDescent="0.25">
      <c r="A111" s="18">
        <v>46251</v>
      </c>
      <c r="B111" s="3">
        <v>11546449</v>
      </c>
      <c r="C111" s="3"/>
      <c r="D111" s="3"/>
      <c r="E111" s="3">
        <v>2380</v>
      </c>
      <c r="F111" s="25">
        <v>2500</v>
      </c>
    </row>
    <row r="112" spans="1:6" ht="15" customHeight="1" outlineLevel="1" x14ac:dyDescent="0.25">
      <c r="A112" s="18"/>
      <c r="B112" s="19" t="s">
        <v>1255</v>
      </c>
      <c r="C112" s="3"/>
      <c r="D112" s="3"/>
      <c r="E112" s="19">
        <f>SUM(E104:E111)</f>
        <v>14393</v>
      </c>
      <c r="F112" s="25"/>
    </row>
    <row r="113" spans="1:6" ht="15" customHeight="1" outlineLevel="2" x14ac:dyDescent="0.25">
      <c r="A113" s="18">
        <v>46234</v>
      </c>
      <c r="B113" s="3">
        <v>11546456</v>
      </c>
      <c r="C113" s="3" t="s">
        <v>1116</v>
      </c>
      <c r="D113" s="3"/>
      <c r="E113" s="3">
        <v>2051</v>
      </c>
      <c r="F113" s="25">
        <v>2700</v>
      </c>
    </row>
    <row r="114" spans="1:6" ht="15" customHeight="1" outlineLevel="2" x14ac:dyDescent="0.25">
      <c r="A114" s="15" t="s">
        <v>1102</v>
      </c>
      <c r="B114" s="3">
        <v>11546456</v>
      </c>
      <c r="C114" s="3"/>
      <c r="D114" s="3"/>
      <c r="E114" s="3">
        <v>1512</v>
      </c>
      <c r="F114" s="25">
        <v>2700</v>
      </c>
    </row>
    <row r="115" spans="1:6" ht="15" customHeight="1" outlineLevel="2" x14ac:dyDescent="0.25">
      <c r="A115" s="15" t="s">
        <v>1112</v>
      </c>
      <c r="B115" s="3">
        <v>11546456</v>
      </c>
      <c r="C115" s="3"/>
      <c r="D115" s="3"/>
      <c r="E115" s="3">
        <v>2051</v>
      </c>
      <c r="F115" s="25">
        <v>2700</v>
      </c>
    </row>
    <row r="116" spans="1:6" ht="15" customHeight="1" outlineLevel="2" x14ac:dyDescent="0.25">
      <c r="A116" s="18">
        <v>46241</v>
      </c>
      <c r="B116" s="3">
        <v>11546456</v>
      </c>
      <c r="C116" s="3"/>
      <c r="D116" s="3"/>
      <c r="E116" s="3">
        <v>1805</v>
      </c>
      <c r="F116" s="25">
        <v>2700</v>
      </c>
    </row>
    <row r="117" spans="1:6" ht="15" customHeight="1" outlineLevel="2" x14ac:dyDescent="0.25">
      <c r="A117" s="18">
        <v>46241</v>
      </c>
      <c r="B117" s="3">
        <v>11546456</v>
      </c>
      <c r="C117" s="3"/>
      <c r="D117" s="3"/>
      <c r="E117" s="3">
        <v>2541</v>
      </c>
      <c r="F117" s="25">
        <v>2700</v>
      </c>
    </row>
    <row r="118" spans="1:6" ht="15" customHeight="1" outlineLevel="2" x14ac:dyDescent="0.25">
      <c r="A118" s="18">
        <v>46241</v>
      </c>
      <c r="B118" s="3">
        <v>11546456</v>
      </c>
      <c r="C118" s="3"/>
      <c r="D118" s="3"/>
      <c r="E118" s="3">
        <v>2495</v>
      </c>
      <c r="F118" s="25">
        <v>2700</v>
      </c>
    </row>
    <row r="119" spans="1:6" ht="15" customHeight="1" outlineLevel="1" x14ac:dyDescent="0.25">
      <c r="A119" s="18"/>
      <c r="B119" s="19" t="s">
        <v>1256</v>
      </c>
      <c r="C119" s="3"/>
      <c r="D119" s="3"/>
      <c r="E119" s="19">
        <f>SUBTOTAL(9,E113:E118)</f>
        <v>12455</v>
      </c>
      <c r="F119" s="25"/>
    </row>
    <row r="120" spans="1:6" ht="15" customHeight="1" outlineLevel="2" x14ac:dyDescent="0.25">
      <c r="A120" s="15" t="s">
        <v>1033</v>
      </c>
      <c r="B120" s="3">
        <v>11546463</v>
      </c>
      <c r="C120" s="3"/>
      <c r="D120" s="3"/>
      <c r="E120" s="3">
        <v>440</v>
      </c>
      <c r="F120" s="25">
        <v>450</v>
      </c>
    </row>
    <row r="121" spans="1:6" ht="15" customHeight="1" outlineLevel="2" x14ac:dyDescent="0.25">
      <c r="A121" s="18">
        <v>46246</v>
      </c>
      <c r="B121" s="3">
        <v>11546463</v>
      </c>
      <c r="C121" s="3"/>
      <c r="D121" s="3"/>
      <c r="E121" s="3">
        <v>142</v>
      </c>
      <c r="F121" s="25">
        <v>450</v>
      </c>
    </row>
    <row r="122" spans="1:6" ht="15" customHeight="1" outlineLevel="1" x14ac:dyDescent="0.25">
      <c r="A122" s="18"/>
      <c r="B122" s="19" t="s">
        <v>1257</v>
      </c>
      <c r="C122" s="3"/>
      <c r="D122" s="3"/>
      <c r="E122" s="19">
        <f>SUBTOTAL(9,E120:E121)</f>
        <v>582</v>
      </c>
      <c r="F122" s="25"/>
    </row>
    <row r="123" spans="1:6" ht="15" customHeight="1" outlineLevel="2" x14ac:dyDescent="0.25">
      <c r="A123" s="15" t="s">
        <v>1034</v>
      </c>
      <c r="B123" s="3">
        <v>11546545</v>
      </c>
      <c r="C123" s="3"/>
      <c r="D123" s="3"/>
      <c r="E123" s="3">
        <v>2035</v>
      </c>
      <c r="F123" s="25">
        <v>2500</v>
      </c>
    </row>
    <row r="124" spans="1:6" ht="15" customHeight="1" outlineLevel="2" x14ac:dyDescent="0.25">
      <c r="A124" s="15" t="s">
        <v>1102</v>
      </c>
      <c r="B124" s="3">
        <v>11546545</v>
      </c>
      <c r="C124" s="3"/>
      <c r="D124" s="3"/>
      <c r="E124" s="3">
        <v>1075</v>
      </c>
      <c r="F124" s="25"/>
    </row>
    <row r="125" spans="1:6" ht="15" customHeight="1" outlineLevel="2" x14ac:dyDescent="0.25">
      <c r="A125" s="18">
        <v>46241</v>
      </c>
      <c r="B125" s="3">
        <v>11546545</v>
      </c>
      <c r="C125" s="3"/>
      <c r="D125" s="3"/>
      <c r="E125" s="3">
        <v>1425</v>
      </c>
      <c r="F125" s="25">
        <v>2500</v>
      </c>
    </row>
    <row r="126" spans="1:6" ht="15" customHeight="1" outlineLevel="1" x14ac:dyDescent="0.25">
      <c r="A126" s="18"/>
      <c r="B126" s="19" t="s">
        <v>1258</v>
      </c>
      <c r="C126" s="3"/>
      <c r="D126" s="3"/>
      <c r="E126" s="19">
        <f>SUBTOTAL(9,E123:E125)</f>
        <v>4535</v>
      </c>
      <c r="F126" s="25"/>
    </row>
    <row r="127" spans="1:6" ht="15" customHeight="1" outlineLevel="1" x14ac:dyDescent="0.25">
      <c r="A127" s="18">
        <v>46251</v>
      </c>
      <c r="B127" s="19">
        <v>11546566</v>
      </c>
      <c r="C127" s="3"/>
      <c r="D127" s="3"/>
      <c r="E127" s="19">
        <v>1490</v>
      </c>
      <c r="F127" s="25">
        <v>1800</v>
      </c>
    </row>
    <row r="128" spans="1:6" ht="15" customHeight="1" outlineLevel="2" x14ac:dyDescent="0.25">
      <c r="A128" s="15" t="s">
        <v>1035</v>
      </c>
      <c r="B128" s="3">
        <v>11546566</v>
      </c>
      <c r="C128" s="3"/>
      <c r="D128" s="3"/>
      <c r="E128" s="3">
        <v>1413</v>
      </c>
      <c r="F128" s="25">
        <v>1800</v>
      </c>
    </row>
    <row r="129" spans="1:6" ht="15" customHeight="1" outlineLevel="2" x14ac:dyDescent="0.25">
      <c r="A129" s="18">
        <v>46234</v>
      </c>
      <c r="B129" s="3">
        <v>11546566</v>
      </c>
      <c r="C129" s="3" t="s">
        <v>1129</v>
      </c>
      <c r="D129" s="3"/>
      <c r="E129" s="3">
        <v>1203</v>
      </c>
      <c r="F129" s="25">
        <v>1800</v>
      </c>
    </row>
    <row r="130" spans="1:6" ht="15" customHeight="1" outlineLevel="2" x14ac:dyDescent="0.25">
      <c r="A130" s="18">
        <v>46241</v>
      </c>
      <c r="B130" s="3">
        <v>11546566</v>
      </c>
      <c r="C130" s="3" t="s">
        <v>1161</v>
      </c>
      <c r="D130" s="3"/>
      <c r="E130" s="3">
        <v>1196</v>
      </c>
      <c r="F130" s="25">
        <v>1800</v>
      </c>
    </row>
    <row r="131" spans="1:6" ht="15" customHeight="1" outlineLevel="1" x14ac:dyDescent="0.25">
      <c r="A131" s="18"/>
      <c r="B131" s="19" t="s">
        <v>1259</v>
      </c>
      <c r="C131" s="3"/>
      <c r="D131" s="3"/>
      <c r="E131" s="19">
        <f>SUM(E127:E130)</f>
        <v>5302</v>
      </c>
      <c r="F131" s="25"/>
    </row>
    <row r="132" spans="1:6" ht="15" customHeight="1" outlineLevel="1" x14ac:dyDescent="0.25">
      <c r="A132" s="18">
        <v>46251</v>
      </c>
      <c r="B132" s="19">
        <v>11546571</v>
      </c>
      <c r="C132" s="3"/>
      <c r="D132" s="3"/>
      <c r="E132" s="19">
        <v>1035</v>
      </c>
      <c r="F132" s="25">
        <v>1550</v>
      </c>
    </row>
    <row r="133" spans="1:6" ht="15" customHeight="1" outlineLevel="2" x14ac:dyDescent="0.25">
      <c r="A133" s="15" t="s">
        <v>1033</v>
      </c>
      <c r="B133" s="3">
        <v>11546571</v>
      </c>
      <c r="C133" s="3"/>
      <c r="D133" s="3"/>
      <c r="E133" s="3">
        <v>900</v>
      </c>
      <c r="F133" s="25">
        <v>1550</v>
      </c>
    </row>
    <row r="134" spans="1:6" ht="15" customHeight="1" outlineLevel="2" x14ac:dyDescent="0.25">
      <c r="A134" s="15" t="s">
        <v>1092</v>
      </c>
      <c r="B134" s="3">
        <v>11546571</v>
      </c>
      <c r="C134" s="3"/>
      <c r="D134" s="3"/>
      <c r="E134" s="3">
        <v>868</v>
      </c>
      <c r="F134" s="25">
        <v>1500</v>
      </c>
    </row>
    <row r="135" spans="1:6" ht="15" customHeight="1" outlineLevel="2" x14ac:dyDescent="0.25">
      <c r="A135" s="18">
        <v>46234</v>
      </c>
      <c r="B135" s="3">
        <v>11546571</v>
      </c>
      <c r="C135" s="3" t="s">
        <v>1137</v>
      </c>
      <c r="D135" s="3"/>
      <c r="E135" s="3">
        <v>1337</v>
      </c>
      <c r="F135" s="25">
        <v>1550</v>
      </c>
    </row>
    <row r="136" spans="1:6" ht="15" customHeight="1" outlineLevel="2" x14ac:dyDescent="0.25">
      <c r="A136" s="18">
        <v>46244</v>
      </c>
      <c r="B136" s="3">
        <v>11546571</v>
      </c>
      <c r="C136" s="3" t="s">
        <v>1138</v>
      </c>
      <c r="D136" s="3"/>
      <c r="E136" s="3">
        <v>845</v>
      </c>
      <c r="F136" s="25">
        <v>1550</v>
      </c>
    </row>
    <row r="137" spans="1:6" ht="15" customHeight="1" outlineLevel="2" x14ac:dyDescent="0.25">
      <c r="A137" s="18">
        <v>46251</v>
      </c>
      <c r="B137" s="3">
        <v>11546571</v>
      </c>
      <c r="C137" s="3" t="s">
        <v>1185</v>
      </c>
      <c r="D137" s="3"/>
      <c r="E137" s="3">
        <v>1230</v>
      </c>
      <c r="F137" s="25">
        <v>1550</v>
      </c>
    </row>
    <row r="138" spans="1:6" ht="15" customHeight="1" outlineLevel="2" x14ac:dyDescent="0.25">
      <c r="A138" s="18">
        <v>46251</v>
      </c>
      <c r="B138" s="3">
        <v>11546571</v>
      </c>
      <c r="C138" s="3" t="s">
        <v>1186</v>
      </c>
      <c r="D138" s="3"/>
      <c r="E138" s="3">
        <v>462</v>
      </c>
      <c r="F138" s="25">
        <v>1550</v>
      </c>
    </row>
    <row r="139" spans="1:6" ht="15" customHeight="1" outlineLevel="1" x14ac:dyDescent="0.25">
      <c r="A139" s="18"/>
      <c r="B139" s="19" t="s">
        <v>1260</v>
      </c>
      <c r="C139" s="3"/>
      <c r="D139" s="3"/>
      <c r="E139" s="19">
        <f>SUM(E132:E138)</f>
        <v>6677</v>
      </c>
      <c r="F139" s="25"/>
    </row>
    <row r="140" spans="1:6" ht="15" customHeight="1" outlineLevel="2" x14ac:dyDescent="0.25">
      <c r="A140" s="27" t="s">
        <v>1077</v>
      </c>
      <c r="B140" s="23">
        <v>11546593</v>
      </c>
      <c r="C140" s="23"/>
      <c r="D140" s="23"/>
      <c r="E140" s="23">
        <v>607</v>
      </c>
      <c r="F140" s="28">
        <v>700</v>
      </c>
    </row>
    <row r="141" spans="1:6" ht="15" customHeight="1" outlineLevel="1" x14ac:dyDescent="0.25">
      <c r="A141" s="27"/>
      <c r="B141" s="22" t="s">
        <v>1261</v>
      </c>
      <c r="C141" s="23"/>
      <c r="D141" s="23"/>
      <c r="E141" s="22">
        <f>SUBTOTAL(9,E140:E140)</f>
        <v>607</v>
      </c>
      <c r="F141" s="28"/>
    </row>
    <row r="142" spans="1:6" ht="15" customHeight="1" outlineLevel="2" x14ac:dyDescent="0.25">
      <c r="A142" s="18">
        <v>46234</v>
      </c>
      <c r="B142" s="3">
        <v>11546703</v>
      </c>
      <c r="C142" s="3" t="s">
        <v>1117</v>
      </c>
      <c r="D142" s="3"/>
      <c r="E142" s="3">
        <v>2540</v>
      </c>
      <c r="F142" s="25">
        <v>4000</v>
      </c>
    </row>
    <row r="143" spans="1:6" ht="15" customHeight="1" outlineLevel="2" x14ac:dyDescent="0.25">
      <c r="A143" s="15" t="s">
        <v>1034</v>
      </c>
      <c r="B143" s="3">
        <v>11546703</v>
      </c>
      <c r="C143" s="3"/>
      <c r="D143" s="3"/>
      <c r="E143" s="3">
        <v>1678</v>
      </c>
      <c r="F143" s="25">
        <v>4000</v>
      </c>
    </row>
    <row r="144" spans="1:6" ht="15" customHeight="1" outlineLevel="2" x14ac:dyDescent="0.25">
      <c r="A144" s="15" t="s">
        <v>1112</v>
      </c>
      <c r="B144" s="3">
        <v>11546703</v>
      </c>
      <c r="C144" s="3"/>
      <c r="D144" s="3"/>
      <c r="E144" s="3">
        <v>2540</v>
      </c>
      <c r="F144" s="25">
        <v>4000</v>
      </c>
    </row>
    <row r="145" spans="1:6" ht="15" customHeight="1" outlineLevel="2" x14ac:dyDescent="0.25">
      <c r="A145" s="18">
        <v>46241</v>
      </c>
      <c r="B145" s="3">
        <v>11546703</v>
      </c>
      <c r="C145" s="3" t="s">
        <v>1169</v>
      </c>
      <c r="D145" s="3"/>
      <c r="E145" s="3">
        <v>3129</v>
      </c>
      <c r="F145" s="25">
        <v>4000</v>
      </c>
    </row>
    <row r="146" spans="1:6" ht="15" customHeight="1" outlineLevel="2" x14ac:dyDescent="0.25">
      <c r="A146" s="18">
        <v>46244</v>
      </c>
      <c r="B146" s="3">
        <v>11546703</v>
      </c>
      <c r="C146" s="3"/>
      <c r="D146" s="3"/>
      <c r="E146" s="3">
        <v>2278</v>
      </c>
      <c r="F146" s="25">
        <v>4000</v>
      </c>
    </row>
    <row r="147" spans="1:6" ht="15" customHeight="1" outlineLevel="2" x14ac:dyDescent="0.25">
      <c r="A147" s="18">
        <v>46244</v>
      </c>
      <c r="B147" s="3">
        <v>11546703</v>
      </c>
      <c r="C147" s="3"/>
      <c r="D147" s="3"/>
      <c r="E147" s="3">
        <v>3398</v>
      </c>
      <c r="F147" s="25">
        <v>4000</v>
      </c>
    </row>
    <row r="148" spans="1:6" ht="15" customHeight="1" outlineLevel="2" x14ac:dyDescent="0.25">
      <c r="A148" s="18">
        <v>46246</v>
      </c>
      <c r="B148" s="3">
        <v>11546703</v>
      </c>
      <c r="C148" s="3"/>
      <c r="D148" s="3"/>
      <c r="E148" s="3">
        <v>3800</v>
      </c>
      <c r="F148" s="25">
        <v>4000</v>
      </c>
    </row>
    <row r="149" spans="1:6" ht="15" customHeight="1" outlineLevel="2" x14ac:dyDescent="0.25">
      <c r="A149" s="18">
        <v>46246</v>
      </c>
      <c r="B149" s="3">
        <v>11546703</v>
      </c>
      <c r="C149" s="3"/>
      <c r="D149" s="3"/>
      <c r="E149" s="3">
        <v>2289</v>
      </c>
      <c r="F149" s="25">
        <v>4000</v>
      </c>
    </row>
    <row r="150" spans="1:6" ht="15" customHeight="1" outlineLevel="2" x14ac:dyDescent="0.25">
      <c r="A150" s="18">
        <v>46246</v>
      </c>
      <c r="B150" s="3">
        <v>11546703</v>
      </c>
      <c r="C150" s="3"/>
      <c r="D150" s="3"/>
      <c r="E150" s="3">
        <v>1798</v>
      </c>
      <c r="F150" s="25">
        <v>4000</v>
      </c>
    </row>
    <row r="151" spans="1:6" ht="15" customHeight="1" outlineLevel="2" x14ac:dyDescent="0.25">
      <c r="A151" s="18">
        <v>46246</v>
      </c>
      <c r="B151" s="3">
        <v>11546703</v>
      </c>
      <c r="C151" s="3"/>
      <c r="D151" s="3"/>
      <c r="E151" s="3">
        <v>3794</v>
      </c>
      <c r="F151" s="25">
        <v>4000</v>
      </c>
    </row>
    <row r="152" spans="1:6" ht="15" customHeight="1" outlineLevel="2" x14ac:dyDescent="0.25">
      <c r="A152" s="18">
        <v>46253</v>
      </c>
      <c r="B152" s="3">
        <v>11546703</v>
      </c>
      <c r="C152" s="3"/>
      <c r="D152" s="3"/>
      <c r="E152" s="3">
        <v>2475</v>
      </c>
      <c r="F152" s="25">
        <v>4000</v>
      </c>
    </row>
    <row r="153" spans="1:6" ht="15" customHeight="1" outlineLevel="2" x14ac:dyDescent="0.25">
      <c r="A153" s="18">
        <v>46255</v>
      </c>
      <c r="B153" s="3">
        <v>11546703</v>
      </c>
      <c r="C153" s="3" t="s">
        <v>1210</v>
      </c>
      <c r="D153" s="3"/>
      <c r="E153" s="3">
        <v>2566</v>
      </c>
      <c r="F153" s="25">
        <v>4000</v>
      </c>
    </row>
    <row r="154" spans="1:6" ht="15" customHeight="1" outlineLevel="2" x14ac:dyDescent="0.25">
      <c r="A154" s="18">
        <v>46255</v>
      </c>
      <c r="B154" s="3">
        <v>11546703</v>
      </c>
      <c r="C154" s="3"/>
      <c r="D154" s="3"/>
      <c r="E154" s="3">
        <v>3977</v>
      </c>
      <c r="F154" s="25">
        <v>4000</v>
      </c>
    </row>
    <row r="155" spans="1:6" ht="15" customHeight="1" outlineLevel="1" x14ac:dyDescent="0.25">
      <c r="A155" s="18"/>
      <c r="B155" s="19" t="s">
        <v>1262</v>
      </c>
      <c r="C155" s="3"/>
      <c r="D155" s="3"/>
      <c r="E155" s="19">
        <f>SUBTOTAL(9,E142:E154)</f>
        <v>36262</v>
      </c>
      <c r="F155" s="25"/>
    </row>
    <row r="156" spans="1:6" ht="15" customHeight="1" outlineLevel="2" x14ac:dyDescent="0.25">
      <c r="A156" s="29">
        <v>46244</v>
      </c>
      <c r="B156" s="23">
        <v>11546774</v>
      </c>
      <c r="C156" s="23"/>
      <c r="D156" s="23"/>
      <c r="E156" s="23">
        <v>367</v>
      </c>
      <c r="F156" s="28">
        <v>450</v>
      </c>
    </row>
    <row r="157" spans="1:6" ht="15" customHeight="1" outlineLevel="1" x14ac:dyDescent="0.25">
      <c r="A157" s="29"/>
      <c r="B157" s="22" t="s">
        <v>1263</v>
      </c>
      <c r="C157" s="23"/>
      <c r="D157" s="23"/>
      <c r="E157" s="22">
        <f>SUBTOTAL(9,E156:E156)</f>
        <v>367</v>
      </c>
      <c r="F157" s="28"/>
    </row>
    <row r="158" spans="1:6" ht="15" customHeight="1" outlineLevel="2" x14ac:dyDescent="0.25">
      <c r="A158" s="27" t="s">
        <v>1033</v>
      </c>
      <c r="B158" s="23">
        <v>11547059</v>
      </c>
      <c r="C158" s="23"/>
      <c r="D158" s="23"/>
      <c r="E158" s="23">
        <v>239</v>
      </c>
      <c r="F158" s="28">
        <v>550</v>
      </c>
    </row>
    <row r="159" spans="1:6" ht="15" customHeight="1" outlineLevel="1" x14ac:dyDescent="0.25">
      <c r="A159" s="27"/>
      <c r="B159" s="22" t="s">
        <v>1264</v>
      </c>
      <c r="C159" s="23"/>
      <c r="D159" s="23"/>
      <c r="E159" s="22">
        <f>SUBTOTAL(9,E158:E158)</f>
        <v>239</v>
      </c>
      <c r="F159" s="28"/>
    </row>
    <row r="160" spans="1:6" ht="15" customHeight="1" outlineLevel="2" x14ac:dyDescent="0.25">
      <c r="A160" s="29">
        <v>46234</v>
      </c>
      <c r="B160" s="23">
        <v>11547103</v>
      </c>
      <c r="C160" s="23"/>
      <c r="D160" s="23"/>
      <c r="E160" s="23">
        <v>174</v>
      </c>
      <c r="F160" s="28">
        <v>275</v>
      </c>
    </row>
    <row r="161" spans="1:6" ht="15" customHeight="1" outlineLevel="1" x14ac:dyDescent="0.25">
      <c r="A161" s="29"/>
      <c r="B161" s="22" t="s">
        <v>1265</v>
      </c>
      <c r="C161" s="23"/>
      <c r="D161" s="23"/>
      <c r="E161" s="22">
        <f>SUBTOTAL(9,E160:E160)</f>
        <v>174</v>
      </c>
      <c r="F161" s="28"/>
    </row>
    <row r="162" spans="1:6" ht="15" customHeight="1" outlineLevel="2" x14ac:dyDescent="0.25">
      <c r="A162" s="18">
        <v>46234</v>
      </c>
      <c r="B162" s="3">
        <v>11547176</v>
      </c>
      <c r="C162" s="3" t="s">
        <v>1118</v>
      </c>
      <c r="D162" s="3"/>
      <c r="E162" s="3">
        <v>570</v>
      </c>
      <c r="F162" s="25">
        <v>850</v>
      </c>
    </row>
    <row r="163" spans="1:6" ht="15" customHeight="1" outlineLevel="2" x14ac:dyDescent="0.25">
      <c r="A163" s="15" t="s">
        <v>1092</v>
      </c>
      <c r="B163" s="3">
        <v>11547176</v>
      </c>
      <c r="C163" s="3"/>
      <c r="D163" s="3"/>
      <c r="E163" s="3">
        <v>600</v>
      </c>
      <c r="F163" s="25">
        <v>850</v>
      </c>
    </row>
    <row r="164" spans="1:6" ht="15" customHeight="1" outlineLevel="2" x14ac:dyDescent="0.25">
      <c r="A164" s="15" t="s">
        <v>1112</v>
      </c>
      <c r="B164" s="3">
        <v>11547176</v>
      </c>
      <c r="C164" s="3"/>
      <c r="D164" s="3"/>
      <c r="E164" s="3">
        <v>570</v>
      </c>
      <c r="F164" s="25">
        <v>850</v>
      </c>
    </row>
    <row r="165" spans="1:6" ht="15" customHeight="1" outlineLevel="2" x14ac:dyDescent="0.25">
      <c r="A165" s="18">
        <v>46238</v>
      </c>
      <c r="B165" s="3">
        <v>11547176</v>
      </c>
      <c r="C165" s="3"/>
      <c r="D165" s="3"/>
      <c r="E165" s="3">
        <v>783</v>
      </c>
      <c r="F165" s="25">
        <v>850</v>
      </c>
    </row>
    <row r="166" spans="1:6" ht="15" customHeight="1" outlineLevel="1" x14ac:dyDescent="0.25">
      <c r="A166" s="18"/>
      <c r="B166" s="19" t="s">
        <v>1266</v>
      </c>
      <c r="C166" s="3"/>
      <c r="D166" s="3"/>
      <c r="E166" s="19">
        <f>SUBTOTAL(9,E162:E165)</f>
        <v>2523</v>
      </c>
      <c r="F166" s="25"/>
    </row>
    <row r="167" spans="1:6" ht="15" customHeight="1" outlineLevel="2" x14ac:dyDescent="0.25">
      <c r="A167" s="18">
        <v>46234</v>
      </c>
      <c r="B167" s="3">
        <v>11547349</v>
      </c>
      <c r="C167" s="3"/>
      <c r="D167" s="3"/>
      <c r="E167" s="3">
        <v>137</v>
      </c>
      <c r="F167" s="25">
        <v>350</v>
      </c>
    </row>
    <row r="168" spans="1:6" ht="15" customHeight="1" outlineLevel="2" x14ac:dyDescent="0.25">
      <c r="A168" s="15" t="s">
        <v>1092</v>
      </c>
      <c r="B168" s="3">
        <v>11547349</v>
      </c>
      <c r="C168" s="3"/>
      <c r="D168" s="3"/>
      <c r="E168" s="3">
        <v>218</v>
      </c>
      <c r="F168" s="25">
        <v>350</v>
      </c>
    </row>
    <row r="169" spans="1:6" ht="15" customHeight="1" outlineLevel="2" x14ac:dyDescent="0.25">
      <c r="A169" s="15" t="s">
        <v>1112</v>
      </c>
      <c r="B169" s="3">
        <v>11547349</v>
      </c>
      <c r="C169" s="3"/>
      <c r="D169" s="3"/>
      <c r="E169" s="3">
        <v>476</v>
      </c>
      <c r="F169" s="25">
        <v>350</v>
      </c>
    </row>
    <row r="170" spans="1:6" ht="15" customHeight="1" outlineLevel="1" x14ac:dyDescent="0.25">
      <c r="A170" s="15"/>
      <c r="B170" s="19" t="s">
        <v>1267</v>
      </c>
      <c r="C170" s="3"/>
      <c r="D170" s="3"/>
      <c r="E170" s="19">
        <f>SUBTOTAL(9,E167:E169)</f>
        <v>831</v>
      </c>
      <c r="F170" s="25"/>
    </row>
    <row r="171" spans="1:6" ht="15" customHeight="1" outlineLevel="2" x14ac:dyDescent="0.25">
      <c r="A171" s="15" t="s">
        <v>1035</v>
      </c>
      <c r="B171" s="3">
        <v>11547369</v>
      </c>
      <c r="C171" s="3"/>
      <c r="D171" s="3"/>
      <c r="E171" s="3">
        <v>232</v>
      </c>
      <c r="F171" s="25">
        <v>250</v>
      </c>
    </row>
    <row r="172" spans="1:6" ht="15" customHeight="1" outlineLevel="2" x14ac:dyDescent="0.25">
      <c r="A172" s="18">
        <v>46238</v>
      </c>
      <c r="B172" s="3">
        <v>11547369</v>
      </c>
      <c r="C172" s="3" t="s">
        <v>1143</v>
      </c>
      <c r="D172" s="3"/>
      <c r="E172" s="3">
        <v>162</v>
      </c>
      <c r="F172" s="25">
        <v>250</v>
      </c>
    </row>
    <row r="173" spans="1:6" ht="15" customHeight="1" outlineLevel="2" x14ac:dyDescent="0.25">
      <c r="A173" s="18">
        <v>46251</v>
      </c>
      <c r="B173" s="3">
        <v>11547369</v>
      </c>
      <c r="C173" s="3"/>
      <c r="D173" s="3"/>
      <c r="E173" s="3">
        <v>168</v>
      </c>
      <c r="F173" s="25">
        <v>250</v>
      </c>
    </row>
    <row r="174" spans="1:6" ht="15" customHeight="1" outlineLevel="2" x14ac:dyDescent="0.25">
      <c r="A174" s="18">
        <v>46251</v>
      </c>
      <c r="B174" s="3">
        <v>11547369</v>
      </c>
      <c r="C174" s="3" t="s">
        <v>1184</v>
      </c>
      <c r="D174" s="3"/>
      <c r="E174" s="3">
        <v>133</v>
      </c>
      <c r="F174" s="25">
        <v>250</v>
      </c>
    </row>
    <row r="175" spans="1:6" ht="15" customHeight="1" outlineLevel="2" x14ac:dyDescent="0.25">
      <c r="A175" s="18">
        <v>46253</v>
      </c>
      <c r="B175" s="3">
        <v>11547369</v>
      </c>
      <c r="C175" s="3"/>
      <c r="D175" s="3"/>
      <c r="E175" s="3">
        <v>227</v>
      </c>
      <c r="F175" s="25">
        <v>250</v>
      </c>
    </row>
    <row r="176" spans="1:6" ht="15" customHeight="1" outlineLevel="1" x14ac:dyDescent="0.25">
      <c r="A176" s="18"/>
      <c r="B176" s="19" t="s">
        <v>1268</v>
      </c>
      <c r="C176" s="3"/>
      <c r="D176" s="3"/>
      <c r="E176" s="19">
        <f>SUBTOTAL(9,E171:E175)</f>
        <v>922</v>
      </c>
      <c r="F176" s="25"/>
    </row>
    <row r="177" spans="1:6" ht="15" customHeight="1" outlineLevel="2" x14ac:dyDescent="0.25">
      <c r="A177" s="27" t="s">
        <v>1092</v>
      </c>
      <c r="B177" s="23">
        <v>11547423</v>
      </c>
      <c r="C177" s="23"/>
      <c r="D177" s="23"/>
      <c r="E177" s="23">
        <v>595</v>
      </c>
      <c r="F177" s="28">
        <v>875</v>
      </c>
    </row>
    <row r="178" spans="1:6" ht="15" customHeight="1" outlineLevel="1" x14ac:dyDescent="0.25">
      <c r="A178" s="27"/>
      <c r="B178" s="22" t="s">
        <v>1269</v>
      </c>
      <c r="C178" s="23"/>
      <c r="D178" s="23"/>
      <c r="E178" s="22">
        <f>SUBTOTAL(9,E177:E177)</f>
        <v>595</v>
      </c>
      <c r="F178" s="28"/>
    </row>
    <row r="179" spans="1:6" ht="15" customHeight="1" outlineLevel="2" x14ac:dyDescent="0.25">
      <c r="A179" s="29">
        <v>46238</v>
      </c>
      <c r="B179" s="23">
        <v>11547463</v>
      </c>
      <c r="C179" s="23"/>
      <c r="D179" s="23"/>
      <c r="E179" s="23">
        <v>1327</v>
      </c>
      <c r="F179" s="28">
        <v>2000</v>
      </c>
    </row>
    <row r="180" spans="1:6" ht="15" customHeight="1" outlineLevel="1" x14ac:dyDescent="0.25">
      <c r="A180" s="29"/>
      <c r="B180" s="22" t="s">
        <v>1270</v>
      </c>
      <c r="C180" s="23"/>
      <c r="D180" s="23"/>
      <c r="E180" s="22">
        <f>SUBTOTAL(9,E179:E179)</f>
        <v>1327</v>
      </c>
      <c r="F180" s="28"/>
    </row>
    <row r="181" spans="1:6" ht="15" customHeight="1" outlineLevel="2" x14ac:dyDescent="0.25">
      <c r="A181" s="27" t="s">
        <v>1034</v>
      </c>
      <c r="B181" s="23">
        <v>11547830</v>
      </c>
      <c r="C181" s="23"/>
      <c r="D181" s="23"/>
      <c r="E181" s="23">
        <v>127</v>
      </c>
      <c r="F181" s="28">
        <v>275</v>
      </c>
    </row>
    <row r="182" spans="1:6" ht="15" customHeight="1" outlineLevel="1" x14ac:dyDescent="0.25">
      <c r="A182" s="27"/>
      <c r="B182" s="22" t="s">
        <v>1271</v>
      </c>
      <c r="C182" s="23"/>
      <c r="D182" s="23"/>
      <c r="E182" s="22">
        <f>SUBTOTAL(9,E181:E181)</f>
        <v>127</v>
      </c>
      <c r="F182" s="28"/>
    </row>
    <row r="183" spans="1:6" ht="15" customHeight="1" outlineLevel="2" x14ac:dyDescent="0.25">
      <c r="A183" s="15" t="s">
        <v>1033</v>
      </c>
      <c r="B183" s="3">
        <v>11548147</v>
      </c>
      <c r="C183" s="3"/>
      <c r="D183" s="3"/>
      <c r="E183" s="3">
        <v>250</v>
      </c>
      <c r="F183" s="25"/>
    </row>
    <row r="184" spans="1:6" ht="15" customHeight="1" outlineLevel="2" x14ac:dyDescent="0.25">
      <c r="A184" s="18">
        <v>46241</v>
      </c>
      <c r="B184" s="3">
        <v>11548147</v>
      </c>
      <c r="C184" s="3"/>
      <c r="D184" s="3"/>
      <c r="E184" s="3">
        <v>187</v>
      </c>
      <c r="F184" s="25">
        <v>250</v>
      </c>
    </row>
    <row r="185" spans="1:6" ht="15" customHeight="1" outlineLevel="1" x14ac:dyDescent="0.25">
      <c r="A185" s="18"/>
      <c r="B185" s="19" t="s">
        <v>1272</v>
      </c>
      <c r="C185" s="3"/>
      <c r="D185" s="3"/>
      <c r="E185" s="19">
        <f>SUBTOTAL(9,E183:E184)</f>
        <v>437</v>
      </c>
      <c r="F185" s="25"/>
    </row>
    <row r="186" spans="1:6" ht="15" customHeight="1" outlineLevel="2" x14ac:dyDescent="0.25">
      <c r="A186" s="15" t="s">
        <v>1036</v>
      </c>
      <c r="B186" s="3">
        <v>11548414</v>
      </c>
      <c r="C186" s="3"/>
      <c r="D186" s="3"/>
      <c r="E186" s="3">
        <v>314</v>
      </c>
      <c r="F186" s="25">
        <v>485</v>
      </c>
    </row>
    <row r="187" spans="1:6" ht="15" customHeight="1" outlineLevel="2" x14ac:dyDescent="0.25">
      <c r="A187" s="15" t="s">
        <v>1035</v>
      </c>
      <c r="B187" s="3">
        <v>11548414</v>
      </c>
      <c r="C187" s="3"/>
      <c r="D187" s="3"/>
      <c r="E187" s="3">
        <v>454</v>
      </c>
      <c r="F187" s="26">
        <v>485</v>
      </c>
    </row>
    <row r="188" spans="1:6" ht="15" customHeight="1" outlineLevel="2" x14ac:dyDescent="0.25">
      <c r="A188" s="15" t="s">
        <v>1112</v>
      </c>
      <c r="B188" s="3">
        <v>11548414</v>
      </c>
      <c r="C188" s="3"/>
      <c r="D188" s="3"/>
      <c r="E188" s="3">
        <v>404</v>
      </c>
      <c r="F188" s="26">
        <v>485</v>
      </c>
    </row>
    <row r="189" spans="1:6" ht="15" customHeight="1" outlineLevel="2" x14ac:dyDescent="0.25">
      <c r="A189" s="18">
        <v>46234</v>
      </c>
      <c r="B189" s="3">
        <v>11548414</v>
      </c>
      <c r="C189" s="3" t="s">
        <v>948</v>
      </c>
      <c r="D189" s="3"/>
      <c r="E189" s="3">
        <v>404</v>
      </c>
      <c r="F189" s="25">
        <v>485</v>
      </c>
    </row>
    <row r="190" spans="1:6" ht="15" customHeight="1" outlineLevel="2" x14ac:dyDescent="0.25">
      <c r="A190" s="18">
        <v>46234</v>
      </c>
      <c r="B190" s="3">
        <v>11548414</v>
      </c>
      <c r="C190" s="3"/>
      <c r="D190" s="3"/>
      <c r="E190" s="3">
        <v>314</v>
      </c>
      <c r="F190" s="25">
        <v>485</v>
      </c>
    </row>
    <row r="191" spans="1:6" ht="15" customHeight="1" outlineLevel="1" x14ac:dyDescent="0.25">
      <c r="A191" s="18"/>
      <c r="B191" s="19" t="s">
        <v>1273</v>
      </c>
      <c r="C191" s="3"/>
      <c r="D191" s="3"/>
      <c r="E191" s="19">
        <f>SUBTOTAL(9,E186:E190)</f>
        <v>1890</v>
      </c>
      <c r="F191" s="25"/>
    </row>
    <row r="192" spans="1:6" ht="15" customHeight="1" outlineLevel="2" x14ac:dyDescent="0.25">
      <c r="A192" s="15" t="s">
        <v>1034</v>
      </c>
      <c r="B192" s="3">
        <v>11548535</v>
      </c>
      <c r="C192" s="3"/>
      <c r="D192" s="3"/>
      <c r="E192" s="3">
        <v>118</v>
      </c>
      <c r="F192" s="25">
        <v>150</v>
      </c>
    </row>
    <row r="193" spans="1:6" ht="15" customHeight="1" outlineLevel="2" x14ac:dyDescent="0.25">
      <c r="A193" s="18">
        <v>46244</v>
      </c>
      <c r="B193" s="3">
        <v>11548535</v>
      </c>
      <c r="C193" s="3" t="s">
        <v>1175</v>
      </c>
      <c r="D193" s="3"/>
      <c r="E193" s="3">
        <v>125</v>
      </c>
      <c r="F193" s="25">
        <v>150</v>
      </c>
    </row>
    <row r="194" spans="1:6" ht="15" customHeight="1" outlineLevel="1" x14ac:dyDescent="0.25">
      <c r="A194" s="18"/>
      <c r="B194" s="19" t="s">
        <v>1274</v>
      </c>
      <c r="C194" s="3"/>
      <c r="D194" s="3"/>
      <c r="E194" s="19">
        <f>SUBTOTAL(9,E192:E193)</f>
        <v>243</v>
      </c>
      <c r="F194" s="25"/>
    </row>
    <row r="195" spans="1:6" ht="15" customHeight="1" outlineLevel="2" x14ac:dyDescent="0.25">
      <c r="A195" s="27" t="s">
        <v>1102</v>
      </c>
      <c r="B195" s="23">
        <v>11548875</v>
      </c>
      <c r="C195" s="23"/>
      <c r="D195" s="23"/>
      <c r="E195" s="23" t="s">
        <v>1087</v>
      </c>
      <c r="F195" s="28">
        <v>1300</v>
      </c>
    </row>
    <row r="196" spans="1:6" ht="15" customHeight="1" outlineLevel="1" x14ac:dyDescent="0.25">
      <c r="A196" s="27"/>
      <c r="B196" s="22" t="s">
        <v>1275</v>
      </c>
      <c r="C196" s="23"/>
      <c r="D196" s="23"/>
      <c r="E196" s="22">
        <f>SUBTOTAL(9,E195:E195)</f>
        <v>0</v>
      </c>
      <c r="F196" s="28"/>
    </row>
    <row r="197" spans="1:6" ht="15" customHeight="1" outlineLevel="2" x14ac:dyDescent="0.25">
      <c r="A197" s="18">
        <v>46246</v>
      </c>
      <c r="B197" s="3">
        <v>11549168</v>
      </c>
      <c r="C197" s="3"/>
      <c r="D197" s="3"/>
      <c r="E197" s="3">
        <v>442</v>
      </c>
      <c r="F197" s="25">
        <v>1000</v>
      </c>
    </row>
    <row r="198" spans="1:6" ht="15" customHeight="1" outlineLevel="2" x14ac:dyDescent="0.25">
      <c r="A198" s="15" t="s">
        <v>1033</v>
      </c>
      <c r="B198" s="3">
        <v>11549168</v>
      </c>
      <c r="C198" s="3"/>
      <c r="D198" s="3"/>
      <c r="E198" s="3">
        <v>735</v>
      </c>
      <c r="F198" s="25">
        <v>1000</v>
      </c>
    </row>
    <row r="199" spans="1:6" ht="15" customHeight="1" outlineLevel="2" x14ac:dyDescent="0.25">
      <c r="A199" s="15" t="s">
        <v>1112</v>
      </c>
      <c r="B199" s="3">
        <v>11549168</v>
      </c>
      <c r="C199" s="3"/>
      <c r="D199" s="3"/>
      <c r="E199" s="3">
        <v>952</v>
      </c>
      <c r="F199" s="25">
        <v>1000</v>
      </c>
    </row>
    <row r="200" spans="1:6" ht="15" customHeight="1" outlineLevel="2" x14ac:dyDescent="0.25">
      <c r="A200" s="15" t="s">
        <v>1112</v>
      </c>
      <c r="B200" s="3">
        <v>11549168</v>
      </c>
      <c r="C200" s="3"/>
      <c r="D200" s="3"/>
      <c r="E200" s="3">
        <v>910</v>
      </c>
      <c r="F200" s="25">
        <v>1000</v>
      </c>
    </row>
    <row r="201" spans="1:6" ht="15" customHeight="1" outlineLevel="2" x14ac:dyDescent="0.25">
      <c r="A201" s="15" t="s">
        <v>1112</v>
      </c>
      <c r="B201" s="3">
        <v>11549168</v>
      </c>
      <c r="C201" s="3"/>
      <c r="D201" s="3"/>
      <c r="E201" s="3">
        <v>780</v>
      </c>
      <c r="F201" s="25">
        <v>1000</v>
      </c>
    </row>
    <row r="202" spans="1:6" ht="15" customHeight="1" outlineLevel="2" x14ac:dyDescent="0.25">
      <c r="A202" s="18">
        <v>46234</v>
      </c>
      <c r="B202" s="3">
        <v>11549168</v>
      </c>
      <c r="C202" s="3" t="s">
        <v>1130</v>
      </c>
      <c r="D202" s="3"/>
      <c r="E202" s="3">
        <v>816</v>
      </c>
      <c r="F202" s="25">
        <v>1000</v>
      </c>
    </row>
    <row r="203" spans="1:6" ht="15" customHeight="1" outlineLevel="2" x14ac:dyDescent="0.25">
      <c r="A203" s="18">
        <v>46234</v>
      </c>
      <c r="B203" s="3">
        <v>11549168</v>
      </c>
      <c r="C203" s="3"/>
      <c r="D203" s="3"/>
      <c r="E203" s="3">
        <v>1000</v>
      </c>
      <c r="F203" s="25">
        <v>1000</v>
      </c>
    </row>
    <row r="204" spans="1:6" ht="15" customHeight="1" outlineLevel="2" x14ac:dyDescent="0.25">
      <c r="A204" s="18">
        <v>46234</v>
      </c>
      <c r="B204" s="3">
        <v>11549168</v>
      </c>
      <c r="C204" s="3" t="s">
        <v>1133</v>
      </c>
      <c r="D204" s="3"/>
      <c r="E204" s="3">
        <v>925</v>
      </c>
      <c r="F204" s="25">
        <v>1000</v>
      </c>
    </row>
    <row r="205" spans="1:6" ht="15" customHeight="1" outlineLevel="2" x14ac:dyDescent="0.25">
      <c r="A205" s="18">
        <v>46238</v>
      </c>
      <c r="B205" s="3">
        <v>11549168</v>
      </c>
      <c r="C205" s="3"/>
      <c r="D205" s="3"/>
      <c r="E205" s="3">
        <v>975</v>
      </c>
      <c r="F205" s="25">
        <v>1000</v>
      </c>
    </row>
    <row r="206" spans="1:6" ht="15" customHeight="1" outlineLevel="2" x14ac:dyDescent="0.25">
      <c r="A206" s="18">
        <v>46238</v>
      </c>
      <c r="B206" s="3">
        <v>11549168</v>
      </c>
      <c r="C206" s="3" t="s">
        <v>1152</v>
      </c>
      <c r="D206" s="3"/>
      <c r="E206" s="3">
        <v>987</v>
      </c>
      <c r="F206" s="25">
        <v>1000</v>
      </c>
    </row>
    <row r="207" spans="1:6" ht="15" customHeight="1" outlineLevel="2" x14ac:dyDescent="0.25">
      <c r="A207" s="18">
        <v>46244</v>
      </c>
      <c r="B207" s="3">
        <v>11549168</v>
      </c>
      <c r="C207" s="3"/>
      <c r="D207" s="3"/>
      <c r="E207" s="3">
        <v>877</v>
      </c>
      <c r="F207" s="25">
        <v>1000</v>
      </c>
    </row>
    <row r="208" spans="1:6" ht="15" customHeight="1" outlineLevel="2" x14ac:dyDescent="0.25">
      <c r="A208" s="18">
        <v>46251</v>
      </c>
      <c r="B208" s="3">
        <v>11549168</v>
      </c>
      <c r="C208" s="3"/>
      <c r="D208" s="3"/>
      <c r="E208" s="3">
        <v>696</v>
      </c>
      <c r="F208" s="25">
        <v>1000</v>
      </c>
    </row>
    <row r="209" spans="1:6" ht="15" customHeight="1" outlineLevel="2" x14ac:dyDescent="0.25">
      <c r="A209" s="18">
        <v>46255</v>
      </c>
      <c r="B209" s="3">
        <v>11549168</v>
      </c>
      <c r="C209" s="3" t="s">
        <v>1209</v>
      </c>
      <c r="D209" s="3"/>
      <c r="E209" s="3">
        <v>568</v>
      </c>
      <c r="F209" s="25">
        <v>1000</v>
      </c>
    </row>
    <row r="210" spans="1:6" ht="15" customHeight="1" outlineLevel="1" x14ac:dyDescent="0.25">
      <c r="A210" s="18"/>
      <c r="B210" s="19" t="s">
        <v>1276</v>
      </c>
      <c r="C210" s="3"/>
      <c r="D210" s="3"/>
      <c r="E210" s="19">
        <f>SUM(E197:E209)</f>
        <v>10663</v>
      </c>
      <c r="F210" s="25"/>
    </row>
    <row r="211" spans="1:6" ht="15" customHeight="1" outlineLevel="2" x14ac:dyDescent="0.25">
      <c r="A211" s="29">
        <v>46246</v>
      </c>
      <c r="B211" s="23">
        <v>11549169</v>
      </c>
      <c r="C211" s="23"/>
      <c r="D211" s="23"/>
      <c r="E211" s="23">
        <v>501</v>
      </c>
      <c r="F211" s="28">
        <v>660</v>
      </c>
    </row>
    <row r="212" spans="1:6" ht="15" customHeight="1" outlineLevel="1" x14ac:dyDescent="0.25">
      <c r="A212" s="29"/>
      <c r="B212" s="22" t="s">
        <v>1277</v>
      </c>
      <c r="C212" s="23"/>
      <c r="D212" s="23"/>
      <c r="E212" s="22">
        <f>SUBTOTAL(9,E211:E211)</f>
        <v>501</v>
      </c>
      <c r="F212" s="28"/>
    </row>
    <row r="213" spans="1:6" ht="15" customHeight="1" outlineLevel="2" x14ac:dyDescent="0.25">
      <c r="A213" s="15" t="s">
        <v>1092</v>
      </c>
      <c r="B213" s="3">
        <v>11549170</v>
      </c>
      <c r="C213" s="3"/>
      <c r="D213" s="3"/>
      <c r="E213" s="3">
        <v>387</v>
      </c>
      <c r="F213" s="25">
        <v>400</v>
      </c>
    </row>
    <row r="214" spans="1:6" ht="15" customHeight="1" outlineLevel="2" x14ac:dyDescent="0.25">
      <c r="A214" s="18">
        <v>46234</v>
      </c>
      <c r="B214" s="3">
        <v>11549170</v>
      </c>
      <c r="C214" s="3"/>
      <c r="D214" s="3"/>
      <c r="E214" s="3">
        <v>324</v>
      </c>
      <c r="F214" s="25">
        <v>400</v>
      </c>
    </row>
    <row r="215" spans="1:6" ht="15" customHeight="1" outlineLevel="2" x14ac:dyDescent="0.25">
      <c r="A215" s="18">
        <v>46238</v>
      </c>
      <c r="B215" s="3">
        <v>11549170</v>
      </c>
      <c r="C215" s="3"/>
      <c r="D215" s="3"/>
      <c r="E215" s="3">
        <v>310</v>
      </c>
      <c r="F215" s="25">
        <v>400</v>
      </c>
    </row>
    <row r="216" spans="1:6" ht="15" customHeight="1" outlineLevel="2" x14ac:dyDescent="0.25">
      <c r="A216" s="18">
        <v>46238</v>
      </c>
      <c r="B216" s="3">
        <v>11549170</v>
      </c>
      <c r="C216" s="3"/>
      <c r="D216" s="3"/>
      <c r="E216" s="3">
        <v>353</v>
      </c>
      <c r="F216" s="25">
        <v>400</v>
      </c>
    </row>
    <row r="217" spans="1:6" ht="15" customHeight="1" outlineLevel="2" x14ac:dyDescent="0.25">
      <c r="A217" s="18">
        <v>46238</v>
      </c>
      <c r="B217" s="3">
        <v>11549170</v>
      </c>
      <c r="C217" s="3"/>
      <c r="D217" s="3"/>
      <c r="E217" s="3">
        <v>323</v>
      </c>
      <c r="F217" s="25">
        <v>400</v>
      </c>
    </row>
    <row r="218" spans="1:6" ht="15" customHeight="1" outlineLevel="2" x14ac:dyDescent="0.25">
      <c r="A218" s="18">
        <v>46241</v>
      </c>
      <c r="B218" s="3">
        <v>11549170</v>
      </c>
      <c r="C218" s="3"/>
      <c r="D218" s="3"/>
      <c r="E218" s="3">
        <v>388</v>
      </c>
      <c r="F218" s="25">
        <v>400</v>
      </c>
    </row>
    <row r="219" spans="1:6" ht="15" customHeight="1" outlineLevel="2" x14ac:dyDescent="0.25">
      <c r="A219" s="18">
        <v>46241</v>
      </c>
      <c r="B219" s="3">
        <v>11549170</v>
      </c>
      <c r="C219" s="3"/>
      <c r="D219" s="3"/>
      <c r="E219" s="3">
        <v>310</v>
      </c>
      <c r="F219" s="25">
        <v>400</v>
      </c>
    </row>
    <row r="220" spans="1:6" ht="15" customHeight="1" outlineLevel="2" x14ac:dyDescent="0.25">
      <c r="A220" s="18">
        <v>46241</v>
      </c>
      <c r="B220" s="3">
        <v>11549170</v>
      </c>
      <c r="C220" s="3"/>
      <c r="D220" s="3"/>
      <c r="E220" s="3">
        <v>234</v>
      </c>
      <c r="F220" s="25">
        <v>400</v>
      </c>
    </row>
    <row r="221" spans="1:6" ht="15" customHeight="1" outlineLevel="2" x14ac:dyDescent="0.25">
      <c r="A221" s="18">
        <v>46244</v>
      </c>
      <c r="B221" s="3">
        <v>11549170</v>
      </c>
      <c r="C221" s="3"/>
      <c r="D221" s="3"/>
      <c r="E221" s="3">
        <v>353</v>
      </c>
      <c r="F221" s="25">
        <v>400</v>
      </c>
    </row>
    <row r="222" spans="1:6" ht="15" customHeight="1" outlineLevel="2" x14ac:dyDescent="0.25">
      <c r="A222" s="18">
        <v>46244</v>
      </c>
      <c r="B222" s="3">
        <v>11549170</v>
      </c>
      <c r="C222" s="3"/>
      <c r="D222" s="3"/>
      <c r="E222" s="3">
        <v>338</v>
      </c>
      <c r="F222" s="25">
        <v>400</v>
      </c>
    </row>
    <row r="223" spans="1:6" ht="15" customHeight="1" outlineLevel="2" x14ac:dyDescent="0.25">
      <c r="A223" s="18">
        <v>46246</v>
      </c>
      <c r="B223" s="3">
        <v>11549170</v>
      </c>
      <c r="C223" s="3"/>
      <c r="D223" s="3"/>
      <c r="E223" s="3">
        <v>340</v>
      </c>
      <c r="F223" s="25">
        <v>400</v>
      </c>
    </row>
    <row r="224" spans="1:6" ht="15" customHeight="1" outlineLevel="2" x14ac:dyDescent="0.25">
      <c r="A224" s="18">
        <v>46246</v>
      </c>
      <c r="B224" s="3">
        <v>11549170</v>
      </c>
      <c r="C224" s="3"/>
      <c r="D224" s="3"/>
      <c r="E224" s="3">
        <v>323</v>
      </c>
      <c r="F224" s="25">
        <v>400</v>
      </c>
    </row>
    <row r="225" spans="1:6" ht="15" customHeight="1" outlineLevel="2" x14ac:dyDescent="0.25">
      <c r="A225" s="18">
        <v>46251</v>
      </c>
      <c r="B225" s="3">
        <v>11549170</v>
      </c>
      <c r="C225" s="3"/>
      <c r="D225" s="3"/>
      <c r="E225" s="3">
        <v>379</v>
      </c>
      <c r="F225" s="25">
        <v>400</v>
      </c>
    </row>
    <row r="226" spans="1:6" ht="15" customHeight="1" outlineLevel="2" x14ac:dyDescent="0.25">
      <c r="A226" s="18">
        <v>46251</v>
      </c>
      <c r="B226" s="3">
        <v>11549170</v>
      </c>
      <c r="C226" s="3" t="s">
        <v>1188</v>
      </c>
      <c r="D226" s="3"/>
      <c r="E226" s="3">
        <v>337</v>
      </c>
      <c r="F226" s="25">
        <v>400</v>
      </c>
    </row>
    <row r="227" spans="1:6" ht="15" customHeight="1" outlineLevel="2" x14ac:dyDescent="0.25">
      <c r="A227" s="18">
        <v>46251</v>
      </c>
      <c r="B227" s="3">
        <v>11549170</v>
      </c>
      <c r="C227" s="3"/>
      <c r="D227" s="3"/>
      <c r="E227" s="3">
        <v>340</v>
      </c>
      <c r="F227" s="25">
        <v>400</v>
      </c>
    </row>
    <row r="228" spans="1:6" ht="15" customHeight="1" outlineLevel="2" x14ac:dyDescent="0.25">
      <c r="A228" s="18">
        <v>46253</v>
      </c>
      <c r="B228" s="3">
        <v>11549170</v>
      </c>
      <c r="C228" s="3"/>
      <c r="D228" s="3"/>
      <c r="E228" s="3">
        <v>224</v>
      </c>
      <c r="F228" s="25">
        <v>400</v>
      </c>
    </row>
    <row r="229" spans="1:6" ht="15" customHeight="1" outlineLevel="2" x14ac:dyDescent="0.25">
      <c r="A229" s="18">
        <v>46253</v>
      </c>
      <c r="B229" s="3">
        <v>11549170</v>
      </c>
      <c r="C229" s="3" t="s">
        <v>1196</v>
      </c>
      <c r="D229" s="3"/>
      <c r="E229" s="3">
        <v>241</v>
      </c>
      <c r="F229" s="25">
        <v>400</v>
      </c>
    </row>
    <row r="230" spans="1:6" ht="15" customHeight="1" outlineLevel="1" x14ac:dyDescent="0.25">
      <c r="A230" s="18"/>
      <c r="B230" s="19" t="s">
        <v>1278</v>
      </c>
      <c r="C230" s="3"/>
      <c r="D230" s="3"/>
      <c r="E230" s="19">
        <f>SUBTOTAL(9,E213:E229)</f>
        <v>5504</v>
      </c>
      <c r="F230" s="25"/>
    </row>
    <row r="231" spans="1:6" ht="15" customHeight="1" outlineLevel="2" x14ac:dyDescent="0.25">
      <c r="A231" s="27" t="s">
        <v>1077</v>
      </c>
      <c r="B231" s="23">
        <v>11549171</v>
      </c>
      <c r="C231" s="23"/>
      <c r="D231" s="23"/>
      <c r="E231" s="23">
        <v>212</v>
      </c>
      <c r="F231" s="28">
        <v>280</v>
      </c>
    </row>
    <row r="232" spans="1:6" ht="15" customHeight="1" outlineLevel="1" x14ac:dyDescent="0.25">
      <c r="A232" s="27"/>
      <c r="B232" s="22" t="s">
        <v>1279</v>
      </c>
      <c r="C232" s="23"/>
      <c r="D232" s="23"/>
      <c r="E232" s="22">
        <f>SUBTOTAL(9,E231:E231)</f>
        <v>212</v>
      </c>
      <c r="F232" s="28"/>
    </row>
    <row r="233" spans="1:6" ht="15" customHeight="1" outlineLevel="2" x14ac:dyDescent="0.25">
      <c r="A233" s="18">
        <v>46244</v>
      </c>
      <c r="B233" s="3">
        <v>11549204</v>
      </c>
      <c r="C233" s="3"/>
      <c r="D233" s="3"/>
      <c r="E233" s="3">
        <v>191</v>
      </c>
      <c r="F233" s="25">
        <v>210</v>
      </c>
    </row>
    <row r="234" spans="1:6" ht="15" customHeight="1" outlineLevel="2" x14ac:dyDescent="0.25">
      <c r="A234" s="15" t="s">
        <v>1102</v>
      </c>
      <c r="B234" s="3">
        <v>11549204</v>
      </c>
      <c r="C234" s="3"/>
      <c r="D234" s="3"/>
      <c r="E234" s="3">
        <v>176</v>
      </c>
      <c r="F234" s="25">
        <v>210</v>
      </c>
    </row>
    <row r="235" spans="1:6" ht="15" customHeight="1" outlineLevel="2" x14ac:dyDescent="0.25">
      <c r="A235" s="18">
        <v>46234</v>
      </c>
      <c r="B235" s="3">
        <v>11549204</v>
      </c>
      <c r="C235" s="3"/>
      <c r="D235" s="3"/>
      <c r="E235" s="3">
        <v>181</v>
      </c>
      <c r="F235" s="25">
        <v>210</v>
      </c>
    </row>
    <row r="236" spans="1:6" ht="15" customHeight="1" outlineLevel="2" x14ac:dyDescent="0.25">
      <c r="A236" s="18">
        <v>46244</v>
      </c>
      <c r="B236" s="3">
        <v>11549204</v>
      </c>
      <c r="C236" s="3"/>
      <c r="D236" s="3"/>
      <c r="E236" s="3">
        <v>197</v>
      </c>
      <c r="F236" s="25">
        <v>210</v>
      </c>
    </row>
    <row r="237" spans="1:6" ht="15" customHeight="1" outlineLevel="2" x14ac:dyDescent="0.25">
      <c r="A237" s="18">
        <v>46246</v>
      </c>
      <c r="B237" s="3">
        <v>11549204</v>
      </c>
      <c r="C237" s="3"/>
      <c r="D237" s="3"/>
      <c r="E237" s="3">
        <v>112</v>
      </c>
      <c r="F237" s="25">
        <v>210</v>
      </c>
    </row>
    <row r="238" spans="1:6" ht="15" customHeight="1" outlineLevel="1" x14ac:dyDescent="0.25">
      <c r="A238" s="18"/>
      <c r="B238" s="19" t="s">
        <v>1280</v>
      </c>
      <c r="C238" s="3"/>
      <c r="D238" s="3"/>
      <c r="E238" s="19">
        <f>SUM(E233:E237)</f>
        <v>857</v>
      </c>
      <c r="F238" s="25"/>
    </row>
    <row r="239" spans="1:6" ht="15" customHeight="1" outlineLevel="2" x14ac:dyDescent="0.25">
      <c r="A239" s="27" t="s">
        <v>1033</v>
      </c>
      <c r="B239" s="23">
        <v>11561114</v>
      </c>
      <c r="C239" s="23"/>
      <c r="D239" s="23"/>
      <c r="E239" s="23">
        <v>252</v>
      </c>
      <c r="F239" s="28">
        <v>400</v>
      </c>
    </row>
    <row r="240" spans="1:6" ht="15" customHeight="1" outlineLevel="1" x14ac:dyDescent="0.25">
      <c r="A240" s="27"/>
      <c r="B240" s="22" t="s">
        <v>1281</v>
      </c>
      <c r="C240" s="23"/>
      <c r="D240" s="23"/>
      <c r="E240" s="22">
        <f>SUBTOTAL(9,E239:E239)</f>
        <v>252</v>
      </c>
      <c r="F240" s="28"/>
    </row>
    <row r="241" spans="1:6" ht="15" customHeight="1" outlineLevel="2" x14ac:dyDescent="0.25">
      <c r="A241" s="18">
        <v>46234</v>
      </c>
      <c r="B241" s="3">
        <v>11561645</v>
      </c>
      <c r="C241" s="3"/>
      <c r="D241" s="3"/>
      <c r="E241" s="3">
        <v>1581</v>
      </c>
      <c r="F241" s="25">
        <v>4000</v>
      </c>
    </row>
    <row r="242" spans="1:6" ht="15" customHeight="1" outlineLevel="2" x14ac:dyDescent="0.25">
      <c r="A242" s="18">
        <v>46241</v>
      </c>
      <c r="B242" s="3">
        <v>11561645</v>
      </c>
      <c r="C242" s="3" t="s">
        <v>1165</v>
      </c>
      <c r="D242" s="3"/>
      <c r="E242" s="3">
        <v>2243</v>
      </c>
      <c r="F242" s="25">
        <v>4000</v>
      </c>
    </row>
    <row r="243" spans="1:6" ht="15" customHeight="1" outlineLevel="2" x14ac:dyDescent="0.25">
      <c r="A243" s="18">
        <v>46244</v>
      </c>
      <c r="B243" s="3">
        <v>11561645</v>
      </c>
      <c r="C243" s="3"/>
      <c r="D243" s="3"/>
      <c r="E243" s="3">
        <v>3536</v>
      </c>
      <c r="F243" s="25">
        <v>4000</v>
      </c>
    </row>
    <row r="244" spans="1:6" ht="15" customHeight="1" outlineLevel="2" x14ac:dyDescent="0.25">
      <c r="A244" s="18">
        <v>46246</v>
      </c>
      <c r="B244" s="3">
        <v>11561645</v>
      </c>
      <c r="C244" s="3"/>
      <c r="D244" s="3"/>
      <c r="E244" s="3">
        <v>2293</v>
      </c>
      <c r="F244" s="25">
        <v>4000</v>
      </c>
    </row>
    <row r="245" spans="1:6" ht="15" customHeight="1" outlineLevel="1" x14ac:dyDescent="0.25">
      <c r="A245" s="18"/>
      <c r="B245" s="19" t="s">
        <v>1282</v>
      </c>
      <c r="C245" s="3"/>
      <c r="D245" s="3"/>
      <c r="E245" s="19">
        <f>SUBTOTAL(9,E241:E244)</f>
        <v>9653</v>
      </c>
      <c r="F245" s="25"/>
    </row>
    <row r="246" spans="1:6" ht="15" customHeight="1" outlineLevel="2" x14ac:dyDescent="0.25">
      <c r="A246" s="27" t="s">
        <v>1102</v>
      </c>
      <c r="B246" s="23">
        <v>11561662</v>
      </c>
      <c r="C246" s="23"/>
      <c r="D246" s="23"/>
      <c r="E246" s="23" t="s">
        <v>1087</v>
      </c>
      <c r="F246" s="28">
        <v>1100</v>
      </c>
    </row>
    <row r="247" spans="1:6" ht="15" customHeight="1" outlineLevel="1" x14ac:dyDescent="0.25">
      <c r="A247" s="27"/>
      <c r="B247" s="22" t="s">
        <v>1283</v>
      </c>
      <c r="C247" s="23"/>
      <c r="D247" s="23"/>
      <c r="E247" s="22">
        <f>SUBTOTAL(9,E246:E246)</f>
        <v>0</v>
      </c>
      <c r="F247" s="28"/>
    </row>
    <row r="248" spans="1:6" ht="15" customHeight="1" outlineLevel="2" x14ac:dyDescent="0.25">
      <c r="A248" s="18">
        <v>46255</v>
      </c>
      <c r="B248" s="3">
        <v>11562515</v>
      </c>
      <c r="C248" s="3"/>
      <c r="D248" s="3"/>
      <c r="E248" s="3">
        <v>1665</v>
      </c>
      <c r="F248" s="25">
        <v>1900</v>
      </c>
    </row>
    <row r="249" spans="1:6" ht="15" customHeight="1" outlineLevel="2" x14ac:dyDescent="0.25">
      <c r="A249" s="18">
        <v>46255</v>
      </c>
      <c r="B249" s="3">
        <v>11562515</v>
      </c>
      <c r="C249" s="3"/>
      <c r="D249" s="3"/>
      <c r="E249" s="3">
        <v>1080</v>
      </c>
      <c r="F249" s="25">
        <v>1900</v>
      </c>
    </row>
    <row r="250" spans="1:6" ht="15" customHeight="1" outlineLevel="1" x14ac:dyDescent="0.25">
      <c r="A250" s="18"/>
      <c r="B250" s="19" t="s">
        <v>1284</v>
      </c>
      <c r="C250" s="3"/>
      <c r="D250" s="3"/>
      <c r="E250" s="19">
        <f>SUBTOTAL(9,E248:E249)</f>
        <v>2745</v>
      </c>
      <c r="F250" s="25"/>
    </row>
    <row r="251" spans="1:6" ht="15" customHeight="1" outlineLevel="2" x14ac:dyDescent="0.25">
      <c r="A251" s="27" t="s">
        <v>1102</v>
      </c>
      <c r="B251" s="23">
        <v>11569605</v>
      </c>
      <c r="C251" s="23"/>
      <c r="D251" s="23"/>
      <c r="E251" s="23" t="s">
        <v>1087</v>
      </c>
      <c r="F251" s="28">
        <v>1500</v>
      </c>
    </row>
    <row r="252" spans="1:6" ht="15" customHeight="1" outlineLevel="1" x14ac:dyDescent="0.25">
      <c r="A252" s="27"/>
      <c r="B252" s="22" t="s">
        <v>1285</v>
      </c>
      <c r="C252" s="23"/>
      <c r="D252" s="23"/>
      <c r="E252" s="22">
        <f>SUBTOTAL(9,E251:E251)</f>
        <v>0</v>
      </c>
      <c r="F252" s="28"/>
    </row>
    <row r="253" spans="1:6" ht="15" customHeight="1" outlineLevel="2" x14ac:dyDescent="0.25">
      <c r="A253" s="27" t="s">
        <v>1035</v>
      </c>
      <c r="B253" s="23">
        <v>11569637</v>
      </c>
      <c r="C253" s="23"/>
      <c r="D253" s="23"/>
      <c r="E253" s="23">
        <v>584</v>
      </c>
      <c r="F253" s="28">
        <v>900</v>
      </c>
    </row>
    <row r="254" spans="1:6" ht="15" customHeight="1" outlineLevel="1" x14ac:dyDescent="0.25">
      <c r="A254" s="27"/>
      <c r="B254" s="22" t="s">
        <v>1286</v>
      </c>
      <c r="C254" s="23"/>
      <c r="D254" s="23"/>
      <c r="E254" s="22">
        <f>SUBTOTAL(9,E253:E253)</f>
        <v>584</v>
      </c>
      <c r="F254" s="28"/>
    </row>
    <row r="255" spans="1:6" ht="15" customHeight="1" outlineLevel="2" x14ac:dyDescent="0.25">
      <c r="A255" s="15" t="s">
        <v>1034</v>
      </c>
      <c r="B255" s="3">
        <v>11588293</v>
      </c>
      <c r="C255" s="3"/>
      <c r="D255" s="3"/>
      <c r="E255" s="3" t="s">
        <v>1087</v>
      </c>
      <c r="F255" s="25">
        <v>1150</v>
      </c>
    </row>
    <row r="256" spans="1:6" ht="15" customHeight="1" outlineLevel="2" x14ac:dyDescent="0.25">
      <c r="A256" s="18">
        <v>46255</v>
      </c>
      <c r="B256" s="3">
        <v>11588293</v>
      </c>
      <c r="C256" s="3"/>
      <c r="D256" s="3"/>
      <c r="E256" s="3">
        <v>585</v>
      </c>
      <c r="F256" s="25">
        <v>1150</v>
      </c>
    </row>
    <row r="257" spans="1:6" ht="15" customHeight="1" outlineLevel="2" x14ac:dyDescent="0.25">
      <c r="A257" s="18">
        <v>46255</v>
      </c>
      <c r="B257" s="3">
        <v>11588293</v>
      </c>
      <c r="C257" s="3" t="s">
        <v>1214</v>
      </c>
      <c r="D257" s="3"/>
      <c r="E257" s="3">
        <v>722</v>
      </c>
      <c r="F257" s="25">
        <v>1150</v>
      </c>
    </row>
    <row r="258" spans="1:6" ht="15" customHeight="1" outlineLevel="1" x14ac:dyDescent="0.25">
      <c r="A258" s="18"/>
      <c r="B258" s="19" t="s">
        <v>1287</v>
      </c>
      <c r="C258" s="3"/>
      <c r="D258" s="3"/>
      <c r="E258" s="3">
        <f>SUBTOTAL(9,E255:E257)</f>
        <v>1307</v>
      </c>
      <c r="F258" s="25"/>
    </row>
    <row r="259" spans="1:6" ht="15" customHeight="1" outlineLevel="2" x14ac:dyDescent="0.25">
      <c r="A259" s="27" t="s">
        <v>1077</v>
      </c>
      <c r="B259" s="23">
        <v>11588325</v>
      </c>
      <c r="C259" s="23"/>
      <c r="D259" s="23"/>
      <c r="E259" s="23">
        <v>450</v>
      </c>
      <c r="F259" s="28">
        <v>500</v>
      </c>
    </row>
    <row r="260" spans="1:6" ht="15" customHeight="1" outlineLevel="1" x14ac:dyDescent="0.25">
      <c r="A260" s="27"/>
      <c r="B260" s="22" t="s">
        <v>1288</v>
      </c>
      <c r="C260" s="23"/>
      <c r="D260" s="23"/>
      <c r="E260" s="23">
        <f>SUBTOTAL(9,E259:E259)</f>
        <v>450</v>
      </c>
      <c r="F260" s="28"/>
    </row>
    <row r="261" spans="1:6" ht="15" customHeight="1" outlineLevel="2" x14ac:dyDescent="0.25">
      <c r="A261" s="27" t="s">
        <v>1102</v>
      </c>
      <c r="B261" s="23">
        <v>11588709</v>
      </c>
      <c r="C261" s="23"/>
      <c r="D261" s="23"/>
      <c r="E261" s="23">
        <v>1800</v>
      </c>
      <c r="F261" s="28">
        <v>2200</v>
      </c>
    </row>
    <row r="262" spans="1:6" ht="15" customHeight="1" outlineLevel="1" x14ac:dyDescent="0.25">
      <c r="A262" s="27"/>
      <c r="B262" s="22" t="s">
        <v>1289</v>
      </c>
      <c r="C262" s="23"/>
      <c r="D262" s="23"/>
      <c r="E262" s="23">
        <f>SUBTOTAL(9,E261:E261)</f>
        <v>1800</v>
      </c>
      <c r="F262" s="28"/>
    </row>
    <row r="263" spans="1:6" ht="15" customHeight="1" outlineLevel="2" x14ac:dyDescent="0.25">
      <c r="A263" s="15" t="s">
        <v>1036</v>
      </c>
      <c r="B263" s="3">
        <v>11588714</v>
      </c>
      <c r="C263" s="3"/>
      <c r="D263" s="3"/>
      <c r="E263" s="3">
        <v>1273</v>
      </c>
      <c r="F263" s="25">
        <v>1400</v>
      </c>
    </row>
    <row r="264" spans="1:6" ht="15" customHeight="1" outlineLevel="2" x14ac:dyDescent="0.25">
      <c r="A264" s="15" t="s">
        <v>1034</v>
      </c>
      <c r="B264" s="3">
        <v>11588714</v>
      </c>
      <c r="C264" s="3"/>
      <c r="D264" s="3"/>
      <c r="E264" s="3">
        <v>848</v>
      </c>
      <c r="F264" s="25">
        <v>1400</v>
      </c>
    </row>
    <row r="265" spans="1:6" ht="15" customHeight="1" outlineLevel="2" x14ac:dyDescent="0.25">
      <c r="A265" s="18">
        <v>46238</v>
      </c>
      <c r="B265" s="3">
        <v>11588714</v>
      </c>
      <c r="C265" s="3"/>
      <c r="D265" s="3"/>
      <c r="E265" s="3">
        <v>1011</v>
      </c>
      <c r="F265" s="25">
        <v>1400</v>
      </c>
    </row>
    <row r="266" spans="1:6" ht="15" customHeight="1" outlineLevel="2" x14ac:dyDescent="0.25">
      <c r="A266" s="18">
        <v>46255</v>
      </c>
      <c r="B266" s="3">
        <v>11588714</v>
      </c>
      <c r="C266" s="3"/>
      <c r="D266" s="3"/>
      <c r="E266" s="3">
        <v>1302</v>
      </c>
      <c r="F266" s="25">
        <v>1400</v>
      </c>
    </row>
    <row r="267" spans="1:6" ht="15" customHeight="1" outlineLevel="1" x14ac:dyDescent="0.25">
      <c r="A267" s="18"/>
      <c r="B267" s="19" t="s">
        <v>1290</v>
      </c>
      <c r="C267" s="3"/>
      <c r="D267" s="3"/>
      <c r="E267" s="19">
        <f>SUBTOTAL(9,E263:E266)</f>
        <v>4434</v>
      </c>
      <c r="F267" s="25"/>
    </row>
    <row r="268" spans="1:6" ht="15" customHeight="1" outlineLevel="2" x14ac:dyDescent="0.25">
      <c r="A268" s="29">
        <v>46234</v>
      </c>
      <c r="B268" s="23">
        <v>11601733</v>
      </c>
      <c r="C268" s="23" t="s">
        <v>1136</v>
      </c>
      <c r="D268" s="23"/>
      <c r="E268" s="23">
        <v>2742</v>
      </c>
      <c r="F268" s="28">
        <v>5100</v>
      </c>
    </row>
    <row r="269" spans="1:6" ht="15" customHeight="1" outlineLevel="1" x14ac:dyDescent="0.25">
      <c r="A269" s="29"/>
      <c r="B269" s="22" t="s">
        <v>1291</v>
      </c>
      <c r="C269" s="23"/>
      <c r="D269" s="23"/>
      <c r="E269" s="22">
        <f>SUBTOTAL(9,E268:E268)</f>
        <v>2742</v>
      </c>
      <c r="F269" s="28"/>
    </row>
    <row r="270" spans="1:6" ht="15" customHeight="1" outlineLevel="2" x14ac:dyDescent="0.25">
      <c r="A270" s="15" t="s">
        <v>1034</v>
      </c>
      <c r="B270" s="3">
        <v>11602031</v>
      </c>
      <c r="C270" s="3"/>
      <c r="D270" s="3"/>
      <c r="E270" s="3">
        <v>93</v>
      </c>
      <c r="F270" s="25">
        <v>145</v>
      </c>
    </row>
    <row r="271" spans="1:6" ht="15" customHeight="1" outlineLevel="2" x14ac:dyDescent="0.25">
      <c r="A271" s="15" t="s">
        <v>1077</v>
      </c>
      <c r="B271" s="3">
        <v>11602031</v>
      </c>
      <c r="C271" s="3"/>
      <c r="D271" s="3"/>
      <c r="E271" s="3">
        <v>103</v>
      </c>
      <c r="F271" s="25">
        <v>145</v>
      </c>
    </row>
    <row r="272" spans="1:6" ht="15" customHeight="1" outlineLevel="2" x14ac:dyDescent="0.25">
      <c r="A272" s="15" t="s">
        <v>1102</v>
      </c>
      <c r="B272" s="3">
        <v>11602031</v>
      </c>
      <c r="C272" s="3"/>
      <c r="D272" s="3"/>
      <c r="E272" s="3">
        <v>117</v>
      </c>
      <c r="F272" s="25">
        <v>145</v>
      </c>
    </row>
    <row r="273" spans="1:6" ht="15" customHeight="1" outlineLevel="2" x14ac:dyDescent="0.25">
      <c r="A273" s="18">
        <v>46234</v>
      </c>
      <c r="B273" s="3">
        <v>11602031</v>
      </c>
      <c r="C273" s="3"/>
      <c r="D273" s="3"/>
      <c r="E273" s="3">
        <v>108</v>
      </c>
      <c r="F273" s="25">
        <v>145</v>
      </c>
    </row>
    <row r="274" spans="1:6" ht="15" customHeight="1" outlineLevel="2" x14ac:dyDescent="0.25">
      <c r="A274" s="18">
        <v>46255</v>
      </c>
      <c r="B274" s="3">
        <v>11602031</v>
      </c>
      <c r="C274" s="3"/>
      <c r="D274" s="3"/>
      <c r="E274" s="3">
        <v>82</v>
      </c>
      <c r="F274" s="25">
        <v>145</v>
      </c>
    </row>
    <row r="275" spans="1:6" ht="15" customHeight="1" outlineLevel="1" x14ac:dyDescent="0.25">
      <c r="A275" s="18"/>
      <c r="B275" s="19" t="s">
        <v>1292</v>
      </c>
      <c r="C275" s="3"/>
      <c r="D275" s="3"/>
      <c r="E275" s="19">
        <f>SUBTOTAL(9,E270:E274)</f>
        <v>503</v>
      </c>
      <c r="F275" s="25"/>
    </row>
    <row r="276" spans="1:6" ht="15" customHeight="1" outlineLevel="2" x14ac:dyDescent="0.25">
      <c r="A276" s="15" t="s">
        <v>1036</v>
      </c>
      <c r="B276" s="3">
        <v>11602292</v>
      </c>
      <c r="C276" s="3"/>
      <c r="D276" s="3"/>
      <c r="E276" s="3">
        <v>255</v>
      </c>
      <c r="F276" s="25">
        <v>1000</v>
      </c>
    </row>
    <row r="277" spans="1:6" ht="15" customHeight="1" outlineLevel="2" x14ac:dyDescent="0.25">
      <c r="A277" s="18">
        <v>46241</v>
      </c>
      <c r="B277" s="3">
        <v>11602292</v>
      </c>
      <c r="C277" s="3" t="s">
        <v>1167</v>
      </c>
      <c r="D277" s="3"/>
      <c r="E277" s="3">
        <v>696</v>
      </c>
      <c r="F277" s="25">
        <v>1000</v>
      </c>
    </row>
    <row r="278" spans="1:6" ht="15" customHeight="1" outlineLevel="1" x14ac:dyDescent="0.25">
      <c r="A278" s="18"/>
      <c r="B278" s="19" t="s">
        <v>1293</v>
      </c>
      <c r="C278" s="3"/>
      <c r="D278" s="3"/>
      <c r="E278" s="19">
        <f>SUBTOTAL(9,E276:E277)</f>
        <v>951</v>
      </c>
      <c r="F278" s="25"/>
    </row>
    <row r="279" spans="1:6" ht="15" customHeight="1" outlineLevel="2" x14ac:dyDescent="0.25">
      <c r="A279" s="15" t="s">
        <v>1035</v>
      </c>
      <c r="B279" s="3">
        <v>11602326</v>
      </c>
      <c r="C279" s="3"/>
      <c r="D279" s="3"/>
      <c r="E279" s="3" t="s">
        <v>1087</v>
      </c>
      <c r="F279" s="25"/>
    </row>
    <row r="280" spans="1:6" ht="15" customHeight="1" outlineLevel="2" x14ac:dyDescent="0.25">
      <c r="A280" s="18">
        <v>46234</v>
      </c>
      <c r="B280" s="3">
        <v>11602326</v>
      </c>
      <c r="C280" s="3"/>
      <c r="D280" s="3"/>
      <c r="E280" s="3">
        <v>91</v>
      </c>
      <c r="F280" s="25">
        <v>120</v>
      </c>
    </row>
    <row r="281" spans="1:6" ht="15" customHeight="1" outlineLevel="1" x14ac:dyDescent="0.25">
      <c r="A281" s="18"/>
      <c r="B281" s="19" t="s">
        <v>1294</v>
      </c>
      <c r="C281" s="3"/>
      <c r="D281" s="3"/>
      <c r="E281" s="19">
        <f>SUBTOTAL(9,E279:E280)</f>
        <v>91</v>
      </c>
      <c r="F281" s="25"/>
    </row>
    <row r="282" spans="1:6" ht="15" customHeight="1" outlineLevel="2" x14ac:dyDescent="0.25">
      <c r="A282" s="18">
        <v>46253</v>
      </c>
      <c r="B282" s="3">
        <v>11602659</v>
      </c>
      <c r="C282" s="3" t="s">
        <v>1198</v>
      </c>
      <c r="D282" s="3"/>
      <c r="E282" s="3">
        <v>310</v>
      </c>
      <c r="F282" s="25">
        <v>550</v>
      </c>
    </row>
    <row r="283" spans="1:6" ht="15" customHeight="1" outlineLevel="2" x14ac:dyDescent="0.25">
      <c r="A283" s="18">
        <v>46255</v>
      </c>
      <c r="B283" s="3">
        <v>11602659</v>
      </c>
      <c r="C283" s="3"/>
      <c r="D283" s="3"/>
      <c r="E283" s="3">
        <v>482</v>
      </c>
      <c r="F283" s="25">
        <v>550</v>
      </c>
    </row>
    <row r="284" spans="1:6" ht="15" customHeight="1" outlineLevel="1" x14ac:dyDescent="0.25">
      <c r="A284" s="18"/>
      <c r="B284" s="19" t="s">
        <v>1295</v>
      </c>
      <c r="C284" s="3"/>
      <c r="D284" s="3"/>
      <c r="E284" s="19">
        <f>SUBTOTAL(9,E282:E283)</f>
        <v>792</v>
      </c>
      <c r="F284" s="25"/>
    </row>
    <row r="285" spans="1:6" ht="15" customHeight="1" outlineLevel="2" x14ac:dyDescent="0.25">
      <c r="A285" s="27" t="s">
        <v>1036</v>
      </c>
      <c r="B285" s="23">
        <v>11602904</v>
      </c>
      <c r="C285" s="23"/>
      <c r="D285" s="23"/>
      <c r="E285" s="23">
        <v>867</v>
      </c>
      <c r="F285" s="28"/>
    </row>
    <row r="286" spans="1:6" ht="15" customHeight="1" outlineLevel="1" x14ac:dyDescent="0.25">
      <c r="A286" s="27"/>
      <c r="B286" s="22" t="s">
        <v>1296</v>
      </c>
      <c r="C286" s="23"/>
      <c r="D286" s="23"/>
      <c r="E286" s="22">
        <f>SUBTOTAL(9,E285:E285)</f>
        <v>867</v>
      </c>
      <c r="F286" s="28">
        <v>1200</v>
      </c>
    </row>
    <row r="287" spans="1:6" ht="15" customHeight="1" outlineLevel="2" x14ac:dyDescent="0.25">
      <c r="A287" s="27" t="s">
        <v>1112</v>
      </c>
      <c r="B287" s="23">
        <v>11603904</v>
      </c>
      <c r="C287" s="23"/>
      <c r="D287" s="23"/>
      <c r="E287" s="23">
        <v>493</v>
      </c>
      <c r="F287" s="28">
        <v>600</v>
      </c>
    </row>
    <row r="288" spans="1:6" ht="15" customHeight="1" outlineLevel="1" x14ac:dyDescent="0.25">
      <c r="A288" s="27"/>
      <c r="B288" s="22" t="s">
        <v>1297</v>
      </c>
      <c r="C288" s="23"/>
      <c r="D288" s="23"/>
      <c r="E288" s="22">
        <f>SUBTOTAL(9,E287:E287)</f>
        <v>493</v>
      </c>
      <c r="F288" s="28"/>
    </row>
    <row r="289" spans="1:6" ht="15" customHeight="1" outlineLevel="2" x14ac:dyDescent="0.25">
      <c r="A289" s="27" t="s">
        <v>1036</v>
      </c>
      <c r="B289" s="23">
        <v>11604000</v>
      </c>
      <c r="C289" s="23"/>
      <c r="D289" s="23"/>
      <c r="E289" s="23">
        <v>513</v>
      </c>
      <c r="F289" s="28">
        <v>585</v>
      </c>
    </row>
    <row r="290" spans="1:6" ht="15" customHeight="1" outlineLevel="1" x14ac:dyDescent="0.25">
      <c r="A290" s="27"/>
      <c r="B290" s="22" t="s">
        <v>1298</v>
      </c>
      <c r="C290" s="23"/>
      <c r="D290" s="23"/>
      <c r="E290" s="22">
        <f>SUBTOTAL(9,E289:E289)</f>
        <v>513</v>
      </c>
      <c r="F290" s="28"/>
    </row>
    <row r="291" spans="1:6" ht="15" customHeight="1" outlineLevel="2" x14ac:dyDescent="0.25">
      <c r="A291" s="27" t="s">
        <v>1034</v>
      </c>
      <c r="B291" s="23">
        <v>11604183</v>
      </c>
      <c r="C291" s="23"/>
      <c r="D291" s="23"/>
      <c r="E291" s="23">
        <v>272</v>
      </c>
      <c r="F291" s="28">
        <v>370</v>
      </c>
    </row>
    <row r="292" spans="1:6" ht="15" customHeight="1" outlineLevel="1" x14ac:dyDescent="0.25">
      <c r="A292" s="27"/>
      <c r="B292" s="22" t="s">
        <v>1299</v>
      </c>
      <c r="C292" s="23"/>
      <c r="D292" s="23"/>
      <c r="E292" s="22">
        <f>SUBTOTAL(9,E291:E291)</f>
        <v>272</v>
      </c>
      <c r="F292" s="28"/>
    </row>
    <row r="293" spans="1:6" ht="15" customHeight="1" outlineLevel="2" x14ac:dyDescent="0.25">
      <c r="A293" s="27" t="s">
        <v>1092</v>
      </c>
      <c r="B293" s="23">
        <v>11604820</v>
      </c>
      <c r="C293" s="23"/>
      <c r="D293" s="23"/>
      <c r="E293" s="23">
        <v>313</v>
      </c>
      <c r="F293" s="28">
        <v>330</v>
      </c>
    </row>
    <row r="294" spans="1:6" ht="15" customHeight="1" outlineLevel="1" x14ac:dyDescent="0.25">
      <c r="A294" s="27"/>
      <c r="B294" s="22" t="s">
        <v>1300</v>
      </c>
      <c r="C294" s="23"/>
      <c r="D294" s="23"/>
      <c r="E294" s="22">
        <f>SUBTOTAL(9,E293:E293)</f>
        <v>313</v>
      </c>
      <c r="F294" s="28"/>
    </row>
    <row r="295" spans="1:6" ht="15" customHeight="1" outlineLevel="2" x14ac:dyDescent="0.25">
      <c r="A295" s="15" t="s">
        <v>1033</v>
      </c>
      <c r="B295" s="3">
        <v>11604852</v>
      </c>
      <c r="C295" s="3"/>
      <c r="D295" s="3"/>
      <c r="E295" s="3">
        <v>375</v>
      </c>
      <c r="F295" s="25">
        <v>550</v>
      </c>
    </row>
    <row r="296" spans="1:6" ht="15" customHeight="1" outlineLevel="2" x14ac:dyDescent="0.25">
      <c r="A296" s="15" t="s">
        <v>1035</v>
      </c>
      <c r="B296" s="3">
        <v>11604852</v>
      </c>
      <c r="C296" s="3"/>
      <c r="D296" s="3"/>
      <c r="E296" s="3" t="s">
        <v>1087</v>
      </c>
      <c r="F296" s="25"/>
    </row>
    <row r="297" spans="1:6" ht="15" customHeight="1" outlineLevel="1" x14ac:dyDescent="0.25">
      <c r="A297" s="15"/>
      <c r="B297" s="19" t="s">
        <v>1301</v>
      </c>
      <c r="C297" s="3"/>
      <c r="D297" s="3"/>
      <c r="E297" s="19">
        <f>SUBTOTAL(9,E295:E296)</f>
        <v>375</v>
      </c>
      <c r="F297" s="25"/>
    </row>
    <row r="298" spans="1:6" ht="15" customHeight="1" outlineLevel="2" x14ac:dyDescent="0.25">
      <c r="A298" s="18">
        <v>46234</v>
      </c>
      <c r="B298" s="3">
        <v>11609280</v>
      </c>
      <c r="C298" s="3"/>
      <c r="D298" s="3"/>
      <c r="E298" s="3">
        <v>1245</v>
      </c>
      <c r="F298" s="25">
        <v>2000</v>
      </c>
    </row>
    <row r="299" spans="1:6" ht="15" customHeight="1" outlineLevel="2" x14ac:dyDescent="0.25">
      <c r="A299" s="15" t="s">
        <v>1112</v>
      </c>
      <c r="B299" s="3">
        <v>11609280</v>
      </c>
      <c r="C299" s="3"/>
      <c r="D299" s="3"/>
      <c r="E299" s="3">
        <v>1245</v>
      </c>
      <c r="F299" s="25">
        <v>2000</v>
      </c>
    </row>
    <row r="300" spans="1:6" ht="15" customHeight="1" outlineLevel="1" x14ac:dyDescent="0.25">
      <c r="A300" s="15"/>
      <c r="B300" s="19" t="s">
        <v>1302</v>
      </c>
      <c r="C300" s="3"/>
      <c r="D300" s="3"/>
      <c r="E300" s="19">
        <f>SUBTOTAL(9,E298:E299)</f>
        <v>2490</v>
      </c>
      <c r="F300" s="25"/>
    </row>
    <row r="301" spans="1:6" ht="15" customHeight="1" outlineLevel="2" x14ac:dyDescent="0.25">
      <c r="A301" s="29">
        <v>46251</v>
      </c>
      <c r="B301" s="23">
        <v>11609746</v>
      </c>
      <c r="C301" s="23" t="s">
        <v>1190</v>
      </c>
      <c r="D301" s="23"/>
      <c r="E301" s="23">
        <v>1800</v>
      </c>
      <c r="F301" s="28">
        <v>2200</v>
      </c>
    </row>
    <row r="302" spans="1:6" ht="15" customHeight="1" outlineLevel="1" x14ac:dyDescent="0.25">
      <c r="A302" s="29"/>
      <c r="B302" s="22" t="s">
        <v>1303</v>
      </c>
      <c r="C302" s="23"/>
      <c r="D302" s="23"/>
      <c r="E302" s="22">
        <f>SUBTOTAL(9,E301:E301)</f>
        <v>1800</v>
      </c>
      <c r="F302" s="28"/>
    </row>
    <row r="303" spans="1:6" ht="15" customHeight="1" outlineLevel="2" x14ac:dyDescent="0.25">
      <c r="A303" s="27" t="s">
        <v>1035</v>
      </c>
      <c r="B303" s="23">
        <v>11609826</v>
      </c>
      <c r="C303" s="23"/>
      <c r="D303" s="23"/>
      <c r="E303" s="23">
        <v>120</v>
      </c>
      <c r="F303" s="28">
        <v>175</v>
      </c>
    </row>
    <row r="304" spans="1:6" ht="15" customHeight="1" outlineLevel="1" x14ac:dyDescent="0.25">
      <c r="A304" s="27"/>
      <c r="B304" s="22" t="s">
        <v>1304</v>
      </c>
      <c r="C304" s="23"/>
      <c r="D304" s="23"/>
      <c r="E304" s="22">
        <f>SUBTOTAL(9,E303:E303)</f>
        <v>120</v>
      </c>
      <c r="F304" s="28"/>
    </row>
    <row r="305" spans="1:6" ht="15" customHeight="1" outlineLevel="2" x14ac:dyDescent="0.25">
      <c r="A305" s="18">
        <v>46234</v>
      </c>
      <c r="B305" s="3">
        <v>11610091</v>
      </c>
      <c r="C305" s="3"/>
      <c r="D305" s="3"/>
      <c r="E305" s="3">
        <v>2270</v>
      </c>
      <c r="F305" s="25">
        <v>2500</v>
      </c>
    </row>
    <row r="306" spans="1:6" ht="15" customHeight="1" outlineLevel="2" x14ac:dyDescent="0.25">
      <c r="A306" s="18">
        <v>46234</v>
      </c>
      <c r="B306" s="3">
        <v>11610091</v>
      </c>
      <c r="C306" s="3"/>
      <c r="D306" s="3"/>
      <c r="E306" s="3">
        <v>1790</v>
      </c>
      <c r="F306" s="25">
        <v>2500</v>
      </c>
    </row>
    <row r="307" spans="1:6" ht="15" customHeight="1" outlineLevel="1" x14ac:dyDescent="0.25">
      <c r="A307" s="18"/>
      <c r="B307" s="19" t="s">
        <v>1305</v>
      </c>
      <c r="C307" s="3"/>
      <c r="D307" s="3"/>
      <c r="E307" s="19">
        <f>SUBTOTAL(9,E305:E306)</f>
        <v>4060</v>
      </c>
      <c r="F307" s="25"/>
    </row>
    <row r="308" spans="1:6" ht="15" customHeight="1" outlineLevel="2" x14ac:dyDescent="0.25">
      <c r="A308" s="15" t="s">
        <v>1034</v>
      </c>
      <c r="B308" s="3">
        <v>11610126</v>
      </c>
      <c r="C308" s="3"/>
      <c r="D308" s="3"/>
      <c r="E308" s="3">
        <v>610</v>
      </c>
      <c r="F308" s="25">
        <v>1200</v>
      </c>
    </row>
    <row r="309" spans="1:6" ht="15" customHeight="1" outlineLevel="2" x14ac:dyDescent="0.25">
      <c r="A309" s="18">
        <v>46251</v>
      </c>
      <c r="B309" s="3">
        <v>11610126</v>
      </c>
      <c r="C309" s="3"/>
      <c r="D309" s="3"/>
      <c r="E309" s="3">
        <v>1000</v>
      </c>
      <c r="F309" s="25">
        <v>1200</v>
      </c>
    </row>
    <row r="310" spans="1:6" ht="15" customHeight="1" outlineLevel="1" x14ac:dyDescent="0.25">
      <c r="A310" s="18"/>
      <c r="B310" s="19" t="s">
        <v>1306</v>
      </c>
      <c r="C310" s="3"/>
      <c r="D310" s="3"/>
      <c r="E310" s="19">
        <f>SUBTOTAL(9,E308:E309)</f>
        <v>1610</v>
      </c>
      <c r="F310" s="25"/>
    </row>
    <row r="311" spans="1:6" ht="15" customHeight="1" outlineLevel="2" x14ac:dyDescent="0.25">
      <c r="A311" s="15" t="s">
        <v>1034</v>
      </c>
      <c r="B311" s="3">
        <v>11610128</v>
      </c>
      <c r="C311" s="3"/>
      <c r="D311" s="3"/>
      <c r="E311" s="3">
        <v>898</v>
      </c>
      <c r="F311" s="25">
        <v>1125</v>
      </c>
    </row>
    <row r="312" spans="1:6" ht="15" customHeight="1" outlineLevel="2" x14ac:dyDescent="0.25">
      <c r="A312" s="18">
        <v>46255</v>
      </c>
      <c r="B312" s="3">
        <v>11610128</v>
      </c>
      <c r="C312" s="3"/>
      <c r="D312" s="3"/>
      <c r="E312" s="3">
        <v>990</v>
      </c>
      <c r="F312" s="25">
        <v>1125</v>
      </c>
    </row>
    <row r="313" spans="1:6" ht="15" customHeight="1" outlineLevel="1" x14ac:dyDescent="0.25">
      <c r="A313" s="18"/>
      <c r="B313" s="19" t="s">
        <v>1307</v>
      </c>
      <c r="C313" s="3"/>
      <c r="D313" s="3"/>
      <c r="E313" s="19">
        <f>SUBTOTAL(9,E311:E312)</f>
        <v>1888</v>
      </c>
      <c r="F313" s="25"/>
    </row>
    <row r="314" spans="1:6" ht="15" customHeight="1" outlineLevel="2" x14ac:dyDescent="0.25">
      <c r="A314" s="27" t="s">
        <v>1033</v>
      </c>
      <c r="B314" s="23">
        <v>11611121</v>
      </c>
      <c r="C314" s="23"/>
      <c r="D314" s="23"/>
      <c r="E314" s="23">
        <v>612</v>
      </c>
      <c r="F314" s="28">
        <v>900</v>
      </c>
    </row>
    <row r="315" spans="1:6" ht="15" customHeight="1" outlineLevel="1" x14ac:dyDescent="0.25">
      <c r="A315" s="27"/>
      <c r="B315" s="22" t="s">
        <v>1308</v>
      </c>
      <c r="C315" s="23"/>
      <c r="D315" s="23"/>
      <c r="E315" s="22">
        <f>SUBTOTAL(9,E314:E314)</f>
        <v>612</v>
      </c>
      <c r="F315" s="28"/>
    </row>
    <row r="316" spans="1:6" ht="15" customHeight="1" outlineLevel="2" x14ac:dyDescent="0.25">
      <c r="A316" s="27" t="s">
        <v>1033</v>
      </c>
      <c r="B316" s="23">
        <v>11611122</v>
      </c>
      <c r="C316" s="23"/>
      <c r="D316" s="23"/>
      <c r="E316" s="23">
        <v>1489</v>
      </c>
      <c r="F316" s="28">
        <v>1850</v>
      </c>
    </row>
    <row r="317" spans="1:6" ht="15" customHeight="1" outlineLevel="1" x14ac:dyDescent="0.25">
      <c r="A317" s="27"/>
      <c r="B317" s="22" t="s">
        <v>1309</v>
      </c>
      <c r="C317" s="23"/>
      <c r="D317" s="23"/>
      <c r="E317" s="22">
        <f>SUBTOTAL(9,E316:E316)</f>
        <v>1489</v>
      </c>
      <c r="F317" s="28"/>
    </row>
    <row r="318" spans="1:6" ht="15" customHeight="1" outlineLevel="2" x14ac:dyDescent="0.25">
      <c r="A318" s="18">
        <v>46234</v>
      </c>
      <c r="B318" s="3">
        <v>11611548</v>
      </c>
      <c r="C318" s="3"/>
      <c r="D318" s="3"/>
      <c r="E318" s="3">
        <v>81</v>
      </c>
      <c r="F318" s="25">
        <v>100</v>
      </c>
    </row>
    <row r="319" spans="1:6" ht="15" customHeight="1" outlineLevel="2" x14ac:dyDescent="0.25">
      <c r="A319" s="15" t="s">
        <v>1036</v>
      </c>
      <c r="B319" s="3">
        <v>11611548</v>
      </c>
      <c r="C319" s="3"/>
      <c r="D319" s="3"/>
      <c r="E319" s="3">
        <v>89</v>
      </c>
      <c r="F319" s="25">
        <v>100</v>
      </c>
    </row>
    <row r="320" spans="1:6" ht="15" customHeight="1" outlineLevel="2" x14ac:dyDescent="0.25">
      <c r="A320" s="15" t="s">
        <v>1077</v>
      </c>
      <c r="B320" s="3">
        <v>11611548</v>
      </c>
      <c r="C320" s="3"/>
      <c r="D320" s="3"/>
      <c r="E320" s="3">
        <v>81</v>
      </c>
      <c r="F320" s="25">
        <v>100</v>
      </c>
    </row>
    <row r="321" spans="1:6" ht="15" customHeight="1" outlineLevel="2" x14ac:dyDescent="0.25">
      <c r="A321" s="15" t="s">
        <v>1092</v>
      </c>
      <c r="B321" s="3">
        <v>11611548</v>
      </c>
      <c r="C321" s="3"/>
      <c r="D321" s="3"/>
      <c r="E321" s="3">
        <v>52</v>
      </c>
      <c r="F321" s="25">
        <v>100</v>
      </c>
    </row>
    <row r="322" spans="1:6" ht="15" customHeight="1" outlineLevel="1" x14ac:dyDescent="0.25">
      <c r="A322" s="15"/>
      <c r="B322" s="19" t="s">
        <v>1310</v>
      </c>
      <c r="C322" s="3"/>
      <c r="D322" s="3"/>
      <c r="E322" s="19">
        <f>SUBTOTAL(9,E318:E321)</f>
        <v>303</v>
      </c>
      <c r="F322" s="25"/>
    </row>
    <row r="323" spans="1:6" ht="15" customHeight="1" outlineLevel="2" x14ac:dyDescent="0.25">
      <c r="A323" s="15" t="s">
        <v>1035</v>
      </c>
      <c r="B323" s="3">
        <v>11611883</v>
      </c>
      <c r="C323" s="3"/>
      <c r="D323" s="3"/>
      <c r="E323" s="3" t="s">
        <v>1087</v>
      </c>
      <c r="F323" s="25">
        <v>5500</v>
      </c>
    </row>
    <row r="324" spans="1:6" ht="15" customHeight="1" outlineLevel="2" x14ac:dyDescent="0.25">
      <c r="A324" s="15" t="s">
        <v>1092</v>
      </c>
      <c r="B324" s="3">
        <v>11611883</v>
      </c>
      <c r="C324" s="3"/>
      <c r="D324" s="3"/>
      <c r="E324" s="3" t="s">
        <v>1087</v>
      </c>
      <c r="F324" s="25">
        <v>5500</v>
      </c>
    </row>
    <row r="325" spans="1:6" ht="15" customHeight="1" outlineLevel="1" x14ac:dyDescent="0.25">
      <c r="A325" s="15"/>
      <c r="B325" s="19" t="s">
        <v>1311</v>
      </c>
      <c r="C325" s="3"/>
      <c r="D325" s="3"/>
      <c r="E325" s="19">
        <f>SUBTOTAL(9,E323:E324)</f>
        <v>0</v>
      </c>
      <c r="F325" s="25"/>
    </row>
    <row r="326" spans="1:6" ht="15" customHeight="1" outlineLevel="2" x14ac:dyDescent="0.25">
      <c r="A326" s="27" t="s">
        <v>1077</v>
      </c>
      <c r="B326" s="23">
        <v>11611960</v>
      </c>
      <c r="C326" s="23"/>
      <c r="D326" s="23"/>
      <c r="E326" s="23">
        <v>775</v>
      </c>
      <c r="F326" s="28">
        <v>800</v>
      </c>
    </row>
    <row r="327" spans="1:6" ht="15" customHeight="1" outlineLevel="1" x14ac:dyDescent="0.25">
      <c r="A327" s="27"/>
      <c r="B327" s="22" t="s">
        <v>1312</v>
      </c>
      <c r="C327" s="23"/>
      <c r="D327" s="23"/>
      <c r="E327" s="22">
        <f>SUBTOTAL(9,E326:E326)</f>
        <v>775</v>
      </c>
      <c r="F327" s="28"/>
    </row>
    <row r="328" spans="1:6" ht="15" customHeight="1" outlineLevel="2" x14ac:dyDescent="0.25">
      <c r="A328" s="27" t="s">
        <v>1035</v>
      </c>
      <c r="B328" s="23">
        <v>11611990</v>
      </c>
      <c r="C328" s="23"/>
      <c r="D328" s="23"/>
      <c r="E328" s="23">
        <v>591</v>
      </c>
      <c r="F328" s="28">
        <v>800</v>
      </c>
    </row>
    <row r="329" spans="1:6" ht="15" customHeight="1" outlineLevel="1" x14ac:dyDescent="0.25">
      <c r="A329" s="27"/>
      <c r="B329" s="22" t="s">
        <v>1313</v>
      </c>
      <c r="C329" s="23"/>
      <c r="D329" s="23"/>
      <c r="E329" s="22">
        <f>SUBTOTAL(9,E328:E328)</f>
        <v>591</v>
      </c>
      <c r="F329" s="28"/>
    </row>
    <row r="330" spans="1:6" ht="15" customHeight="1" outlineLevel="2" x14ac:dyDescent="0.25">
      <c r="A330" s="27" t="s">
        <v>1036</v>
      </c>
      <c r="B330" s="23">
        <v>11612078</v>
      </c>
      <c r="C330" s="23"/>
      <c r="D330" s="23"/>
      <c r="E330" s="23">
        <v>1586</v>
      </c>
      <c r="F330" s="28">
        <v>1850</v>
      </c>
    </row>
    <row r="331" spans="1:6" ht="15" customHeight="1" outlineLevel="1" x14ac:dyDescent="0.25">
      <c r="A331" s="27"/>
      <c r="B331" s="22" t="s">
        <v>1314</v>
      </c>
      <c r="C331" s="23"/>
      <c r="D331" s="23"/>
      <c r="E331" s="22">
        <f>SUBTOTAL(9,E330:E330)</f>
        <v>1586</v>
      </c>
      <c r="F331" s="28"/>
    </row>
    <row r="332" spans="1:6" ht="15" customHeight="1" outlineLevel="2" x14ac:dyDescent="0.25">
      <c r="A332" s="27" t="s">
        <v>1036</v>
      </c>
      <c r="B332" s="23">
        <v>11612261</v>
      </c>
      <c r="C332" s="23"/>
      <c r="D332" s="23"/>
      <c r="E332" s="23">
        <v>159</v>
      </c>
      <c r="F332" s="28">
        <v>300</v>
      </c>
    </row>
    <row r="333" spans="1:6" ht="15" customHeight="1" outlineLevel="1" x14ac:dyDescent="0.25">
      <c r="A333" s="27"/>
      <c r="B333" s="22" t="s">
        <v>1315</v>
      </c>
      <c r="C333" s="23"/>
      <c r="D333" s="23"/>
      <c r="E333" s="22">
        <f>SUBTOTAL(9,E332:E332)</f>
        <v>159</v>
      </c>
      <c r="F333" s="28"/>
    </row>
    <row r="334" spans="1:6" ht="15" customHeight="1" outlineLevel="2" x14ac:dyDescent="0.25">
      <c r="A334" s="29">
        <v>46251</v>
      </c>
      <c r="B334" s="23">
        <v>15047463</v>
      </c>
      <c r="C334" s="23"/>
      <c r="D334" s="23"/>
      <c r="E334" s="23">
        <v>1600</v>
      </c>
      <c r="F334" s="28">
        <v>2000</v>
      </c>
    </row>
    <row r="335" spans="1:6" ht="15" customHeight="1" outlineLevel="1" x14ac:dyDescent="0.25">
      <c r="A335" s="29"/>
      <c r="B335" s="22" t="s">
        <v>1316</v>
      </c>
      <c r="C335" s="23"/>
      <c r="D335" s="23"/>
      <c r="E335" s="22">
        <f>SUBTOTAL(9,E334:E334)</f>
        <v>1600</v>
      </c>
      <c r="F335" s="28"/>
    </row>
    <row r="336" spans="1:6" ht="15" customHeight="1" outlineLevel="2" x14ac:dyDescent="0.25">
      <c r="A336" s="29">
        <v>46234</v>
      </c>
      <c r="B336" s="23">
        <v>22800396</v>
      </c>
      <c r="C336" s="23"/>
      <c r="D336" s="23"/>
      <c r="E336" s="23">
        <v>900</v>
      </c>
      <c r="F336" s="28">
        <v>1300</v>
      </c>
    </row>
    <row r="337" spans="1:6" ht="15" customHeight="1" outlineLevel="1" x14ac:dyDescent="0.25">
      <c r="A337" s="29"/>
      <c r="B337" s="22" t="s">
        <v>1317</v>
      </c>
      <c r="C337" s="23"/>
      <c r="D337" s="23"/>
      <c r="E337" s="22">
        <f>SUBTOTAL(9,E336:E336)</f>
        <v>900</v>
      </c>
      <c r="F337" s="28"/>
    </row>
    <row r="338" spans="1:6" ht="15" customHeight="1" outlineLevel="2" x14ac:dyDescent="0.25">
      <c r="A338" s="27" t="s">
        <v>1033</v>
      </c>
      <c r="B338" s="23">
        <v>30769388</v>
      </c>
      <c r="C338" s="23"/>
      <c r="D338" s="23"/>
      <c r="E338" s="23">
        <v>2430</v>
      </c>
      <c r="F338" s="28">
        <v>3000</v>
      </c>
    </row>
    <row r="339" spans="1:6" ht="15" customHeight="1" outlineLevel="1" x14ac:dyDescent="0.25">
      <c r="A339" s="27"/>
      <c r="B339" s="22" t="s">
        <v>1318</v>
      </c>
      <c r="C339" s="23"/>
      <c r="D339" s="23"/>
      <c r="E339" s="22">
        <f>SUBTOTAL(9,E338:E338)</f>
        <v>2430</v>
      </c>
      <c r="F339" s="28"/>
    </row>
    <row r="340" spans="1:6" ht="15" customHeight="1" outlineLevel="2" x14ac:dyDescent="0.25">
      <c r="A340" s="15" t="s">
        <v>1112</v>
      </c>
      <c r="B340" s="3">
        <v>40073474</v>
      </c>
      <c r="C340" s="3"/>
      <c r="D340" s="3"/>
      <c r="E340" s="3">
        <v>114</v>
      </c>
      <c r="F340" s="25">
        <v>150</v>
      </c>
    </row>
    <row r="341" spans="1:6" ht="15" customHeight="1" outlineLevel="2" x14ac:dyDescent="0.25">
      <c r="A341" s="18">
        <v>46234</v>
      </c>
      <c r="B341" s="3">
        <v>40073474</v>
      </c>
      <c r="C341" s="3"/>
      <c r="D341" s="3"/>
      <c r="E341" s="3">
        <v>114</v>
      </c>
      <c r="F341" s="25">
        <v>150</v>
      </c>
    </row>
    <row r="342" spans="1:6" ht="15" customHeight="1" outlineLevel="2" x14ac:dyDescent="0.25">
      <c r="A342" s="18">
        <v>46234</v>
      </c>
      <c r="B342" s="3">
        <v>40073474</v>
      </c>
      <c r="C342" s="3"/>
      <c r="D342" s="3"/>
      <c r="E342" s="3">
        <v>81</v>
      </c>
      <c r="F342" s="25">
        <v>150</v>
      </c>
    </row>
    <row r="343" spans="1:6" ht="15" customHeight="1" outlineLevel="2" x14ac:dyDescent="0.25">
      <c r="A343" s="15" t="s">
        <v>1036</v>
      </c>
      <c r="B343" s="3">
        <v>40073474</v>
      </c>
      <c r="C343" s="3"/>
      <c r="D343" s="3"/>
      <c r="E343" s="3">
        <v>49</v>
      </c>
      <c r="F343" s="25">
        <v>150</v>
      </c>
    </row>
    <row r="344" spans="1:6" ht="15" customHeight="1" outlineLevel="1" x14ac:dyDescent="0.25">
      <c r="A344" s="15"/>
      <c r="B344" s="19" t="s">
        <v>1319</v>
      </c>
      <c r="C344" s="3"/>
      <c r="D344" s="3"/>
      <c r="E344" s="19">
        <f>SUM(E340:E343)</f>
        <v>358</v>
      </c>
      <c r="F344" s="25"/>
    </row>
    <row r="345" spans="1:6" ht="15" customHeight="1" outlineLevel="2" x14ac:dyDescent="0.25">
      <c r="A345" s="15" t="s">
        <v>1035</v>
      </c>
      <c r="B345" s="3">
        <v>40109770</v>
      </c>
      <c r="C345" s="3"/>
      <c r="D345" s="3"/>
      <c r="E345" s="3">
        <v>229</v>
      </c>
      <c r="F345" s="25">
        <v>250</v>
      </c>
    </row>
    <row r="346" spans="1:6" ht="15" customHeight="1" outlineLevel="2" x14ac:dyDescent="0.25">
      <c r="A346" s="18">
        <v>46234</v>
      </c>
      <c r="B346" s="3">
        <v>40109770</v>
      </c>
      <c r="C346" s="3"/>
      <c r="D346" s="3"/>
      <c r="E346" s="3">
        <v>89</v>
      </c>
      <c r="F346" s="25">
        <v>250</v>
      </c>
    </row>
    <row r="347" spans="1:6" ht="15" customHeight="1" outlineLevel="2" x14ac:dyDescent="0.25">
      <c r="A347" s="18">
        <v>46246</v>
      </c>
      <c r="B347" s="3">
        <v>40109770</v>
      </c>
      <c r="C347" s="3"/>
      <c r="D347" s="3"/>
      <c r="E347" s="3">
        <v>136</v>
      </c>
      <c r="F347" s="25">
        <v>250</v>
      </c>
    </row>
    <row r="348" spans="1:6" ht="15" customHeight="1" outlineLevel="1" x14ac:dyDescent="0.25">
      <c r="A348" s="18"/>
      <c r="B348" s="19" t="s">
        <v>1320</v>
      </c>
      <c r="C348" s="3"/>
      <c r="D348" s="3"/>
      <c r="E348" s="19">
        <f>SUM(E345:E347)</f>
        <v>454</v>
      </c>
      <c r="F348" s="25"/>
    </row>
    <row r="349" spans="1:6" ht="15" customHeight="1" outlineLevel="2" x14ac:dyDescent="0.25">
      <c r="A349" s="27" t="s">
        <v>1092</v>
      </c>
      <c r="B349" s="23">
        <v>40110160</v>
      </c>
      <c r="C349" s="23"/>
      <c r="D349" s="23"/>
      <c r="E349" s="23">
        <v>189</v>
      </c>
      <c r="F349" s="28">
        <v>200</v>
      </c>
    </row>
    <row r="350" spans="1:6" ht="15" customHeight="1" outlineLevel="1" x14ac:dyDescent="0.25">
      <c r="A350" s="27"/>
      <c r="B350" s="22" t="s">
        <v>1321</v>
      </c>
      <c r="C350" s="23"/>
      <c r="D350" s="23"/>
      <c r="E350" s="23">
        <f>SUBTOTAL(9,E349:E349)</f>
        <v>189</v>
      </c>
      <c r="F350" s="28"/>
    </row>
    <row r="351" spans="1:6" ht="15" customHeight="1" outlineLevel="2" x14ac:dyDescent="0.25">
      <c r="A351" s="15" t="s">
        <v>1034</v>
      </c>
      <c r="B351" s="3">
        <v>40161567</v>
      </c>
      <c r="C351" s="3"/>
      <c r="D351" s="3"/>
      <c r="E351" s="3">
        <v>172</v>
      </c>
      <c r="F351" s="25">
        <v>175</v>
      </c>
    </row>
    <row r="352" spans="1:6" ht="15" customHeight="1" outlineLevel="2" x14ac:dyDescent="0.25">
      <c r="A352" s="18">
        <v>46244</v>
      </c>
      <c r="B352" s="3">
        <v>40161567</v>
      </c>
      <c r="C352" s="3" t="s">
        <v>1178</v>
      </c>
      <c r="D352" s="3"/>
      <c r="E352" s="3">
        <v>96</v>
      </c>
      <c r="F352" s="25">
        <v>175</v>
      </c>
    </row>
    <row r="353" spans="1:6" ht="15" customHeight="1" outlineLevel="1" x14ac:dyDescent="0.25">
      <c r="A353" s="18"/>
      <c r="B353" s="19" t="s">
        <v>1322</v>
      </c>
      <c r="C353" s="3"/>
      <c r="D353" s="3"/>
      <c r="E353" s="3">
        <f>SUM(E351:E352)</f>
        <v>268</v>
      </c>
      <c r="F353" s="25"/>
    </row>
    <row r="354" spans="1:6" ht="15" customHeight="1" outlineLevel="2" x14ac:dyDescent="0.25">
      <c r="A354" s="27" t="s">
        <v>1033</v>
      </c>
      <c r="B354" s="23">
        <v>40173371</v>
      </c>
      <c r="C354" s="23"/>
      <c r="D354" s="23"/>
      <c r="E354" s="23">
        <v>1043</v>
      </c>
      <c r="F354" s="28">
        <v>1750</v>
      </c>
    </row>
    <row r="355" spans="1:6" ht="15" customHeight="1" outlineLevel="1" x14ac:dyDescent="0.25">
      <c r="A355" s="27"/>
      <c r="B355" s="22" t="s">
        <v>1323</v>
      </c>
      <c r="C355" s="23"/>
      <c r="D355" s="23"/>
      <c r="E355" s="22">
        <f>SUBTOTAL(9,E354:E354)</f>
        <v>1043</v>
      </c>
      <c r="F355" s="28"/>
    </row>
    <row r="356" spans="1:6" ht="15" customHeight="1" outlineLevel="2" x14ac:dyDescent="0.25">
      <c r="A356" s="27" t="s">
        <v>1077</v>
      </c>
      <c r="B356" s="23">
        <v>40179995</v>
      </c>
      <c r="C356" s="23"/>
      <c r="D356" s="23"/>
      <c r="E356" s="23">
        <v>245</v>
      </c>
      <c r="F356" s="28">
        <v>270</v>
      </c>
    </row>
    <row r="357" spans="1:6" ht="15" customHeight="1" outlineLevel="1" x14ac:dyDescent="0.25">
      <c r="A357" s="27"/>
      <c r="B357" s="22" t="s">
        <v>1324</v>
      </c>
      <c r="C357" s="23"/>
      <c r="D357" s="23"/>
      <c r="E357" s="22">
        <f>SUBTOTAL(9,E356:E356)</f>
        <v>245</v>
      </c>
      <c r="F357" s="28"/>
    </row>
    <row r="358" spans="1:6" ht="15" customHeight="1" outlineLevel="2" x14ac:dyDescent="0.25">
      <c r="A358" s="15" t="s">
        <v>1112</v>
      </c>
      <c r="B358" s="3">
        <v>40204491</v>
      </c>
      <c r="C358" s="3"/>
      <c r="D358" s="3"/>
      <c r="E358" s="3">
        <v>552</v>
      </c>
      <c r="F358" s="25">
        <v>625</v>
      </c>
    </row>
    <row r="359" spans="1:6" ht="15" customHeight="1" outlineLevel="2" x14ac:dyDescent="0.25">
      <c r="A359" s="18">
        <v>46234</v>
      </c>
      <c r="B359" s="3">
        <v>40204491</v>
      </c>
      <c r="C359" s="3"/>
      <c r="D359" s="3"/>
      <c r="E359" s="3">
        <v>552</v>
      </c>
      <c r="F359" s="25">
        <v>625</v>
      </c>
    </row>
    <row r="360" spans="1:6" ht="15" customHeight="1" outlineLevel="1" x14ac:dyDescent="0.25">
      <c r="A360" s="18"/>
      <c r="B360" s="19" t="s">
        <v>1325</v>
      </c>
      <c r="C360" s="3"/>
      <c r="D360" s="3"/>
      <c r="E360" s="19">
        <f>SUBTOTAL(9,E358:E359)</f>
        <v>1104</v>
      </c>
      <c r="F360" s="25"/>
    </row>
    <row r="361" spans="1:6" ht="15" customHeight="1" outlineLevel="2" x14ac:dyDescent="0.25">
      <c r="A361" s="18">
        <v>46234</v>
      </c>
      <c r="B361" s="3">
        <v>42068967</v>
      </c>
      <c r="C361" s="3"/>
      <c r="D361" s="3"/>
      <c r="E361" s="3">
        <v>220</v>
      </c>
      <c r="F361" s="25">
        <v>320</v>
      </c>
    </row>
    <row r="362" spans="1:6" ht="15" customHeight="1" outlineLevel="2" x14ac:dyDescent="0.25">
      <c r="A362" s="18">
        <v>46234</v>
      </c>
      <c r="B362" s="3">
        <v>42068967</v>
      </c>
      <c r="C362" s="3" t="s">
        <v>1135</v>
      </c>
      <c r="D362" s="3"/>
      <c r="E362" s="3">
        <v>282</v>
      </c>
      <c r="F362" s="25">
        <v>320</v>
      </c>
    </row>
    <row r="363" spans="1:6" ht="15" customHeight="1" outlineLevel="2" x14ac:dyDescent="0.25">
      <c r="A363" s="18">
        <v>46244</v>
      </c>
      <c r="B363" s="3">
        <v>42068967</v>
      </c>
      <c r="C363" s="3"/>
      <c r="D363" s="3"/>
      <c r="E363" s="3">
        <v>180</v>
      </c>
      <c r="F363" s="25">
        <v>320</v>
      </c>
    </row>
    <row r="364" spans="1:6" ht="15" customHeight="1" outlineLevel="1" x14ac:dyDescent="0.25">
      <c r="A364" s="18"/>
      <c r="B364" s="19" t="s">
        <v>1326</v>
      </c>
      <c r="C364" s="3"/>
      <c r="D364" s="3"/>
      <c r="E364" s="19">
        <f>SUBTOTAL(9,E361:E363)</f>
        <v>682</v>
      </c>
      <c r="F364" s="25"/>
    </row>
    <row r="365" spans="1:6" ht="15" customHeight="1" outlineLevel="2" x14ac:dyDescent="0.25">
      <c r="A365" s="27" t="s">
        <v>1036</v>
      </c>
      <c r="B365" s="23">
        <v>54041001</v>
      </c>
      <c r="C365" s="23"/>
      <c r="D365" s="23"/>
      <c r="E365" s="23">
        <v>222</v>
      </c>
      <c r="F365" s="28">
        <v>225</v>
      </c>
    </row>
    <row r="366" spans="1:6" ht="15" customHeight="1" outlineLevel="1" x14ac:dyDescent="0.25">
      <c r="A366" s="27"/>
      <c r="B366" s="22" t="s">
        <v>1327</v>
      </c>
      <c r="C366" s="23"/>
      <c r="D366" s="23"/>
      <c r="E366" s="22">
        <f>SUBTOTAL(9,E365:E365)</f>
        <v>222</v>
      </c>
      <c r="F366" s="28"/>
    </row>
    <row r="367" spans="1:6" ht="15" customHeight="1" outlineLevel="2" x14ac:dyDescent="0.25">
      <c r="A367" s="27" t="s">
        <v>1112</v>
      </c>
      <c r="B367" s="23">
        <v>89055704</v>
      </c>
      <c r="C367" s="23"/>
      <c r="D367" s="23"/>
      <c r="E367" s="23" t="s">
        <v>1087</v>
      </c>
      <c r="F367" s="28"/>
    </row>
    <row r="368" spans="1:6" ht="15" customHeight="1" outlineLevel="1" x14ac:dyDescent="0.25">
      <c r="A368" s="27"/>
      <c r="B368" s="22" t="s">
        <v>1328</v>
      </c>
      <c r="C368" s="23"/>
      <c r="D368" s="23"/>
      <c r="E368" s="22">
        <f>SUBTOTAL(9,E367:E367)</f>
        <v>0</v>
      </c>
      <c r="F368" s="28"/>
    </row>
    <row r="369" spans="1:6" ht="15" customHeight="1" outlineLevel="2" x14ac:dyDescent="0.25">
      <c r="A369" s="27" t="s">
        <v>1033</v>
      </c>
      <c r="B369" s="23">
        <v>94012038</v>
      </c>
      <c r="C369" s="23"/>
      <c r="D369" s="23"/>
      <c r="E369" s="23">
        <v>3768</v>
      </c>
      <c r="F369" s="28">
        <v>4000</v>
      </c>
    </row>
    <row r="370" spans="1:6" ht="15" customHeight="1" outlineLevel="1" x14ac:dyDescent="0.25">
      <c r="A370" s="27"/>
      <c r="B370" s="22" t="s">
        <v>1329</v>
      </c>
      <c r="C370" s="23"/>
      <c r="D370" s="23"/>
      <c r="E370" s="22">
        <f>SUBTOTAL(9,E369:E369)</f>
        <v>3768</v>
      </c>
      <c r="F370" s="28"/>
    </row>
    <row r="371" spans="1:6" ht="15" customHeight="1" outlineLevel="2" x14ac:dyDescent="0.25">
      <c r="A371" s="15" t="s">
        <v>1034</v>
      </c>
      <c r="B371" s="3">
        <v>94012039</v>
      </c>
      <c r="C371" s="3"/>
      <c r="D371" s="3"/>
      <c r="E371" s="3">
        <v>1092</v>
      </c>
      <c r="F371" s="25">
        <v>2000</v>
      </c>
    </row>
    <row r="372" spans="1:6" ht="15" customHeight="1" outlineLevel="2" x14ac:dyDescent="0.25">
      <c r="A372" s="18">
        <v>46255</v>
      </c>
      <c r="B372" s="3">
        <v>94012039</v>
      </c>
      <c r="C372" s="3"/>
      <c r="D372" s="3"/>
      <c r="E372" s="3">
        <v>1803</v>
      </c>
      <c r="F372" s="25">
        <v>2000</v>
      </c>
    </row>
    <row r="373" spans="1:6" ht="15" customHeight="1" outlineLevel="1" x14ac:dyDescent="0.25">
      <c r="A373" s="18"/>
      <c r="B373" s="19" t="s">
        <v>1330</v>
      </c>
      <c r="C373" s="3"/>
      <c r="D373" s="3"/>
      <c r="E373" s="19">
        <f>SUBTOTAL(9,E371:E372)</f>
        <v>2895</v>
      </c>
      <c r="F373" s="25"/>
    </row>
    <row r="374" spans="1:6" ht="15" customHeight="1" outlineLevel="2" x14ac:dyDescent="0.25">
      <c r="A374" s="15" t="s">
        <v>1077</v>
      </c>
      <c r="B374" s="3">
        <v>94012078</v>
      </c>
      <c r="C374" s="3"/>
      <c r="D374" s="3"/>
      <c r="E374" s="3">
        <v>61</v>
      </c>
      <c r="F374" s="25">
        <v>100</v>
      </c>
    </row>
    <row r="375" spans="1:6" ht="15" customHeight="1" outlineLevel="2" x14ac:dyDescent="0.25">
      <c r="A375" s="15" t="s">
        <v>1112</v>
      </c>
      <c r="B375" s="3">
        <v>94012078</v>
      </c>
      <c r="C375" s="3"/>
      <c r="D375" s="3"/>
      <c r="E375" s="3">
        <v>40</v>
      </c>
      <c r="F375" s="25">
        <v>100</v>
      </c>
    </row>
    <row r="376" spans="1:6" ht="15" customHeight="1" outlineLevel="2" x14ac:dyDescent="0.25">
      <c r="A376" s="18">
        <v>46234</v>
      </c>
      <c r="B376" s="3">
        <v>94012078</v>
      </c>
      <c r="C376" s="3" t="s">
        <v>1119</v>
      </c>
      <c r="D376" s="3"/>
      <c r="E376" s="3">
        <v>40</v>
      </c>
      <c r="F376" s="25">
        <v>100</v>
      </c>
    </row>
    <row r="377" spans="1:6" ht="15" customHeight="1" outlineLevel="2" x14ac:dyDescent="0.25">
      <c r="A377" s="18">
        <v>46234</v>
      </c>
      <c r="B377" s="3">
        <v>94012078</v>
      </c>
      <c r="C377" s="3" t="s">
        <v>1122</v>
      </c>
      <c r="D377" s="3"/>
      <c r="E377" s="3">
        <v>61</v>
      </c>
      <c r="F377" s="25">
        <v>100</v>
      </c>
    </row>
    <row r="378" spans="1:6" ht="15" customHeight="1" outlineLevel="2" x14ac:dyDescent="0.25">
      <c r="A378" s="18">
        <v>46246</v>
      </c>
      <c r="B378" s="3">
        <v>94012078</v>
      </c>
      <c r="C378" s="3"/>
      <c r="D378" s="3"/>
      <c r="E378" s="3">
        <v>20</v>
      </c>
      <c r="F378" s="25">
        <v>100</v>
      </c>
    </row>
    <row r="379" spans="1:6" ht="15" customHeight="1" outlineLevel="2" x14ac:dyDescent="0.25">
      <c r="A379" s="18">
        <v>46251</v>
      </c>
      <c r="B379" s="3">
        <v>94012078</v>
      </c>
      <c r="C379" s="3"/>
      <c r="D379" s="3"/>
      <c r="E379" s="3">
        <v>90</v>
      </c>
      <c r="F379" s="25">
        <v>100</v>
      </c>
    </row>
    <row r="380" spans="1:6" ht="15" customHeight="1" outlineLevel="2" x14ac:dyDescent="0.25">
      <c r="A380" s="18">
        <v>46251</v>
      </c>
      <c r="B380" s="3">
        <v>94012078</v>
      </c>
      <c r="C380" s="3" t="s">
        <v>1183</v>
      </c>
      <c r="D380" s="3"/>
      <c r="E380" s="3">
        <v>95</v>
      </c>
      <c r="F380" s="25">
        <v>100</v>
      </c>
    </row>
    <row r="381" spans="1:6" ht="15" customHeight="1" outlineLevel="1" x14ac:dyDescent="0.25">
      <c r="A381" s="18"/>
      <c r="B381" s="19" t="s">
        <v>1331</v>
      </c>
      <c r="C381" s="3"/>
      <c r="D381" s="3"/>
      <c r="E381" s="19">
        <f>SUBTOTAL(9,E374:E380)</f>
        <v>407</v>
      </c>
      <c r="F381" s="25"/>
    </row>
    <row r="382" spans="1:6" ht="15" customHeight="1" outlineLevel="2" x14ac:dyDescent="0.25">
      <c r="A382" s="29">
        <v>46234</v>
      </c>
      <c r="B382" s="23">
        <v>98055704</v>
      </c>
      <c r="C382" s="23"/>
      <c r="D382" s="23"/>
      <c r="E382" s="23" t="s">
        <v>1087</v>
      </c>
      <c r="F382" s="28">
        <v>2900</v>
      </c>
    </row>
    <row r="383" spans="1:6" ht="15" customHeight="1" outlineLevel="1" x14ac:dyDescent="0.25">
      <c r="A383" s="29"/>
      <c r="B383" s="22" t="s">
        <v>1332</v>
      </c>
      <c r="C383" s="23"/>
      <c r="D383" s="23"/>
      <c r="E383" s="22">
        <f>SUBTOTAL(9,E382:E382)</f>
        <v>0</v>
      </c>
      <c r="F383" s="28"/>
    </row>
    <row r="384" spans="1:6" ht="15" customHeight="1" outlineLevel="2" x14ac:dyDescent="0.25">
      <c r="A384" s="27" t="s">
        <v>1035</v>
      </c>
      <c r="B384" s="23">
        <v>500009196</v>
      </c>
      <c r="C384" s="23"/>
      <c r="D384" s="23"/>
      <c r="E384" s="23">
        <v>380</v>
      </c>
      <c r="F384" s="28">
        <v>1200</v>
      </c>
    </row>
    <row r="385" spans="1:6" ht="15" customHeight="1" outlineLevel="1" x14ac:dyDescent="0.25">
      <c r="A385" s="27"/>
      <c r="B385" s="22" t="s">
        <v>1333</v>
      </c>
      <c r="C385" s="23"/>
      <c r="D385" s="23"/>
      <c r="E385" s="22">
        <f>SUBTOTAL(9,E384:E384)</f>
        <v>380</v>
      </c>
      <c r="F385" s="28"/>
    </row>
    <row r="386" spans="1:6" ht="15" customHeight="1" outlineLevel="1" x14ac:dyDescent="0.25">
      <c r="A386" s="15" t="s">
        <v>1077</v>
      </c>
      <c r="B386" s="3">
        <v>500009297</v>
      </c>
      <c r="C386" s="3"/>
      <c r="D386" s="3"/>
      <c r="E386" s="3">
        <v>1175</v>
      </c>
      <c r="F386" s="25">
        <v>1200</v>
      </c>
    </row>
    <row r="387" spans="1:6" ht="15" customHeight="1" outlineLevel="2" x14ac:dyDescent="0.25">
      <c r="A387" s="15" t="s">
        <v>1033</v>
      </c>
      <c r="B387" s="3">
        <v>500009297</v>
      </c>
      <c r="C387" s="3"/>
      <c r="D387" s="3"/>
      <c r="E387" s="3">
        <v>1040</v>
      </c>
      <c r="F387" s="25">
        <v>1200</v>
      </c>
    </row>
    <row r="388" spans="1:6" ht="15" customHeight="1" outlineLevel="1" x14ac:dyDescent="0.25">
      <c r="A388" s="15"/>
      <c r="B388" s="19" t="s">
        <v>1334</v>
      </c>
      <c r="C388" s="3"/>
      <c r="D388" s="3"/>
      <c r="E388" s="19">
        <f>SUM(E386:E387)</f>
        <v>2215</v>
      </c>
      <c r="F388" s="25"/>
    </row>
    <row r="389" spans="1:6" ht="15" customHeight="1" outlineLevel="2" x14ac:dyDescent="0.25">
      <c r="A389" s="27" t="s">
        <v>1102</v>
      </c>
      <c r="B389" s="23">
        <v>715150010</v>
      </c>
      <c r="C389" s="23"/>
      <c r="D389" s="23"/>
      <c r="E389" s="23">
        <v>2245</v>
      </c>
      <c r="F389" s="28">
        <v>2500</v>
      </c>
    </row>
    <row r="390" spans="1:6" ht="15" customHeight="1" outlineLevel="2" x14ac:dyDescent="0.25">
      <c r="A390" s="27" t="s">
        <v>1036</v>
      </c>
      <c r="B390" s="23">
        <v>1420503001</v>
      </c>
      <c r="C390" s="23"/>
      <c r="D390" s="23"/>
      <c r="E390" s="23">
        <v>782</v>
      </c>
      <c r="F390" s="28">
        <v>1500</v>
      </c>
    </row>
    <row r="391" spans="1:6" ht="15" customHeight="1" outlineLevel="1" x14ac:dyDescent="0.25">
      <c r="A391" s="27"/>
      <c r="B391" s="22" t="s">
        <v>1335</v>
      </c>
      <c r="C391" s="23"/>
      <c r="D391" s="23"/>
      <c r="E391" s="22">
        <f>SUBTOTAL(9,E390:E390)</f>
        <v>782</v>
      </c>
      <c r="F391" s="28"/>
    </row>
    <row r="392" spans="1:6" ht="15" customHeight="1" outlineLevel="2" x14ac:dyDescent="0.25">
      <c r="A392" s="27" t="s">
        <v>1077</v>
      </c>
      <c r="B392" s="23">
        <v>7151127803</v>
      </c>
      <c r="C392" s="23"/>
      <c r="D392" s="23"/>
      <c r="E392" s="23">
        <v>2843</v>
      </c>
      <c r="F392" s="28">
        <v>3800</v>
      </c>
    </row>
    <row r="393" spans="1:6" ht="15" customHeight="1" outlineLevel="1" x14ac:dyDescent="0.25">
      <c r="A393" s="27"/>
      <c r="B393" s="22" t="s">
        <v>1336</v>
      </c>
      <c r="C393" s="23"/>
      <c r="D393" s="23"/>
      <c r="E393" s="22">
        <f>SUBTOTAL(9,E392:E392)</f>
        <v>2843</v>
      </c>
      <c r="F393" s="28"/>
    </row>
    <row r="394" spans="1:6" ht="15" customHeight="1" outlineLevel="2" x14ac:dyDescent="0.25">
      <c r="A394" s="27" t="s">
        <v>1033</v>
      </c>
      <c r="B394" s="23" t="s">
        <v>1028</v>
      </c>
      <c r="C394" s="23"/>
      <c r="D394" s="23"/>
      <c r="E394" s="23">
        <v>1134</v>
      </c>
      <c r="F394" s="28"/>
    </row>
    <row r="395" spans="1:6" ht="15" customHeight="1" outlineLevel="1" x14ac:dyDescent="0.25">
      <c r="A395" s="27"/>
      <c r="B395" s="22" t="s">
        <v>1337</v>
      </c>
      <c r="C395" s="23"/>
      <c r="D395" s="23"/>
      <c r="E395" s="22">
        <f>SUBTOTAL(9,E394:E394)</f>
        <v>1134</v>
      </c>
      <c r="F395" s="28"/>
    </row>
    <row r="396" spans="1:6" ht="15" customHeight="1" outlineLevel="2" x14ac:dyDescent="0.25">
      <c r="A396" s="15" t="s">
        <v>1112</v>
      </c>
      <c r="B396" s="3" t="s">
        <v>12</v>
      </c>
      <c r="C396" s="3"/>
      <c r="D396" s="3"/>
      <c r="E396" s="3">
        <v>1041</v>
      </c>
      <c r="F396" s="25">
        <v>1500</v>
      </c>
    </row>
    <row r="397" spans="1:6" ht="15" customHeight="1" outlineLevel="2" x14ac:dyDescent="0.25">
      <c r="A397" s="15" t="s">
        <v>1112</v>
      </c>
      <c r="B397" s="3" t="s">
        <v>12</v>
      </c>
      <c r="C397" s="3"/>
      <c r="D397" s="3"/>
      <c r="E397" s="3">
        <v>1214</v>
      </c>
      <c r="F397" s="25">
        <v>1500</v>
      </c>
    </row>
    <row r="398" spans="1:6" ht="15" customHeight="1" outlineLevel="2" x14ac:dyDescent="0.25">
      <c r="A398" s="18">
        <v>46238</v>
      </c>
      <c r="B398" s="3" t="s">
        <v>12</v>
      </c>
      <c r="C398" s="3" t="s">
        <v>1146</v>
      </c>
      <c r="D398" s="3"/>
      <c r="E398" s="3">
        <v>1337</v>
      </c>
      <c r="F398" s="25">
        <v>1500</v>
      </c>
    </row>
    <row r="399" spans="1:6" ht="15" customHeight="1" outlineLevel="1" x14ac:dyDescent="0.25">
      <c r="A399" s="18"/>
      <c r="B399" s="19" t="s">
        <v>1338</v>
      </c>
      <c r="C399" s="3"/>
      <c r="D399" s="3"/>
      <c r="E399" s="19">
        <f>SUBTOTAL(9,E396:E398)</f>
        <v>3592</v>
      </c>
      <c r="F399" s="25"/>
    </row>
    <row r="400" spans="1:6" ht="15" customHeight="1" outlineLevel="1" x14ac:dyDescent="0.25">
      <c r="A400" s="15" t="s">
        <v>1035</v>
      </c>
      <c r="B400" s="3" t="s">
        <v>615</v>
      </c>
      <c r="C400" s="3"/>
      <c r="D400" s="3"/>
      <c r="E400" s="3">
        <v>1093</v>
      </c>
      <c r="F400" s="25">
        <v>3000</v>
      </c>
    </row>
    <row r="401" spans="1:6" ht="15" customHeight="1" outlineLevel="2" x14ac:dyDescent="0.25">
      <c r="A401" s="15" t="s">
        <v>1034</v>
      </c>
      <c r="B401" s="3" t="s">
        <v>615</v>
      </c>
      <c r="C401" s="3"/>
      <c r="D401" s="3"/>
      <c r="E401" s="3">
        <v>1778</v>
      </c>
      <c r="F401" s="25">
        <v>3000</v>
      </c>
    </row>
    <row r="402" spans="1:6" ht="15" customHeight="1" outlineLevel="1" x14ac:dyDescent="0.25">
      <c r="A402" s="15"/>
      <c r="B402" s="19" t="s">
        <v>1339</v>
      </c>
      <c r="C402" s="3"/>
      <c r="D402" s="3"/>
      <c r="E402" s="19">
        <f>SUM(E400:E401)</f>
        <v>2871</v>
      </c>
      <c r="F402" s="25"/>
    </row>
    <row r="403" spans="1:6" ht="15" customHeight="1" outlineLevel="2" x14ac:dyDescent="0.25">
      <c r="A403" s="15" t="s">
        <v>1033</v>
      </c>
      <c r="B403" s="3" t="s">
        <v>341</v>
      </c>
      <c r="C403" s="3"/>
      <c r="D403" s="3"/>
      <c r="E403" s="3">
        <v>2246</v>
      </c>
      <c r="F403" s="25">
        <v>3200</v>
      </c>
    </row>
    <row r="404" spans="1:6" ht="15" customHeight="1" outlineLevel="2" x14ac:dyDescent="0.25">
      <c r="A404" s="18">
        <v>46241</v>
      </c>
      <c r="B404" s="3" t="s">
        <v>341</v>
      </c>
      <c r="C404" s="3" t="s">
        <v>1156</v>
      </c>
      <c r="D404" s="3"/>
      <c r="E404" s="3">
        <v>2813</v>
      </c>
      <c r="F404" s="25">
        <v>3200</v>
      </c>
    </row>
    <row r="405" spans="1:6" ht="15" customHeight="1" outlineLevel="1" x14ac:dyDescent="0.25">
      <c r="A405" s="18"/>
      <c r="B405" s="19" t="s">
        <v>1340</v>
      </c>
      <c r="C405" s="3"/>
      <c r="D405" s="3"/>
      <c r="E405" s="19">
        <f>SUM(E403:E404)</f>
        <v>5059</v>
      </c>
      <c r="F405" s="25"/>
    </row>
    <row r="406" spans="1:6" ht="15" customHeight="1" outlineLevel="1" x14ac:dyDescent="0.25">
      <c r="A406" s="18">
        <v>46244</v>
      </c>
      <c r="B406" s="19" t="s">
        <v>92</v>
      </c>
      <c r="C406" s="3"/>
      <c r="D406" s="3"/>
      <c r="E406" s="19">
        <v>975</v>
      </c>
      <c r="F406" s="25">
        <v>1000</v>
      </c>
    </row>
    <row r="407" spans="1:6" ht="15" customHeight="1" outlineLevel="2" x14ac:dyDescent="0.25">
      <c r="A407" s="15" t="s">
        <v>1034</v>
      </c>
      <c r="B407" s="3" t="s">
        <v>92</v>
      </c>
      <c r="C407" s="3"/>
      <c r="D407" s="3"/>
      <c r="E407" s="3">
        <v>605</v>
      </c>
      <c r="F407" s="25">
        <v>1000</v>
      </c>
    </row>
    <row r="408" spans="1:6" ht="15" customHeight="1" outlineLevel="2" x14ac:dyDescent="0.25">
      <c r="A408" s="18">
        <v>46238</v>
      </c>
      <c r="B408" s="3" t="s">
        <v>92</v>
      </c>
      <c r="C408" s="3"/>
      <c r="D408" s="3"/>
      <c r="E408" s="3">
        <v>435</v>
      </c>
      <c r="F408" s="25">
        <v>1000</v>
      </c>
    </row>
    <row r="409" spans="1:6" ht="15" customHeight="1" outlineLevel="2" x14ac:dyDescent="0.25">
      <c r="A409" s="18">
        <v>46238</v>
      </c>
      <c r="B409" s="3" t="s">
        <v>92</v>
      </c>
      <c r="C409" s="3"/>
      <c r="D409" s="3"/>
      <c r="E409" s="3">
        <v>592</v>
      </c>
      <c r="F409" s="25">
        <v>1000</v>
      </c>
    </row>
    <row r="410" spans="1:6" ht="15" customHeight="1" outlineLevel="2" x14ac:dyDescent="0.25">
      <c r="A410" s="18">
        <v>46241</v>
      </c>
      <c r="B410" s="3" t="s">
        <v>92</v>
      </c>
      <c r="C410" s="3"/>
      <c r="D410" s="3"/>
      <c r="E410" s="3">
        <v>584</v>
      </c>
      <c r="F410" s="25">
        <v>1000</v>
      </c>
    </row>
    <row r="411" spans="1:6" ht="15" customHeight="1" outlineLevel="2" x14ac:dyDescent="0.25">
      <c r="A411" s="18">
        <v>46241</v>
      </c>
      <c r="B411" s="3" t="s">
        <v>92</v>
      </c>
      <c r="C411" s="3"/>
      <c r="D411" s="3"/>
      <c r="E411" s="3">
        <v>809</v>
      </c>
      <c r="F411" s="25">
        <v>1000</v>
      </c>
    </row>
    <row r="412" spans="1:6" ht="15" customHeight="1" outlineLevel="2" x14ac:dyDescent="0.25">
      <c r="A412" s="18">
        <v>46251</v>
      </c>
      <c r="B412" s="3" t="s">
        <v>1181</v>
      </c>
      <c r="C412" s="3"/>
      <c r="D412" s="3"/>
      <c r="E412" s="3">
        <v>607</v>
      </c>
      <c r="F412" s="25">
        <v>1000</v>
      </c>
    </row>
    <row r="413" spans="1:6" ht="15" customHeight="1" outlineLevel="2" x14ac:dyDescent="0.25">
      <c r="A413" s="18">
        <v>46255</v>
      </c>
      <c r="B413" s="3" t="s">
        <v>92</v>
      </c>
      <c r="C413" s="3"/>
      <c r="D413" s="3"/>
      <c r="E413" s="3">
        <v>590</v>
      </c>
      <c r="F413" s="25">
        <v>1000</v>
      </c>
    </row>
    <row r="414" spans="1:6" ht="15" customHeight="1" outlineLevel="1" x14ac:dyDescent="0.25">
      <c r="A414" s="18"/>
      <c r="B414" s="19" t="s">
        <v>1341</v>
      </c>
      <c r="C414" s="3"/>
      <c r="D414" s="3"/>
      <c r="E414" s="19">
        <f>SUM(E406:E413)</f>
        <v>5197</v>
      </c>
      <c r="F414" s="25"/>
    </row>
    <row r="415" spans="1:6" ht="15" customHeight="1" outlineLevel="1" x14ac:dyDescent="0.25">
      <c r="A415" s="18" t="s">
        <v>1509</v>
      </c>
      <c r="B415" s="19" t="s">
        <v>339</v>
      </c>
      <c r="C415" s="3"/>
      <c r="D415" s="3"/>
      <c r="E415" s="19">
        <v>1140</v>
      </c>
      <c r="F415" s="25">
        <v>2200</v>
      </c>
    </row>
    <row r="416" spans="1:6" ht="15" customHeight="1" outlineLevel="2" x14ac:dyDescent="0.25">
      <c r="A416" s="18">
        <v>46234</v>
      </c>
      <c r="B416" s="3" t="s">
        <v>339</v>
      </c>
      <c r="C416" s="3" t="s">
        <v>1053</v>
      </c>
      <c r="D416" s="3"/>
      <c r="E416" s="3">
        <v>1621</v>
      </c>
      <c r="F416" s="25">
        <v>2200</v>
      </c>
    </row>
    <row r="417" spans="1:6" ht="15" customHeight="1" outlineLevel="2" x14ac:dyDescent="0.25">
      <c r="A417" s="18">
        <v>46253</v>
      </c>
      <c r="B417" s="3" t="s">
        <v>339</v>
      </c>
      <c r="C417" s="3"/>
      <c r="D417" s="3"/>
      <c r="E417" s="3">
        <v>1318</v>
      </c>
      <c r="F417" s="25">
        <v>2200</v>
      </c>
    </row>
    <row r="418" spans="1:6" ht="15" customHeight="1" outlineLevel="1" x14ac:dyDescent="0.25">
      <c r="A418" s="18"/>
      <c r="B418" s="19" t="s">
        <v>1342</v>
      </c>
      <c r="C418" s="3"/>
      <c r="D418" s="3"/>
      <c r="E418" s="19">
        <f>SUM(E415:E417)</f>
        <v>4079</v>
      </c>
      <c r="F418" s="25"/>
    </row>
    <row r="419" spans="1:6" ht="15" customHeight="1" outlineLevel="2" x14ac:dyDescent="0.25">
      <c r="A419" s="18">
        <v>46234</v>
      </c>
      <c r="B419" s="3" t="s">
        <v>392</v>
      </c>
      <c r="C419" s="3" t="s">
        <v>1115</v>
      </c>
      <c r="D419" s="3"/>
      <c r="E419" s="3">
        <v>3996</v>
      </c>
      <c r="F419" s="25">
        <v>4800</v>
      </c>
    </row>
    <row r="420" spans="1:6" ht="15" customHeight="1" outlineLevel="2" x14ac:dyDescent="0.25">
      <c r="A420" s="15" t="s">
        <v>1112</v>
      </c>
      <c r="B420" s="3" t="s">
        <v>392</v>
      </c>
      <c r="C420" s="3"/>
      <c r="D420" s="3"/>
      <c r="E420" s="3">
        <v>3996</v>
      </c>
      <c r="F420" s="25">
        <v>4800</v>
      </c>
    </row>
    <row r="421" spans="1:6" ht="15" customHeight="1" outlineLevel="1" x14ac:dyDescent="0.25">
      <c r="A421" s="15"/>
      <c r="B421" s="19" t="s">
        <v>1343</v>
      </c>
      <c r="C421" s="3"/>
      <c r="D421" s="3"/>
      <c r="E421" s="19">
        <f>SUBTOTAL(9,E419:E420)</f>
        <v>7992</v>
      </c>
      <c r="F421" s="25"/>
    </row>
    <row r="422" spans="1:6" ht="15" customHeight="1" outlineLevel="2" x14ac:dyDescent="0.25">
      <c r="A422" s="27" t="s">
        <v>1102</v>
      </c>
      <c r="B422" s="23" t="s">
        <v>1109</v>
      </c>
      <c r="C422" s="23"/>
      <c r="D422" s="23"/>
      <c r="E422" s="23" t="s">
        <v>1087</v>
      </c>
      <c r="F422" s="28"/>
    </row>
    <row r="423" spans="1:6" ht="15" customHeight="1" outlineLevel="1" x14ac:dyDescent="0.25">
      <c r="A423" s="27"/>
      <c r="B423" s="22" t="s">
        <v>1344</v>
      </c>
      <c r="C423" s="23"/>
      <c r="D423" s="23"/>
      <c r="E423" s="22">
        <f>SUBTOTAL(9,E422:E422)</f>
        <v>0</v>
      </c>
      <c r="F423" s="28"/>
    </row>
    <row r="424" spans="1:6" ht="15" customHeight="1" outlineLevel="2" x14ac:dyDescent="0.25">
      <c r="A424" s="27" t="s">
        <v>1077</v>
      </c>
      <c r="B424" s="23" t="s">
        <v>730</v>
      </c>
      <c r="C424" s="23"/>
      <c r="D424" s="23"/>
      <c r="E424" s="23">
        <v>1300</v>
      </c>
      <c r="F424" s="28">
        <v>1800</v>
      </c>
    </row>
    <row r="425" spans="1:6" ht="15" customHeight="1" outlineLevel="1" x14ac:dyDescent="0.25">
      <c r="A425" s="27"/>
      <c r="B425" s="22" t="s">
        <v>1345</v>
      </c>
      <c r="C425" s="23"/>
      <c r="D425" s="23"/>
      <c r="E425" s="22">
        <f>SUBTOTAL(9,E424:E424)</f>
        <v>1300</v>
      </c>
      <c r="F425" s="28"/>
    </row>
    <row r="426" spans="1:6" ht="15" customHeight="1" outlineLevel="2" x14ac:dyDescent="0.25">
      <c r="A426" s="18">
        <v>46234</v>
      </c>
      <c r="B426" s="3" t="s">
        <v>52</v>
      </c>
      <c r="C426" s="3"/>
      <c r="D426" s="3"/>
      <c r="E426" s="3">
        <v>618</v>
      </c>
      <c r="F426" s="25">
        <v>660</v>
      </c>
    </row>
    <row r="427" spans="1:6" ht="15" customHeight="1" outlineLevel="2" x14ac:dyDescent="0.25">
      <c r="A427" s="18">
        <v>46238</v>
      </c>
      <c r="B427" s="3" t="s">
        <v>52</v>
      </c>
      <c r="C427" s="3"/>
      <c r="D427" s="3"/>
      <c r="E427" s="3">
        <v>495</v>
      </c>
      <c r="F427" s="25">
        <v>660</v>
      </c>
    </row>
    <row r="428" spans="1:6" ht="15" customHeight="1" outlineLevel="2" x14ac:dyDescent="0.25">
      <c r="A428" s="18">
        <v>46238</v>
      </c>
      <c r="B428" s="3" t="s">
        <v>52</v>
      </c>
      <c r="C428" s="3"/>
      <c r="D428" s="3"/>
      <c r="E428" s="3">
        <v>385</v>
      </c>
      <c r="F428" s="25">
        <v>660</v>
      </c>
    </row>
    <row r="429" spans="1:6" ht="15" customHeight="1" outlineLevel="2" x14ac:dyDescent="0.25">
      <c r="A429" s="18">
        <v>46238</v>
      </c>
      <c r="B429" s="3" t="s">
        <v>52</v>
      </c>
      <c r="C429" s="3"/>
      <c r="D429" s="3"/>
      <c r="E429" s="3">
        <v>496</v>
      </c>
      <c r="F429" s="25">
        <v>660</v>
      </c>
    </row>
    <row r="430" spans="1:6" ht="15" customHeight="1" outlineLevel="2" x14ac:dyDescent="0.25">
      <c r="A430" s="18">
        <v>46238</v>
      </c>
      <c r="B430" s="3" t="s">
        <v>52</v>
      </c>
      <c r="C430" s="3"/>
      <c r="D430" s="3"/>
      <c r="E430" s="3">
        <v>571</v>
      </c>
      <c r="F430" s="25">
        <v>660</v>
      </c>
    </row>
    <row r="431" spans="1:6" ht="15" customHeight="1" outlineLevel="2" x14ac:dyDescent="0.25">
      <c r="A431" s="18">
        <v>46253</v>
      </c>
      <c r="B431" s="3" t="s">
        <v>52</v>
      </c>
      <c r="C431" s="3"/>
      <c r="D431" s="3"/>
      <c r="E431" s="3">
        <v>353</v>
      </c>
      <c r="F431" s="25">
        <v>660</v>
      </c>
    </row>
    <row r="432" spans="1:6" ht="15" customHeight="1" outlineLevel="1" x14ac:dyDescent="0.25">
      <c r="A432" s="18"/>
      <c r="B432" s="19" t="s">
        <v>1346</v>
      </c>
      <c r="C432" s="3"/>
      <c r="D432" s="3"/>
      <c r="E432" s="19">
        <f>SUBTOTAL(9,E426:E431)</f>
        <v>2918</v>
      </c>
      <c r="F432" s="25"/>
    </row>
    <row r="433" spans="1:6" ht="15" customHeight="1" outlineLevel="2" x14ac:dyDescent="0.25">
      <c r="A433" s="18">
        <v>46241</v>
      </c>
      <c r="B433" s="3" t="s">
        <v>98</v>
      </c>
      <c r="C433" s="3"/>
      <c r="D433" s="3"/>
      <c r="E433" s="3">
        <v>1607</v>
      </c>
      <c r="F433" s="25">
        <v>2800</v>
      </c>
    </row>
    <row r="434" spans="1:6" ht="15" customHeight="1" outlineLevel="2" x14ac:dyDescent="0.25">
      <c r="A434" s="18">
        <v>46241</v>
      </c>
      <c r="B434" s="3" t="s">
        <v>98</v>
      </c>
      <c r="C434" s="3"/>
      <c r="D434" s="3"/>
      <c r="E434" s="3">
        <v>1607</v>
      </c>
      <c r="F434" s="25">
        <v>2800</v>
      </c>
    </row>
    <row r="435" spans="1:6" ht="15" customHeight="1" outlineLevel="2" x14ac:dyDescent="0.25">
      <c r="A435" s="18">
        <v>46241</v>
      </c>
      <c r="B435" s="3" t="s">
        <v>98</v>
      </c>
      <c r="C435" s="3"/>
      <c r="D435" s="3"/>
      <c r="E435" s="3">
        <v>1380</v>
      </c>
      <c r="F435" s="25">
        <v>2800</v>
      </c>
    </row>
    <row r="436" spans="1:6" ht="15" customHeight="1" outlineLevel="2" x14ac:dyDescent="0.25">
      <c r="A436" s="18">
        <v>46246</v>
      </c>
      <c r="B436" s="3" t="s">
        <v>98</v>
      </c>
      <c r="C436" s="3"/>
      <c r="D436" s="3"/>
      <c r="E436" s="3">
        <v>1350</v>
      </c>
      <c r="F436" s="25">
        <v>2800</v>
      </c>
    </row>
    <row r="437" spans="1:6" ht="15" customHeight="1" outlineLevel="1" x14ac:dyDescent="0.25">
      <c r="A437" s="18"/>
      <c r="B437" s="19" t="s">
        <v>1347</v>
      </c>
      <c r="C437" s="3"/>
      <c r="D437" s="3"/>
      <c r="E437" s="19">
        <f>SUBTOTAL(9,E433:E436)</f>
        <v>5944</v>
      </c>
      <c r="F437" s="25"/>
    </row>
    <row r="438" spans="1:6" ht="15" customHeight="1" outlineLevel="2" x14ac:dyDescent="0.25">
      <c r="A438" s="18">
        <v>46253</v>
      </c>
      <c r="B438" s="3" t="s">
        <v>53</v>
      </c>
      <c r="C438" s="3"/>
      <c r="D438" s="3"/>
      <c r="E438" s="3">
        <v>578</v>
      </c>
      <c r="F438" s="25">
        <v>800</v>
      </c>
    </row>
    <row r="439" spans="1:6" ht="15" customHeight="1" outlineLevel="2" x14ac:dyDescent="0.25">
      <c r="A439" s="18">
        <v>46253</v>
      </c>
      <c r="B439" s="3" t="s">
        <v>53</v>
      </c>
      <c r="C439" s="3" t="s">
        <v>1195</v>
      </c>
      <c r="D439" s="3"/>
      <c r="E439" s="3">
        <v>560</v>
      </c>
      <c r="F439" s="25">
        <v>800</v>
      </c>
    </row>
    <row r="440" spans="1:6" ht="15" customHeight="1" outlineLevel="1" x14ac:dyDescent="0.25">
      <c r="A440" s="18"/>
      <c r="B440" s="19" t="s">
        <v>1348</v>
      </c>
      <c r="C440" s="3"/>
      <c r="D440" s="3"/>
      <c r="E440" s="19">
        <f>SUBTOTAL(9,E438:E439)</f>
        <v>1138</v>
      </c>
      <c r="F440" s="25"/>
    </row>
    <row r="441" spans="1:6" ht="15" customHeight="1" outlineLevel="2" x14ac:dyDescent="0.25">
      <c r="A441" s="15" t="s">
        <v>1036</v>
      </c>
      <c r="B441" s="3" t="s">
        <v>332</v>
      </c>
      <c r="C441" s="3"/>
      <c r="D441" s="3"/>
      <c r="E441" s="3">
        <v>558</v>
      </c>
      <c r="F441" s="25">
        <v>800</v>
      </c>
    </row>
    <row r="442" spans="1:6" ht="15" customHeight="1" outlineLevel="2" x14ac:dyDescent="0.25">
      <c r="A442" s="15" t="s">
        <v>1102</v>
      </c>
      <c r="B442" s="3" t="s">
        <v>332</v>
      </c>
      <c r="C442" s="3"/>
      <c r="D442" s="3"/>
      <c r="E442" s="3">
        <v>347</v>
      </c>
      <c r="F442" s="25">
        <v>800</v>
      </c>
    </row>
    <row r="443" spans="1:6" ht="15" customHeight="1" outlineLevel="1" x14ac:dyDescent="0.25">
      <c r="A443" s="15"/>
      <c r="B443" s="19" t="s">
        <v>1349</v>
      </c>
      <c r="C443" s="3"/>
      <c r="D443" s="3"/>
      <c r="E443" s="19">
        <f>SUBTOTAL(9,E441:E442)</f>
        <v>905</v>
      </c>
      <c r="F443" s="25"/>
    </row>
    <row r="444" spans="1:6" ht="15" customHeight="1" outlineLevel="2" x14ac:dyDescent="0.25">
      <c r="A444" s="15" t="s">
        <v>1034</v>
      </c>
      <c r="B444" s="3" t="s">
        <v>142</v>
      </c>
      <c r="C444" s="3"/>
      <c r="D444" s="3"/>
      <c r="E444" s="3">
        <v>514</v>
      </c>
      <c r="F444" s="25">
        <v>620</v>
      </c>
    </row>
    <row r="445" spans="1:6" ht="15" customHeight="1" outlineLevel="2" x14ac:dyDescent="0.25">
      <c r="A445" s="18">
        <v>46241</v>
      </c>
      <c r="B445" s="3" t="s">
        <v>142</v>
      </c>
      <c r="C445" s="3" t="s">
        <v>1170</v>
      </c>
      <c r="D445" s="3"/>
      <c r="E445" s="3">
        <v>578</v>
      </c>
      <c r="F445" s="25">
        <v>620</v>
      </c>
    </row>
    <row r="446" spans="1:6" ht="15" customHeight="1" outlineLevel="2" x14ac:dyDescent="0.25">
      <c r="A446" s="15" t="s">
        <v>1092</v>
      </c>
      <c r="B446" s="3" t="s">
        <v>142</v>
      </c>
      <c r="C446" s="3"/>
      <c r="D446" s="3"/>
      <c r="E446" s="3">
        <v>311</v>
      </c>
      <c r="F446" s="25">
        <v>620</v>
      </c>
    </row>
    <row r="447" spans="1:6" ht="15" customHeight="1" outlineLevel="2" x14ac:dyDescent="0.25">
      <c r="A447" s="18">
        <v>46244</v>
      </c>
      <c r="B447" s="3" t="s">
        <v>142</v>
      </c>
      <c r="C447" s="3" t="s">
        <v>1176</v>
      </c>
      <c r="D447" s="3"/>
      <c r="E447" s="3">
        <v>574</v>
      </c>
      <c r="F447" s="25">
        <v>620</v>
      </c>
    </row>
    <row r="448" spans="1:6" ht="15" customHeight="1" outlineLevel="1" x14ac:dyDescent="0.25">
      <c r="A448" s="18"/>
      <c r="B448" s="19" t="s">
        <v>1350</v>
      </c>
      <c r="C448" s="3"/>
      <c r="D448" s="3"/>
      <c r="E448" s="19">
        <f>SUM(E444:E447)</f>
        <v>1977</v>
      </c>
      <c r="F448" s="25"/>
    </row>
    <row r="449" spans="1:6" ht="15" customHeight="1" outlineLevel="2" x14ac:dyDescent="0.25">
      <c r="A449" s="18">
        <v>46234</v>
      </c>
      <c r="B449" s="3" t="s">
        <v>1</v>
      </c>
      <c r="C449" s="3"/>
      <c r="D449" s="3"/>
      <c r="E449" s="3">
        <v>514</v>
      </c>
      <c r="F449" s="25">
        <v>670</v>
      </c>
    </row>
    <row r="450" spans="1:6" ht="15" customHeight="1" outlineLevel="2" x14ac:dyDescent="0.25">
      <c r="A450" s="18">
        <v>46238</v>
      </c>
      <c r="B450" s="3" t="s">
        <v>1</v>
      </c>
      <c r="C450" s="3"/>
      <c r="D450" s="3"/>
      <c r="E450" s="3">
        <v>656</v>
      </c>
      <c r="F450" s="25">
        <v>670</v>
      </c>
    </row>
    <row r="451" spans="1:6" ht="15" customHeight="1" outlineLevel="2" x14ac:dyDescent="0.25">
      <c r="A451" s="18">
        <v>46246</v>
      </c>
      <c r="B451" s="3" t="s">
        <v>1</v>
      </c>
      <c r="C451" s="3"/>
      <c r="D451" s="3"/>
      <c r="E451" s="3">
        <v>504</v>
      </c>
      <c r="F451" s="25">
        <v>670</v>
      </c>
    </row>
    <row r="452" spans="1:6" ht="15" customHeight="1" outlineLevel="2" x14ac:dyDescent="0.25">
      <c r="A452" s="18">
        <v>46253</v>
      </c>
      <c r="B452" s="3" t="s">
        <v>1</v>
      </c>
      <c r="C452" s="3"/>
      <c r="D452" s="3"/>
      <c r="E452" s="3">
        <v>613</v>
      </c>
      <c r="F452" s="25">
        <v>670</v>
      </c>
    </row>
    <row r="453" spans="1:6" ht="15" customHeight="1" outlineLevel="2" x14ac:dyDescent="0.25">
      <c r="A453" s="18">
        <v>46253</v>
      </c>
      <c r="B453" s="3" t="s">
        <v>1</v>
      </c>
      <c r="C453" s="3"/>
      <c r="D453" s="3"/>
      <c r="E453" s="3">
        <v>559</v>
      </c>
      <c r="F453" s="25">
        <v>670</v>
      </c>
    </row>
    <row r="454" spans="1:6" ht="15" customHeight="1" outlineLevel="2" x14ac:dyDescent="0.25">
      <c r="A454" s="18">
        <v>46255</v>
      </c>
      <c r="B454" s="3" t="s">
        <v>1</v>
      </c>
      <c r="C454" s="3"/>
      <c r="D454" s="3"/>
      <c r="E454" s="3">
        <v>648</v>
      </c>
      <c r="F454" s="25">
        <v>670</v>
      </c>
    </row>
    <row r="455" spans="1:6" ht="15" customHeight="1" outlineLevel="1" x14ac:dyDescent="0.25">
      <c r="A455" s="18"/>
      <c r="B455" s="19" t="s">
        <v>1351</v>
      </c>
      <c r="C455" s="3"/>
      <c r="D455" s="3"/>
      <c r="E455" s="19">
        <f>SUBTOTAL(9,E449:E454)</f>
        <v>3494</v>
      </c>
      <c r="F455" s="25"/>
    </row>
    <row r="456" spans="1:6" ht="15" customHeight="1" outlineLevel="2" x14ac:dyDescent="0.25">
      <c r="A456" s="29">
        <v>46238</v>
      </c>
      <c r="B456" s="23" t="s">
        <v>1149</v>
      </c>
      <c r="C456" s="23"/>
      <c r="D456" s="23"/>
      <c r="E456" s="23">
        <v>186</v>
      </c>
      <c r="F456" s="28">
        <v>440</v>
      </c>
    </row>
    <row r="457" spans="1:6" ht="15" customHeight="1" outlineLevel="1" x14ac:dyDescent="0.25">
      <c r="A457" s="29"/>
      <c r="B457" s="22" t="s">
        <v>1352</v>
      </c>
      <c r="C457" s="23"/>
      <c r="D457" s="23"/>
      <c r="E457" s="22">
        <f>SUBTOTAL(9,E456:E456)</f>
        <v>186</v>
      </c>
      <c r="F457" s="28"/>
    </row>
    <row r="458" spans="1:6" ht="15" customHeight="1" outlineLevel="2" x14ac:dyDescent="0.25">
      <c r="A458" s="15" t="s">
        <v>1102</v>
      </c>
      <c r="B458" s="3" t="s">
        <v>286</v>
      </c>
      <c r="C458" s="3"/>
      <c r="D458" s="3"/>
      <c r="E458" s="3">
        <v>152</v>
      </c>
      <c r="F458" s="25">
        <v>750</v>
      </c>
    </row>
    <row r="459" spans="1:6" ht="15" customHeight="1" outlineLevel="2" x14ac:dyDescent="0.25">
      <c r="A459" s="18">
        <v>46244</v>
      </c>
      <c r="B459" s="3" t="s">
        <v>286</v>
      </c>
      <c r="C459" s="3"/>
      <c r="D459" s="3"/>
      <c r="E459" s="3">
        <v>750</v>
      </c>
      <c r="F459" s="25">
        <v>750</v>
      </c>
    </row>
    <row r="460" spans="1:6" ht="15" customHeight="1" outlineLevel="2" x14ac:dyDescent="0.25">
      <c r="A460" s="18">
        <v>46244</v>
      </c>
      <c r="B460" s="3" t="s">
        <v>286</v>
      </c>
      <c r="C460" s="3" t="s">
        <v>1177</v>
      </c>
      <c r="D460" s="3"/>
      <c r="E460" s="3">
        <v>215</v>
      </c>
      <c r="F460" s="25">
        <v>750</v>
      </c>
    </row>
    <row r="461" spans="1:6" ht="15" customHeight="1" outlineLevel="1" x14ac:dyDescent="0.25">
      <c r="A461" s="18"/>
      <c r="B461" s="19" t="s">
        <v>1353</v>
      </c>
      <c r="C461" s="3"/>
      <c r="D461" s="3"/>
      <c r="E461" s="19">
        <f>SUM(E458:E460)</f>
        <v>1117</v>
      </c>
      <c r="F461" s="25"/>
    </row>
    <row r="462" spans="1:6" ht="15" customHeight="1" outlineLevel="2" x14ac:dyDescent="0.25">
      <c r="A462" s="29">
        <v>46255</v>
      </c>
      <c r="B462" s="23" t="s">
        <v>579</v>
      </c>
      <c r="C462" s="23"/>
      <c r="D462" s="23"/>
      <c r="E462" s="23">
        <v>1142</v>
      </c>
      <c r="F462" s="28">
        <v>1500</v>
      </c>
    </row>
    <row r="463" spans="1:6" ht="15" customHeight="1" outlineLevel="1" x14ac:dyDescent="0.25">
      <c r="A463" s="29"/>
      <c r="B463" s="22" t="s">
        <v>1354</v>
      </c>
      <c r="C463" s="23"/>
      <c r="D463" s="23"/>
      <c r="E463" s="22">
        <f>SUBTOTAL(9,E462:E462)</f>
        <v>1142</v>
      </c>
      <c r="F463" s="28"/>
    </row>
    <row r="464" spans="1:6" ht="15" customHeight="1" outlineLevel="2" x14ac:dyDescent="0.25">
      <c r="A464" s="18">
        <v>46234</v>
      </c>
      <c r="B464" s="3" t="s">
        <v>393</v>
      </c>
      <c r="C464" s="3"/>
      <c r="D464" s="3"/>
      <c r="E464" s="3">
        <v>564</v>
      </c>
      <c r="F464" s="25">
        <v>960</v>
      </c>
    </row>
    <row r="465" spans="1:6" ht="15" customHeight="1" outlineLevel="2" x14ac:dyDescent="0.25">
      <c r="A465" s="18">
        <v>46234</v>
      </c>
      <c r="B465" s="3" t="s">
        <v>393</v>
      </c>
      <c r="C465" s="3"/>
      <c r="D465" s="3"/>
      <c r="E465" s="3">
        <v>625</v>
      </c>
      <c r="F465" s="25">
        <v>960</v>
      </c>
    </row>
    <row r="466" spans="1:6" ht="15" customHeight="1" outlineLevel="2" x14ac:dyDescent="0.25">
      <c r="A466" s="15" t="s">
        <v>1033</v>
      </c>
      <c r="B466" s="3" t="s">
        <v>393</v>
      </c>
      <c r="C466" s="3"/>
      <c r="D466" s="3"/>
      <c r="E466" s="3">
        <v>682</v>
      </c>
      <c r="F466" s="25">
        <v>960</v>
      </c>
    </row>
    <row r="467" spans="1:6" ht="15" customHeight="1" outlineLevel="2" x14ac:dyDescent="0.25">
      <c r="A467" s="15" t="s">
        <v>1035</v>
      </c>
      <c r="B467" s="3" t="s">
        <v>393</v>
      </c>
      <c r="C467" s="3">
        <v>560</v>
      </c>
      <c r="D467" s="3"/>
      <c r="E467" s="3">
        <v>960</v>
      </c>
      <c r="F467" s="25"/>
    </row>
    <row r="468" spans="1:6" ht="15" customHeight="1" outlineLevel="2" x14ac:dyDescent="0.25">
      <c r="A468" s="15" t="s">
        <v>1112</v>
      </c>
      <c r="B468" s="3" t="s">
        <v>393</v>
      </c>
      <c r="C468" s="3">
        <v>564</v>
      </c>
      <c r="D468" s="3"/>
      <c r="E468" s="3">
        <v>960</v>
      </c>
      <c r="F468" s="25"/>
    </row>
    <row r="469" spans="1:6" ht="15" customHeight="1" outlineLevel="2" x14ac:dyDescent="0.25">
      <c r="A469" s="15" t="s">
        <v>1112</v>
      </c>
      <c r="B469" s="3" t="s">
        <v>393</v>
      </c>
      <c r="C469" s="3">
        <v>625</v>
      </c>
      <c r="D469" s="3"/>
      <c r="E469" s="3">
        <v>960</v>
      </c>
      <c r="F469" s="25"/>
    </row>
    <row r="470" spans="1:6" ht="15" customHeight="1" outlineLevel="1" x14ac:dyDescent="0.25">
      <c r="A470" s="15"/>
      <c r="B470" s="19" t="s">
        <v>1355</v>
      </c>
      <c r="C470" s="3"/>
      <c r="D470" s="3"/>
      <c r="E470" s="19">
        <f>SUBTOTAL(9,E464:E469)</f>
        <v>4751</v>
      </c>
      <c r="F470" s="25"/>
    </row>
    <row r="471" spans="1:6" ht="15" customHeight="1" outlineLevel="2" x14ac:dyDescent="0.25">
      <c r="A471" s="29">
        <v>46234</v>
      </c>
      <c r="B471" s="23" t="s">
        <v>179</v>
      </c>
      <c r="C471" s="23"/>
      <c r="D471" s="23"/>
      <c r="E471" s="23">
        <v>684</v>
      </c>
      <c r="F471" s="28">
        <v>820</v>
      </c>
    </row>
    <row r="472" spans="1:6" ht="15" customHeight="1" outlineLevel="1" x14ac:dyDescent="0.25">
      <c r="A472" s="29"/>
      <c r="B472" s="22" t="s">
        <v>1356</v>
      </c>
      <c r="C472" s="23"/>
      <c r="D472" s="23"/>
      <c r="E472" s="22">
        <f>SUBTOTAL(9,E471:E471)</f>
        <v>684</v>
      </c>
      <c r="F472" s="28"/>
    </row>
    <row r="473" spans="1:6" ht="15" customHeight="1" outlineLevel="2" x14ac:dyDescent="0.25">
      <c r="A473" s="27" t="s">
        <v>1102</v>
      </c>
      <c r="B473" s="23" t="s">
        <v>1111</v>
      </c>
      <c r="C473" s="23"/>
      <c r="D473" s="23"/>
      <c r="E473" s="23">
        <v>215</v>
      </c>
      <c r="F473" s="28"/>
    </row>
    <row r="474" spans="1:6" ht="15" customHeight="1" outlineLevel="1" x14ac:dyDescent="0.25">
      <c r="A474" s="27"/>
      <c r="B474" s="22" t="s">
        <v>1357</v>
      </c>
      <c r="C474" s="23"/>
      <c r="D474" s="23"/>
      <c r="E474" s="22">
        <f>SUBTOTAL(9,E473:E473)</f>
        <v>215</v>
      </c>
      <c r="F474" s="28"/>
    </row>
    <row r="475" spans="1:6" ht="15" customHeight="1" outlineLevel="2" x14ac:dyDescent="0.25">
      <c r="A475" s="27" t="s">
        <v>1035</v>
      </c>
      <c r="B475" s="23" t="s">
        <v>1040</v>
      </c>
      <c r="C475" s="23"/>
      <c r="D475" s="23"/>
      <c r="E475" s="23">
        <v>166</v>
      </c>
      <c r="F475" s="28">
        <v>170</v>
      </c>
    </row>
    <row r="476" spans="1:6" ht="15" customHeight="1" outlineLevel="1" x14ac:dyDescent="0.25">
      <c r="A476" s="27"/>
      <c r="B476" s="22" t="s">
        <v>1358</v>
      </c>
      <c r="C476" s="23"/>
      <c r="D476" s="23"/>
      <c r="E476" s="22">
        <f>SUBTOTAL(9,E475:E475)</f>
        <v>166</v>
      </c>
      <c r="F476" s="28"/>
    </row>
    <row r="477" spans="1:6" ht="15" customHeight="1" outlineLevel="2" x14ac:dyDescent="0.25">
      <c r="A477" s="27" t="s">
        <v>1092</v>
      </c>
      <c r="B477" s="23" t="s">
        <v>1099</v>
      </c>
      <c r="C477" s="23"/>
      <c r="D477" s="23"/>
      <c r="E477" s="23">
        <v>332</v>
      </c>
      <c r="F477" s="28">
        <v>350</v>
      </c>
    </row>
    <row r="478" spans="1:6" ht="15" customHeight="1" outlineLevel="1" x14ac:dyDescent="0.25">
      <c r="A478" s="27"/>
      <c r="B478" s="22" t="s">
        <v>1359</v>
      </c>
      <c r="C478" s="23"/>
      <c r="D478" s="23"/>
      <c r="E478" s="22">
        <f>SUBTOTAL(9,E477:E477)</f>
        <v>332</v>
      </c>
      <c r="F478" s="28"/>
    </row>
    <row r="479" spans="1:6" ht="15" customHeight="1" outlineLevel="2" x14ac:dyDescent="0.25">
      <c r="A479" s="27" t="s">
        <v>1092</v>
      </c>
      <c r="B479" s="23" t="s">
        <v>1094</v>
      </c>
      <c r="C479" s="23"/>
      <c r="D479" s="23"/>
      <c r="E479" s="23">
        <v>684</v>
      </c>
      <c r="F479" s="28"/>
    </row>
    <row r="480" spans="1:6" ht="15" customHeight="1" outlineLevel="1" x14ac:dyDescent="0.25">
      <c r="A480" s="27"/>
      <c r="B480" s="22" t="s">
        <v>1360</v>
      </c>
      <c r="C480" s="23"/>
      <c r="D480" s="23"/>
      <c r="E480" s="22">
        <f>SUBTOTAL(9,E479:E479)</f>
        <v>684</v>
      </c>
      <c r="F480" s="28"/>
    </row>
    <row r="481" spans="1:6" ht="15" customHeight="1" outlineLevel="2" x14ac:dyDescent="0.25">
      <c r="A481" s="27" t="s">
        <v>1035</v>
      </c>
      <c r="B481" s="23" t="s">
        <v>437</v>
      </c>
      <c r="C481" s="23"/>
      <c r="D481" s="23"/>
      <c r="E481" s="23">
        <v>254</v>
      </c>
      <c r="F481" s="28">
        <v>670</v>
      </c>
    </row>
    <row r="482" spans="1:6" ht="15" customHeight="1" outlineLevel="1" x14ac:dyDescent="0.25">
      <c r="A482" s="27"/>
      <c r="B482" s="22" t="s">
        <v>1361</v>
      </c>
      <c r="C482" s="23"/>
      <c r="D482" s="23"/>
      <c r="E482" s="22">
        <f>SUBTOTAL(9,E481:E481)</f>
        <v>254</v>
      </c>
      <c r="F482" s="28"/>
    </row>
    <row r="483" spans="1:6" ht="15" customHeight="1" outlineLevel="2" x14ac:dyDescent="0.25">
      <c r="A483" s="15" t="s">
        <v>1034</v>
      </c>
      <c r="B483" s="3" t="s">
        <v>55</v>
      </c>
      <c r="C483" s="3"/>
      <c r="D483" s="3"/>
      <c r="E483" s="3">
        <v>339</v>
      </c>
      <c r="F483" s="25"/>
    </row>
    <row r="484" spans="1:6" ht="15" customHeight="1" outlineLevel="2" x14ac:dyDescent="0.25">
      <c r="A484" s="18">
        <v>46238</v>
      </c>
      <c r="B484" s="3" t="s">
        <v>55</v>
      </c>
      <c r="C484" s="3"/>
      <c r="D484" s="3"/>
      <c r="E484" s="3">
        <v>245</v>
      </c>
      <c r="F484" s="25">
        <v>825</v>
      </c>
    </row>
    <row r="485" spans="1:6" ht="15" customHeight="1" outlineLevel="1" x14ac:dyDescent="0.25">
      <c r="A485" s="18"/>
      <c r="B485" s="19" t="s">
        <v>1362</v>
      </c>
      <c r="C485" s="3"/>
      <c r="D485" s="3"/>
      <c r="E485" s="19">
        <f>SUBTOTAL(9,E483:E484)</f>
        <v>584</v>
      </c>
      <c r="F485" s="25"/>
    </row>
    <row r="486" spans="1:6" ht="15" customHeight="1" outlineLevel="2" x14ac:dyDescent="0.25">
      <c r="A486" s="15" t="s">
        <v>1035</v>
      </c>
      <c r="B486" s="3" t="s">
        <v>1043</v>
      </c>
      <c r="C486" s="3"/>
      <c r="D486" s="3"/>
      <c r="E486" s="3" t="s">
        <v>1087</v>
      </c>
      <c r="F486" s="25"/>
    </row>
    <row r="487" spans="1:6" ht="15" customHeight="1" outlineLevel="2" x14ac:dyDescent="0.25">
      <c r="A487" s="18">
        <v>46244</v>
      </c>
      <c r="B487" s="3" t="s">
        <v>1043</v>
      </c>
      <c r="C487" s="3"/>
      <c r="D487" s="3"/>
      <c r="E487" s="3">
        <v>71</v>
      </c>
      <c r="F487" s="25">
        <v>75</v>
      </c>
    </row>
    <row r="488" spans="1:6" ht="15" customHeight="1" outlineLevel="2" x14ac:dyDescent="0.25">
      <c r="A488" s="18">
        <v>46244</v>
      </c>
      <c r="B488" s="3" t="s">
        <v>1043</v>
      </c>
      <c r="C488" s="3"/>
      <c r="D488" s="3"/>
      <c r="E488" s="3">
        <v>50</v>
      </c>
      <c r="F488" s="25">
        <v>75</v>
      </c>
    </row>
    <row r="489" spans="1:6" ht="15" customHeight="1" outlineLevel="1" x14ac:dyDescent="0.25">
      <c r="A489" s="18"/>
      <c r="B489" s="19" t="s">
        <v>1363</v>
      </c>
      <c r="C489" s="3"/>
      <c r="D489" s="3"/>
      <c r="E489" s="19">
        <f>SUBTOTAL(9,E486:E488)</f>
        <v>121</v>
      </c>
      <c r="F489" s="25"/>
    </row>
    <row r="490" spans="1:6" ht="15" customHeight="1" outlineLevel="2" x14ac:dyDescent="0.25">
      <c r="A490" s="15" t="s">
        <v>1077</v>
      </c>
      <c r="B490" s="3" t="s">
        <v>138</v>
      </c>
      <c r="C490" s="3"/>
      <c r="D490" s="3"/>
      <c r="E490" s="3">
        <v>989</v>
      </c>
      <c r="F490" s="25">
        <v>1200</v>
      </c>
    </row>
    <row r="491" spans="1:6" ht="15" customHeight="1" outlineLevel="2" x14ac:dyDescent="0.25">
      <c r="A491" s="18">
        <v>46241</v>
      </c>
      <c r="B491" s="3" t="s">
        <v>138</v>
      </c>
      <c r="C491" s="3"/>
      <c r="D491" s="3"/>
      <c r="E491" s="3">
        <v>1100</v>
      </c>
      <c r="F491" s="25">
        <v>1200</v>
      </c>
    </row>
    <row r="492" spans="1:6" ht="15" customHeight="1" outlineLevel="1" x14ac:dyDescent="0.25">
      <c r="A492" s="18"/>
      <c r="B492" s="19" t="s">
        <v>1364</v>
      </c>
      <c r="C492" s="3"/>
      <c r="D492" s="3"/>
      <c r="E492" s="19">
        <f>SUM(E490:E491)</f>
        <v>2089</v>
      </c>
      <c r="F492" s="25"/>
    </row>
    <row r="493" spans="1:6" ht="15" customHeight="1" outlineLevel="2" x14ac:dyDescent="0.25">
      <c r="A493" s="29">
        <v>46246</v>
      </c>
      <c r="B493" s="23" t="s">
        <v>1179</v>
      </c>
      <c r="C493" s="23"/>
      <c r="D493" s="23"/>
      <c r="E493" s="23">
        <v>1141</v>
      </c>
      <c r="F493" s="28">
        <v>1400</v>
      </c>
    </row>
    <row r="494" spans="1:6" ht="15" customHeight="1" outlineLevel="1" x14ac:dyDescent="0.25">
      <c r="A494" s="29"/>
      <c r="B494" s="22" t="s">
        <v>1365</v>
      </c>
      <c r="C494" s="23"/>
      <c r="D494" s="23"/>
      <c r="E494" s="22">
        <f>SUBTOTAL(9,E493:E493)</f>
        <v>1141</v>
      </c>
      <c r="F494" s="28"/>
    </row>
    <row r="495" spans="1:6" ht="15" customHeight="1" outlineLevel="2" x14ac:dyDescent="0.25">
      <c r="A495" s="15" t="s">
        <v>1033</v>
      </c>
      <c r="B495" s="3" t="s">
        <v>46</v>
      </c>
      <c r="C495" s="3"/>
      <c r="D495" s="3"/>
      <c r="E495" s="3">
        <v>15177</v>
      </c>
      <c r="F495" s="25">
        <v>2300</v>
      </c>
    </row>
    <row r="496" spans="1:6" ht="15" customHeight="1" outlineLevel="2" x14ac:dyDescent="0.25">
      <c r="A496" s="15" t="s">
        <v>1112</v>
      </c>
      <c r="B496" s="3" t="s">
        <v>46</v>
      </c>
      <c r="C496" s="3"/>
      <c r="D496" s="3"/>
      <c r="E496" s="3">
        <v>2250</v>
      </c>
      <c r="F496" s="25">
        <v>2300</v>
      </c>
    </row>
    <row r="497" spans="1:6" ht="15" customHeight="1" outlineLevel="2" x14ac:dyDescent="0.25">
      <c r="A497" s="18">
        <v>46234</v>
      </c>
      <c r="B497" s="3" t="s">
        <v>46</v>
      </c>
      <c r="C497" s="3"/>
      <c r="D497" s="3"/>
      <c r="E497" s="3">
        <v>2250</v>
      </c>
      <c r="F497" s="25">
        <v>2300</v>
      </c>
    </row>
    <row r="498" spans="1:6" ht="15" customHeight="1" outlineLevel="2" x14ac:dyDescent="0.25">
      <c r="A498" s="18">
        <v>46238</v>
      </c>
      <c r="B498" s="3" t="s">
        <v>46</v>
      </c>
      <c r="C498" s="3"/>
      <c r="D498" s="3"/>
      <c r="E498" s="3">
        <v>1510</v>
      </c>
      <c r="F498" s="25">
        <v>2300</v>
      </c>
    </row>
    <row r="499" spans="1:6" ht="15" customHeight="1" outlineLevel="1" x14ac:dyDescent="0.25">
      <c r="A499" s="18"/>
      <c r="B499" s="19" t="s">
        <v>1366</v>
      </c>
      <c r="C499" s="3"/>
      <c r="D499" s="3"/>
      <c r="E499" s="19">
        <f>SUBTOTAL(9,E495:E498)</f>
        <v>21187</v>
      </c>
      <c r="F499" s="25"/>
    </row>
    <row r="500" spans="1:6" ht="15" customHeight="1" outlineLevel="2" x14ac:dyDescent="0.25">
      <c r="A500" s="18">
        <v>46253</v>
      </c>
      <c r="B500" s="3" t="s">
        <v>94</v>
      </c>
      <c r="C500" s="3" t="s">
        <v>1197</v>
      </c>
      <c r="D500" s="3"/>
      <c r="E500" s="3">
        <v>280</v>
      </c>
      <c r="F500" s="25">
        <v>410</v>
      </c>
    </row>
    <row r="501" spans="1:6" ht="15" customHeight="1" outlineLevel="2" x14ac:dyDescent="0.25">
      <c r="A501" s="18">
        <v>46253</v>
      </c>
      <c r="B501" s="3" t="s">
        <v>94</v>
      </c>
      <c r="C501" s="3"/>
      <c r="D501" s="3"/>
      <c r="E501" s="3">
        <v>260</v>
      </c>
      <c r="F501" s="25">
        <v>410</v>
      </c>
    </row>
    <row r="502" spans="1:6" ht="15" customHeight="1" outlineLevel="2" x14ac:dyDescent="0.25">
      <c r="A502" s="15" t="s">
        <v>1034</v>
      </c>
      <c r="B502" s="3" t="s">
        <v>94</v>
      </c>
      <c r="C502" s="3"/>
      <c r="D502" s="3"/>
      <c r="E502" s="3">
        <v>336</v>
      </c>
      <c r="F502" s="25">
        <v>410</v>
      </c>
    </row>
    <row r="503" spans="1:6" ht="15" customHeight="1" outlineLevel="1" x14ac:dyDescent="0.25">
      <c r="A503" s="15"/>
      <c r="B503" s="19" t="s">
        <v>1367</v>
      </c>
      <c r="C503" s="3"/>
      <c r="D503" s="3"/>
      <c r="E503" s="19">
        <f>SUM(E500:E502)</f>
        <v>876</v>
      </c>
      <c r="F503" s="25"/>
    </row>
    <row r="504" spans="1:6" ht="15" customHeight="1" outlineLevel="2" x14ac:dyDescent="0.25">
      <c r="A504" s="18">
        <v>46238</v>
      </c>
      <c r="B504" s="3" t="s">
        <v>95</v>
      </c>
      <c r="C504" s="3" t="s">
        <v>1147</v>
      </c>
      <c r="D504" s="3"/>
      <c r="E504" s="3">
        <v>1692</v>
      </c>
      <c r="F504" s="25">
        <v>1800</v>
      </c>
    </row>
    <row r="505" spans="1:6" ht="15" customHeight="1" outlineLevel="2" x14ac:dyDescent="0.25">
      <c r="A505" s="18">
        <v>46246</v>
      </c>
      <c r="B505" s="3" t="s">
        <v>95</v>
      </c>
      <c r="C505" s="3"/>
      <c r="D505" s="3"/>
      <c r="E505" s="3">
        <v>1148</v>
      </c>
      <c r="F505" s="25">
        <v>1800</v>
      </c>
    </row>
    <row r="506" spans="1:6" ht="15" customHeight="1" outlineLevel="2" x14ac:dyDescent="0.25">
      <c r="A506" s="18">
        <v>46253</v>
      </c>
      <c r="B506" s="3" t="s">
        <v>95</v>
      </c>
      <c r="C506" s="3"/>
      <c r="D506" s="3"/>
      <c r="E506" s="3">
        <v>1574</v>
      </c>
      <c r="F506" s="25">
        <v>1800</v>
      </c>
    </row>
    <row r="507" spans="1:6" ht="15" customHeight="1" outlineLevel="1" x14ac:dyDescent="0.25">
      <c r="A507" s="18"/>
      <c r="B507" s="19" t="s">
        <v>1368</v>
      </c>
      <c r="C507" s="3"/>
      <c r="D507" s="3"/>
      <c r="E507" s="19">
        <f>SUBTOTAL(9,E504:E506)</f>
        <v>4414</v>
      </c>
      <c r="F507" s="25"/>
    </row>
    <row r="508" spans="1:6" ht="15" customHeight="1" outlineLevel="2" x14ac:dyDescent="0.25">
      <c r="A508" s="27" t="s">
        <v>1102</v>
      </c>
      <c r="B508" s="23" t="s">
        <v>1108</v>
      </c>
      <c r="C508" s="23"/>
      <c r="D508" s="23"/>
      <c r="E508" s="23">
        <v>284</v>
      </c>
      <c r="F508" s="28">
        <v>550</v>
      </c>
    </row>
    <row r="509" spans="1:6" ht="15" customHeight="1" outlineLevel="1" x14ac:dyDescent="0.25">
      <c r="A509" s="27"/>
      <c r="B509" s="22" t="s">
        <v>1369</v>
      </c>
      <c r="C509" s="23"/>
      <c r="D509" s="23"/>
      <c r="E509" s="22">
        <f>SUBTOTAL(9,E508:E508)</f>
        <v>284</v>
      </c>
      <c r="F509" s="28"/>
    </row>
    <row r="510" spans="1:6" ht="15" customHeight="1" outlineLevel="2" x14ac:dyDescent="0.25">
      <c r="A510" s="18">
        <v>46238</v>
      </c>
      <c r="B510" s="3" t="s">
        <v>898</v>
      </c>
      <c r="C510" s="3"/>
      <c r="D510" s="3"/>
      <c r="E510" s="3">
        <v>64</v>
      </c>
      <c r="F510" s="25">
        <v>100</v>
      </c>
    </row>
    <row r="511" spans="1:6" ht="15" customHeight="1" outlineLevel="2" x14ac:dyDescent="0.25">
      <c r="A511" s="18">
        <v>46253</v>
      </c>
      <c r="B511" s="3" t="s">
        <v>898</v>
      </c>
      <c r="C511" s="3"/>
      <c r="D511" s="3"/>
      <c r="E511" s="3">
        <v>48</v>
      </c>
      <c r="F511" s="25">
        <v>100</v>
      </c>
    </row>
    <row r="512" spans="1:6" ht="15" customHeight="1" outlineLevel="1" x14ac:dyDescent="0.25">
      <c r="A512" s="18"/>
      <c r="B512" s="19" t="s">
        <v>1370</v>
      </c>
      <c r="C512" s="3"/>
      <c r="D512" s="3"/>
      <c r="E512" s="19">
        <f>SUBTOTAL(9,E510:E511)</f>
        <v>112</v>
      </c>
      <c r="F512" s="25"/>
    </row>
    <row r="513" spans="1:6" ht="15" customHeight="1" outlineLevel="2" x14ac:dyDescent="0.25">
      <c r="A513" s="27" t="s">
        <v>1036</v>
      </c>
      <c r="B513" s="23" t="s">
        <v>175</v>
      </c>
      <c r="C513" s="23"/>
      <c r="D513" s="23"/>
      <c r="E513" s="23" t="s">
        <v>1087</v>
      </c>
      <c r="F513" s="28">
        <v>750</v>
      </c>
    </row>
    <row r="514" spans="1:6" ht="15" customHeight="1" outlineLevel="1" x14ac:dyDescent="0.25">
      <c r="A514" s="27"/>
      <c r="B514" s="22" t="s">
        <v>1371</v>
      </c>
      <c r="C514" s="23"/>
      <c r="D514" s="23"/>
      <c r="E514" s="22">
        <f>SUBTOTAL(9,E513:E513)</f>
        <v>0</v>
      </c>
      <c r="F514" s="28"/>
    </row>
    <row r="515" spans="1:6" ht="15" customHeight="1" outlineLevel="2" x14ac:dyDescent="0.25">
      <c r="A515" s="29">
        <v>46238</v>
      </c>
      <c r="B515" s="23" t="s">
        <v>57</v>
      </c>
      <c r="C515" s="23"/>
      <c r="D515" s="23"/>
      <c r="E515" s="23">
        <v>135</v>
      </c>
      <c r="F515" s="28">
        <v>200</v>
      </c>
    </row>
    <row r="516" spans="1:6" ht="15" customHeight="1" outlineLevel="1" x14ac:dyDescent="0.25">
      <c r="A516" s="29"/>
      <c r="B516" s="22" t="s">
        <v>1372</v>
      </c>
      <c r="C516" s="23"/>
      <c r="D516" s="23"/>
      <c r="E516" s="22">
        <f>SUBTOTAL(9,E515:E515)</f>
        <v>135</v>
      </c>
      <c r="F516" s="28"/>
    </row>
    <row r="517" spans="1:6" ht="15" customHeight="1" outlineLevel="2" x14ac:dyDescent="0.25">
      <c r="A517" s="27" t="s">
        <v>1035</v>
      </c>
      <c r="B517" s="23" t="s">
        <v>398</v>
      </c>
      <c r="C517" s="23"/>
      <c r="D517" s="23"/>
      <c r="E517" s="23">
        <v>1700</v>
      </c>
      <c r="F517" s="28">
        <v>1950</v>
      </c>
    </row>
    <row r="518" spans="1:6" ht="15" customHeight="1" outlineLevel="1" x14ac:dyDescent="0.25">
      <c r="A518" s="27"/>
      <c r="B518" s="22" t="s">
        <v>1373</v>
      </c>
      <c r="C518" s="23"/>
      <c r="D518" s="23"/>
      <c r="E518" s="22">
        <f>SUBTOTAL(9,E517:E517)</f>
        <v>1700</v>
      </c>
      <c r="F518" s="28"/>
    </row>
    <row r="519" spans="1:6" ht="15" customHeight="1" outlineLevel="2" x14ac:dyDescent="0.25">
      <c r="A519" s="15" t="s">
        <v>1036</v>
      </c>
      <c r="B519" s="3" t="s">
        <v>209</v>
      </c>
      <c r="C519" s="3"/>
      <c r="D519" s="3"/>
      <c r="E519" s="3">
        <v>332</v>
      </c>
      <c r="F519" s="25">
        <v>400</v>
      </c>
    </row>
    <row r="520" spans="1:6" ht="15" customHeight="1" outlineLevel="2" x14ac:dyDescent="0.25">
      <c r="A520" s="18">
        <v>46234</v>
      </c>
      <c r="B520" s="3" t="s">
        <v>209</v>
      </c>
      <c r="C520" s="3"/>
      <c r="D520" s="3"/>
      <c r="E520" s="3">
        <v>384</v>
      </c>
      <c r="F520" s="25">
        <v>400</v>
      </c>
    </row>
    <row r="521" spans="1:6" ht="15" customHeight="1" outlineLevel="2" x14ac:dyDescent="0.25">
      <c r="A521" s="18">
        <v>46244</v>
      </c>
      <c r="B521" s="3" t="s">
        <v>209</v>
      </c>
      <c r="C521" s="3" t="s">
        <v>1173</v>
      </c>
      <c r="D521" s="3"/>
      <c r="E521" s="3">
        <v>357</v>
      </c>
      <c r="F521" s="25">
        <v>400</v>
      </c>
    </row>
    <row r="522" spans="1:6" ht="15" customHeight="1" outlineLevel="1" x14ac:dyDescent="0.25">
      <c r="A522" s="18"/>
      <c r="B522" s="19" t="s">
        <v>1374</v>
      </c>
      <c r="C522" s="3"/>
      <c r="D522" s="3"/>
      <c r="E522" s="19">
        <f>SUM(E519:E521)</f>
        <v>1073</v>
      </c>
      <c r="F522" s="25"/>
    </row>
    <row r="523" spans="1:6" ht="15" customHeight="1" outlineLevel="2" x14ac:dyDescent="0.25">
      <c r="A523" s="27" t="s">
        <v>1035</v>
      </c>
      <c r="B523" s="23" t="s">
        <v>1039</v>
      </c>
      <c r="C523" s="23"/>
      <c r="D523" s="23"/>
      <c r="E523" s="23">
        <v>1060</v>
      </c>
      <c r="F523" s="28"/>
    </row>
    <row r="524" spans="1:6" ht="15" customHeight="1" outlineLevel="1" x14ac:dyDescent="0.25">
      <c r="A524" s="27"/>
      <c r="B524" s="22" t="s">
        <v>1375</v>
      </c>
      <c r="C524" s="23"/>
      <c r="D524" s="23"/>
      <c r="E524" s="22">
        <f>SUBTOTAL(9,E523:E523)</f>
        <v>1060</v>
      </c>
      <c r="F524" s="28"/>
    </row>
    <row r="525" spans="1:6" ht="15" customHeight="1" outlineLevel="2" x14ac:dyDescent="0.25">
      <c r="A525" s="18">
        <v>46234</v>
      </c>
      <c r="B525" s="3" t="s">
        <v>832</v>
      </c>
      <c r="C525" s="3"/>
      <c r="D525" s="3"/>
      <c r="E525" s="3">
        <v>547</v>
      </c>
      <c r="F525" s="25">
        <v>750</v>
      </c>
    </row>
    <row r="526" spans="1:6" ht="15" customHeight="1" outlineLevel="2" x14ac:dyDescent="0.25">
      <c r="A526" s="15" t="s">
        <v>1036</v>
      </c>
      <c r="B526" s="3" t="s">
        <v>832</v>
      </c>
      <c r="C526" s="3"/>
      <c r="D526" s="3"/>
      <c r="E526" s="3">
        <v>666</v>
      </c>
      <c r="F526" s="25">
        <v>750</v>
      </c>
    </row>
    <row r="527" spans="1:6" ht="15" customHeight="1" outlineLevel="2" x14ac:dyDescent="0.25">
      <c r="A527" s="15" t="s">
        <v>1112</v>
      </c>
      <c r="B527" s="3" t="s">
        <v>832</v>
      </c>
      <c r="C527" s="3"/>
      <c r="D527" s="3"/>
      <c r="E527" s="3">
        <v>547</v>
      </c>
      <c r="F527" s="25">
        <v>750</v>
      </c>
    </row>
    <row r="528" spans="1:6" ht="15" customHeight="1" outlineLevel="1" x14ac:dyDescent="0.25">
      <c r="A528" s="15"/>
      <c r="B528" s="19" t="s">
        <v>1376</v>
      </c>
      <c r="C528" s="3"/>
      <c r="D528" s="3"/>
      <c r="E528" s="19">
        <f>SUM(E525:E527)</f>
        <v>1760</v>
      </c>
      <c r="F528" s="25"/>
    </row>
    <row r="529" spans="1:6" ht="15" customHeight="1" outlineLevel="2" x14ac:dyDescent="0.25">
      <c r="A529" s="27" t="s">
        <v>1077</v>
      </c>
      <c r="B529" s="23" t="s">
        <v>1083</v>
      </c>
      <c r="C529" s="23"/>
      <c r="D529" s="23"/>
      <c r="E529" s="23">
        <v>620</v>
      </c>
      <c r="F529" s="28"/>
    </row>
    <row r="530" spans="1:6" ht="15" customHeight="1" outlineLevel="1" x14ac:dyDescent="0.25">
      <c r="A530" s="27"/>
      <c r="B530" s="22" t="s">
        <v>1377</v>
      </c>
      <c r="C530" s="23"/>
      <c r="D530" s="23"/>
      <c r="E530" s="22">
        <f>SUBTOTAL(9,E529:E529)</f>
        <v>620</v>
      </c>
      <c r="F530" s="28"/>
    </row>
    <row r="531" spans="1:6" ht="15" customHeight="1" outlineLevel="2" x14ac:dyDescent="0.25">
      <c r="A531" s="18">
        <v>46234</v>
      </c>
      <c r="B531" s="3" t="s">
        <v>319</v>
      </c>
      <c r="C531" s="3"/>
      <c r="D531" s="3"/>
      <c r="E531" s="3">
        <v>544</v>
      </c>
      <c r="F531" s="25">
        <v>950</v>
      </c>
    </row>
    <row r="532" spans="1:6" ht="15" customHeight="1" outlineLevel="2" x14ac:dyDescent="0.25">
      <c r="A532" s="18">
        <v>46246</v>
      </c>
      <c r="B532" s="3" t="s">
        <v>1180</v>
      </c>
      <c r="C532" s="3"/>
      <c r="D532" s="3"/>
      <c r="E532" s="3">
        <v>459</v>
      </c>
      <c r="F532" s="25">
        <v>950</v>
      </c>
    </row>
    <row r="533" spans="1:6" ht="15" customHeight="1" outlineLevel="1" x14ac:dyDescent="0.25">
      <c r="A533" s="18"/>
      <c r="B533" s="19" t="s">
        <v>1378</v>
      </c>
      <c r="C533" s="3"/>
      <c r="D533" s="3"/>
      <c r="E533" s="19">
        <f>SUBTOTAL(9,E531:E532)</f>
        <v>1003</v>
      </c>
      <c r="F533" s="25"/>
    </row>
    <row r="534" spans="1:6" ht="15" customHeight="1" outlineLevel="1" x14ac:dyDescent="0.25">
      <c r="A534" s="18" t="s">
        <v>1512</v>
      </c>
      <c r="B534" s="19" t="s">
        <v>624</v>
      </c>
      <c r="C534" s="3"/>
      <c r="D534" s="3"/>
      <c r="E534" s="19">
        <v>330</v>
      </c>
      <c r="F534" s="25">
        <v>750</v>
      </c>
    </row>
    <row r="535" spans="1:6" ht="15" customHeight="1" outlineLevel="2" x14ac:dyDescent="0.25">
      <c r="A535" s="15" t="s">
        <v>1034</v>
      </c>
      <c r="B535" s="3" t="s">
        <v>624</v>
      </c>
      <c r="C535" s="3"/>
      <c r="D535" s="3"/>
      <c r="E535" s="3">
        <v>587</v>
      </c>
      <c r="F535" s="25">
        <v>750</v>
      </c>
    </row>
    <row r="536" spans="1:6" ht="15" customHeight="1" outlineLevel="2" x14ac:dyDescent="0.25">
      <c r="A536" s="18">
        <v>46255</v>
      </c>
      <c r="B536" s="3" t="s">
        <v>624</v>
      </c>
      <c r="C536" s="3"/>
      <c r="D536" s="3"/>
      <c r="E536" s="3">
        <v>458</v>
      </c>
      <c r="F536" s="25">
        <v>750</v>
      </c>
    </row>
    <row r="537" spans="1:6" ht="15" customHeight="1" outlineLevel="1" x14ac:dyDescent="0.25">
      <c r="A537" s="18"/>
      <c r="B537" s="19" t="s">
        <v>1379</v>
      </c>
      <c r="C537" s="3"/>
      <c r="D537" s="3"/>
      <c r="E537" s="19">
        <f>SUM(E534:E536)</f>
        <v>1375</v>
      </c>
      <c r="F537" s="25"/>
    </row>
    <row r="538" spans="1:6" ht="15" customHeight="1" outlineLevel="2" x14ac:dyDescent="0.25">
      <c r="A538" s="15" t="s">
        <v>1036</v>
      </c>
      <c r="B538" s="3" t="s">
        <v>258</v>
      </c>
      <c r="C538" s="3"/>
      <c r="D538" s="3"/>
      <c r="E538" s="3">
        <v>208</v>
      </c>
      <c r="F538" s="25">
        <v>290</v>
      </c>
    </row>
    <row r="539" spans="1:6" ht="15" customHeight="1" outlineLevel="2" x14ac:dyDescent="0.25">
      <c r="A539" s="18">
        <v>46241</v>
      </c>
      <c r="B539" s="3" t="s">
        <v>258</v>
      </c>
      <c r="C539" s="3"/>
      <c r="D539" s="3"/>
      <c r="E539" s="3">
        <v>226</v>
      </c>
      <c r="F539" s="25">
        <v>290</v>
      </c>
    </row>
    <row r="540" spans="1:6" ht="15" customHeight="1" outlineLevel="2" x14ac:dyDescent="0.25">
      <c r="A540" s="18">
        <v>46255</v>
      </c>
      <c r="B540" s="3" t="s">
        <v>258</v>
      </c>
      <c r="C540" s="3" t="s">
        <v>1212</v>
      </c>
      <c r="D540" s="3"/>
      <c r="E540" s="3">
        <v>236</v>
      </c>
      <c r="F540" s="25">
        <v>290</v>
      </c>
    </row>
    <row r="541" spans="1:6" ht="15" customHeight="1" outlineLevel="1" x14ac:dyDescent="0.25">
      <c r="A541" s="18"/>
      <c r="B541" s="19" t="s">
        <v>1380</v>
      </c>
      <c r="C541" s="3"/>
      <c r="D541" s="3"/>
      <c r="E541" s="19">
        <f>SUM(E538:E540)</f>
        <v>670</v>
      </c>
      <c r="F541" s="25"/>
    </row>
    <row r="542" spans="1:6" ht="15" customHeight="1" outlineLevel="2" x14ac:dyDescent="0.25">
      <c r="A542" s="29">
        <v>46255</v>
      </c>
      <c r="B542" s="23" t="s">
        <v>1208</v>
      </c>
      <c r="C542" s="23"/>
      <c r="D542" s="23"/>
      <c r="E542" s="23">
        <v>202</v>
      </c>
      <c r="F542" s="28">
        <v>230</v>
      </c>
    </row>
    <row r="543" spans="1:6" ht="15" customHeight="1" outlineLevel="1" x14ac:dyDescent="0.25">
      <c r="A543" s="29"/>
      <c r="B543" s="22" t="s">
        <v>1381</v>
      </c>
      <c r="C543" s="23"/>
      <c r="D543" s="23"/>
      <c r="E543" s="22">
        <f>SUBTOTAL(9,E542:E542)</f>
        <v>202</v>
      </c>
      <c r="F543" s="28"/>
    </row>
    <row r="544" spans="1:6" ht="15" customHeight="1" outlineLevel="2" x14ac:dyDescent="0.25">
      <c r="A544" s="27" t="s">
        <v>1077</v>
      </c>
      <c r="B544" s="23" t="s">
        <v>1085</v>
      </c>
      <c r="C544" s="23"/>
      <c r="D544" s="23"/>
      <c r="E544" s="23">
        <v>120</v>
      </c>
      <c r="F544" s="28"/>
    </row>
    <row r="545" spans="1:6" ht="15" customHeight="1" outlineLevel="1" x14ac:dyDescent="0.25">
      <c r="A545" s="27"/>
      <c r="B545" s="22" t="s">
        <v>1382</v>
      </c>
      <c r="C545" s="23"/>
      <c r="D545" s="23"/>
      <c r="E545" s="22">
        <f>SUBTOTAL(9,E544:E544)</f>
        <v>120</v>
      </c>
      <c r="F545" s="28"/>
    </row>
    <row r="546" spans="1:6" ht="15" customHeight="1" outlineLevel="2" x14ac:dyDescent="0.25">
      <c r="A546" s="27" t="s">
        <v>1102</v>
      </c>
      <c r="B546" s="23" t="s">
        <v>1106</v>
      </c>
      <c r="C546" s="23"/>
      <c r="D546" s="23"/>
      <c r="E546" s="23">
        <v>324</v>
      </c>
      <c r="F546" s="28"/>
    </row>
    <row r="547" spans="1:6" ht="15" customHeight="1" outlineLevel="1" x14ac:dyDescent="0.25">
      <c r="A547" s="27"/>
      <c r="B547" s="22" t="s">
        <v>1383</v>
      </c>
      <c r="C547" s="23"/>
      <c r="D547" s="23"/>
      <c r="E547" s="22">
        <f>SUBTOTAL(9,E546:E546)</f>
        <v>324</v>
      </c>
      <c r="F547" s="28"/>
    </row>
    <row r="548" spans="1:6" ht="15" customHeight="1" outlineLevel="2" x14ac:dyDescent="0.25">
      <c r="A548" s="27" t="s">
        <v>1102</v>
      </c>
      <c r="B548" s="23" t="s">
        <v>137</v>
      </c>
      <c r="C548" s="23"/>
      <c r="D548" s="23"/>
      <c r="E548" s="23">
        <v>1856</v>
      </c>
      <c r="F548" s="28">
        <v>2050</v>
      </c>
    </row>
    <row r="549" spans="1:6" ht="15" customHeight="1" outlineLevel="1" x14ac:dyDescent="0.25">
      <c r="A549" s="27"/>
      <c r="B549" s="22" t="s">
        <v>1384</v>
      </c>
      <c r="C549" s="23"/>
      <c r="D549" s="23"/>
      <c r="E549" s="22">
        <f>SUBTOTAL(9,E548:E548)</f>
        <v>1856</v>
      </c>
      <c r="F549" s="28"/>
    </row>
    <row r="550" spans="1:6" ht="15" customHeight="1" outlineLevel="2" x14ac:dyDescent="0.25">
      <c r="A550" s="29">
        <v>46238</v>
      </c>
      <c r="B550" s="23" t="s">
        <v>331</v>
      </c>
      <c r="C550" s="23"/>
      <c r="D550" s="23"/>
      <c r="E550" s="23">
        <v>340</v>
      </c>
      <c r="F550" s="28">
        <v>360</v>
      </c>
    </row>
    <row r="551" spans="1:6" ht="15" customHeight="1" outlineLevel="1" x14ac:dyDescent="0.25">
      <c r="A551" s="29"/>
      <c r="B551" s="22" t="s">
        <v>1385</v>
      </c>
      <c r="C551" s="23"/>
      <c r="D551" s="23"/>
      <c r="E551" s="22">
        <f>SUBTOTAL(9,E550:E550)</f>
        <v>340</v>
      </c>
      <c r="F551" s="28"/>
    </row>
    <row r="552" spans="1:6" ht="15" customHeight="1" outlineLevel="2" x14ac:dyDescent="0.25">
      <c r="A552" s="29">
        <v>46234</v>
      </c>
      <c r="B552" s="23" t="s">
        <v>10</v>
      </c>
      <c r="C552" s="23"/>
      <c r="D552" s="23"/>
      <c r="E552" s="23">
        <v>245</v>
      </c>
      <c r="F552" s="28">
        <v>380</v>
      </c>
    </row>
    <row r="553" spans="1:6" ht="15" customHeight="1" outlineLevel="1" x14ac:dyDescent="0.25">
      <c r="A553" s="29"/>
      <c r="B553" s="22" t="s">
        <v>1386</v>
      </c>
      <c r="C553" s="23"/>
      <c r="D553" s="23"/>
      <c r="E553" s="22">
        <f>SUBTOTAL(9,E552:E552)</f>
        <v>245</v>
      </c>
      <c r="F553" s="28"/>
    </row>
    <row r="554" spans="1:6" ht="15" customHeight="1" outlineLevel="2" x14ac:dyDescent="0.25">
      <c r="A554" s="27" t="s">
        <v>1034</v>
      </c>
      <c r="B554" s="23" t="s">
        <v>362</v>
      </c>
      <c r="C554" s="23"/>
      <c r="D554" s="23"/>
      <c r="E554" s="23">
        <v>370</v>
      </c>
      <c r="F554" s="28">
        <v>440</v>
      </c>
    </row>
    <row r="555" spans="1:6" ht="15" customHeight="1" outlineLevel="1" x14ac:dyDescent="0.25">
      <c r="A555" s="27"/>
      <c r="B555" s="22" t="s">
        <v>1387</v>
      </c>
      <c r="C555" s="23"/>
      <c r="D555" s="23"/>
      <c r="E555" s="22">
        <f>SUBTOTAL(9,E554:E554)</f>
        <v>370</v>
      </c>
      <c r="F555" s="28"/>
    </row>
    <row r="556" spans="1:6" ht="15" customHeight="1" outlineLevel="2" x14ac:dyDescent="0.25">
      <c r="A556" s="27" t="s">
        <v>1035</v>
      </c>
      <c r="B556" s="23" t="s">
        <v>143</v>
      </c>
      <c r="C556" s="23"/>
      <c r="D556" s="23"/>
      <c r="E556" s="23" t="s">
        <v>1087</v>
      </c>
      <c r="F556" s="28"/>
    </row>
    <row r="557" spans="1:6" ht="15" customHeight="1" outlineLevel="1" x14ac:dyDescent="0.25">
      <c r="A557" s="27"/>
      <c r="B557" s="22" t="s">
        <v>1388</v>
      </c>
      <c r="C557" s="23"/>
      <c r="D557" s="23"/>
      <c r="E557" s="22">
        <f>SUBTOTAL(9,E556:E556)</f>
        <v>0</v>
      </c>
      <c r="F557" s="28"/>
    </row>
    <row r="558" spans="1:6" ht="15" customHeight="1" outlineLevel="2" x14ac:dyDescent="0.25">
      <c r="A558" s="27" t="s">
        <v>1092</v>
      </c>
      <c r="B558" s="23" t="s">
        <v>9</v>
      </c>
      <c r="C558" s="23"/>
      <c r="D558" s="23"/>
      <c r="E558" s="23">
        <v>313</v>
      </c>
      <c r="F558" s="28"/>
    </row>
    <row r="559" spans="1:6" ht="15" customHeight="1" outlineLevel="1" x14ac:dyDescent="0.25">
      <c r="A559" s="27"/>
      <c r="B559" s="22" t="s">
        <v>1389</v>
      </c>
      <c r="C559" s="23"/>
      <c r="D559" s="23"/>
      <c r="E559" s="22">
        <f>SUBTOTAL(9,E558:E558)</f>
        <v>313</v>
      </c>
      <c r="F559" s="28">
        <v>460</v>
      </c>
    </row>
    <row r="560" spans="1:6" ht="15" customHeight="1" outlineLevel="2" x14ac:dyDescent="0.25">
      <c r="A560" s="27" t="s">
        <v>1092</v>
      </c>
      <c r="B560" s="23" t="s">
        <v>1506</v>
      </c>
      <c r="C560" s="23"/>
      <c r="D560" s="23"/>
      <c r="E560" s="23">
        <v>117</v>
      </c>
      <c r="F560" s="28"/>
    </row>
    <row r="561" spans="1:6" ht="15" customHeight="1" outlineLevel="1" x14ac:dyDescent="0.25">
      <c r="A561" s="27"/>
      <c r="B561" s="22" t="s">
        <v>1507</v>
      </c>
      <c r="C561" s="23"/>
      <c r="D561" s="23"/>
      <c r="E561" s="22">
        <f>SUBTOTAL(9,E560:E560)</f>
        <v>117</v>
      </c>
      <c r="F561" s="28"/>
    </row>
    <row r="562" spans="1:6" ht="15" customHeight="1" outlineLevel="2" x14ac:dyDescent="0.25">
      <c r="A562" s="27" t="s">
        <v>1077</v>
      </c>
      <c r="B562" s="23" t="s">
        <v>1078</v>
      </c>
      <c r="C562" s="23"/>
      <c r="D562" s="23"/>
      <c r="E562" s="23">
        <v>740</v>
      </c>
      <c r="F562" s="28"/>
    </row>
    <row r="563" spans="1:6" ht="15" customHeight="1" outlineLevel="1" x14ac:dyDescent="0.25">
      <c r="A563" s="27"/>
      <c r="B563" s="22" t="s">
        <v>1390</v>
      </c>
      <c r="C563" s="23"/>
      <c r="D563" s="23"/>
      <c r="E563" s="22">
        <f>SUBTOTAL(9,E562:E562)</f>
        <v>740</v>
      </c>
      <c r="F563" s="28"/>
    </row>
    <row r="564" spans="1:6" ht="15" customHeight="1" outlineLevel="2" x14ac:dyDescent="0.25">
      <c r="A564" s="27" t="s">
        <v>1102</v>
      </c>
      <c r="B564" s="23" t="s">
        <v>1107</v>
      </c>
      <c r="C564" s="23"/>
      <c r="D564" s="23"/>
      <c r="E564" s="23">
        <v>278</v>
      </c>
      <c r="F564" s="28"/>
    </row>
    <row r="565" spans="1:6" ht="15" customHeight="1" outlineLevel="1" x14ac:dyDescent="0.25">
      <c r="A565" s="27"/>
      <c r="B565" s="22" t="s">
        <v>1391</v>
      </c>
      <c r="C565" s="23"/>
      <c r="D565" s="23"/>
      <c r="E565" s="23">
        <f>SUBTOTAL(9,E564:E564)</f>
        <v>278</v>
      </c>
      <c r="F565" s="28"/>
    </row>
    <row r="566" spans="1:6" ht="15" customHeight="1" outlineLevel="2" x14ac:dyDescent="0.25">
      <c r="A566" s="15" t="s">
        <v>1035</v>
      </c>
      <c r="B566" s="3" t="s">
        <v>212</v>
      </c>
      <c r="C566" s="3"/>
      <c r="D566" s="3"/>
      <c r="E566" s="3"/>
      <c r="F566" s="25"/>
    </row>
    <row r="567" spans="1:6" ht="15" customHeight="1" outlineLevel="2" x14ac:dyDescent="0.25">
      <c r="A567" s="18">
        <v>46241</v>
      </c>
      <c r="B567" s="3" t="s">
        <v>212</v>
      </c>
      <c r="C567" s="3" t="s">
        <v>1163</v>
      </c>
      <c r="D567" s="3"/>
      <c r="E567" s="3">
        <v>712</v>
      </c>
      <c r="F567" s="25">
        <v>1250</v>
      </c>
    </row>
    <row r="568" spans="1:6" ht="15" customHeight="1" outlineLevel="2" x14ac:dyDescent="0.25">
      <c r="A568" s="18">
        <v>46241</v>
      </c>
      <c r="B568" s="3" t="s">
        <v>212</v>
      </c>
      <c r="C568" s="3"/>
      <c r="D568" s="3"/>
      <c r="E568" s="3">
        <v>1070</v>
      </c>
      <c r="F568" s="25">
        <v>1250</v>
      </c>
    </row>
    <row r="569" spans="1:6" ht="15" customHeight="1" outlineLevel="2" x14ac:dyDescent="0.25">
      <c r="A569" s="18">
        <v>46241</v>
      </c>
      <c r="B569" s="3" t="s">
        <v>212</v>
      </c>
      <c r="C569" s="3"/>
      <c r="D569" s="3"/>
      <c r="E569" s="3">
        <v>1049</v>
      </c>
      <c r="F569" s="25">
        <v>1250</v>
      </c>
    </row>
    <row r="570" spans="1:6" ht="15" customHeight="1" outlineLevel="2" x14ac:dyDescent="0.25">
      <c r="A570" s="18">
        <v>46255</v>
      </c>
      <c r="B570" s="3" t="s">
        <v>212</v>
      </c>
      <c r="C570" s="3"/>
      <c r="D570" s="3"/>
      <c r="E570" s="3">
        <v>771</v>
      </c>
      <c r="F570" s="25">
        <v>1250</v>
      </c>
    </row>
    <row r="571" spans="1:6" ht="15" customHeight="1" outlineLevel="2" x14ac:dyDescent="0.25">
      <c r="A571" s="18">
        <v>46255</v>
      </c>
      <c r="B571" s="3" t="s">
        <v>212</v>
      </c>
      <c r="C571" s="3" t="s">
        <v>1216</v>
      </c>
      <c r="D571" s="3"/>
      <c r="E571" s="3">
        <v>624</v>
      </c>
      <c r="F571" s="25">
        <v>1250</v>
      </c>
    </row>
    <row r="572" spans="1:6" ht="15" customHeight="1" outlineLevel="1" x14ac:dyDescent="0.25">
      <c r="A572" s="18"/>
      <c r="B572" s="19" t="s">
        <v>1392</v>
      </c>
      <c r="C572" s="3"/>
      <c r="D572" s="3"/>
      <c r="E572" s="19">
        <f>SUBTOTAL(9,E566:E571)</f>
        <v>4226</v>
      </c>
      <c r="F572" s="25"/>
    </row>
    <row r="573" spans="1:6" ht="15" customHeight="1" outlineLevel="2" x14ac:dyDescent="0.25">
      <c r="A573" s="27" t="s">
        <v>1092</v>
      </c>
      <c r="B573" s="23" t="s">
        <v>1100</v>
      </c>
      <c r="C573" s="23"/>
      <c r="D573" s="23"/>
      <c r="E573" s="23">
        <v>1320</v>
      </c>
      <c r="F573" s="28"/>
    </row>
    <row r="574" spans="1:6" ht="15" customHeight="1" outlineLevel="1" x14ac:dyDescent="0.25">
      <c r="A574" s="27"/>
      <c r="B574" s="22" t="s">
        <v>1393</v>
      </c>
      <c r="C574" s="23"/>
      <c r="D574" s="23"/>
      <c r="E574" s="22">
        <f>SUBTOTAL(9,E573:E573)</f>
        <v>1320</v>
      </c>
      <c r="F574" s="28"/>
    </row>
    <row r="575" spans="1:6" ht="15" customHeight="1" outlineLevel="2" x14ac:dyDescent="0.25">
      <c r="A575" s="27" t="s">
        <v>1035</v>
      </c>
      <c r="B575" s="23" t="s">
        <v>1042</v>
      </c>
      <c r="C575" s="23"/>
      <c r="D575" s="23"/>
      <c r="E575" s="23">
        <v>233</v>
      </c>
      <c r="F575" s="28">
        <v>300</v>
      </c>
    </row>
    <row r="576" spans="1:6" ht="15" customHeight="1" outlineLevel="1" x14ac:dyDescent="0.25">
      <c r="A576" s="27"/>
      <c r="B576" s="22" t="s">
        <v>1394</v>
      </c>
      <c r="C576" s="23"/>
      <c r="D576" s="23"/>
      <c r="E576" s="22">
        <f>SUBTOTAL(9,E575:E575)</f>
        <v>233</v>
      </c>
      <c r="F576" s="28"/>
    </row>
    <row r="577" spans="1:6" ht="15" customHeight="1" outlineLevel="2" x14ac:dyDescent="0.25">
      <c r="A577" s="27" t="s">
        <v>1077</v>
      </c>
      <c r="B577" s="23" t="s">
        <v>1084</v>
      </c>
      <c r="C577" s="23"/>
      <c r="D577" s="23"/>
      <c r="E577" s="23">
        <v>946</v>
      </c>
      <c r="F577" s="28"/>
    </row>
    <row r="578" spans="1:6" ht="15" customHeight="1" outlineLevel="1" x14ac:dyDescent="0.25">
      <c r="A578" s="27"/>
      <c r="B578" s="22" t="s">
        <v>1395</v>
      </c>
      <c r="C578" s="23"/>
      <c r="D578" s="23"/>
      <c r="E578" s="22">
        <f>SUBTOTAL(9,E577:E577)</f>
        <v>946</v>
      </c>
      <c r="F578" s="28"/>
    </row>
    <row r="579" spans="1:6" ht="15" customHeight="1" outlineLevel="2" x14ac:dyDescent="0.25">
      <c r="A579" s="29">
        <v>46234</v>
      </c>
      <c r="B579" s="23" t="s">
        <v>1139</v>
      </c>
      <c r="C579" s="23" t="s">
        <v>1140</v>
      </c>
      <c r="D579" s="23"/>
      <c r="E579" s="23">
        <v>637</v>
      </c>
      <c r="F579" s="28">
        <v>875</v>
      </c>
    </row>
    <row r="580" spans="1:6" ht="15" customHeight="1" outlineLevel="1" x14ac:dyDescent="0.25">
      <c r="A580" s="29"/>
      <c r="B580" s="22" t="s">
        <v>1396</v>
      </c>
      <c r="C580" s="23"/>
      <c r="D580" s="23"/>
      <c r="E580" s="22">
        <f>SUBTOTAL(9,E579:E579)</f>
        <v>637</v>
      </c>
      <c r="F580" s="28"/>
    </row>
    <row r="581" spans="1:6" ht="15" customHeight="1" outlineLevel="2" x14ac:dyDescent="0.25">
      <c r="A581" s="27" t="s">
        <v>1102</v>
      </c>
      <c r="B581" s="23" t="s">
        <v>1103</v>
      </c>
      <c r="C581" s="23"/>
      <c r="D581" s="23"/>
      <c r="E581" s="23" t="s">
        <v>1087</v>
      </c>
      <c r="F581" s="28"/>
    </row>
    <row r="582" spans="1:6" ht="15" customHeight="1" outlineLevel="1" x14ac:dyDescent="0.25">
      <c r="A582" s="27"/>
      <c r="B582" s="22" t="s">
        <v>1397</v>
      </c>
      <c r="C582" s="23"/>
      <c r="D582" s="23"/>
      <c r="E582" s="22">
        <f>SUBTOTAL(9,E581:E581)</f>
        <v>0</v>
      </c>
      <c r="F582" s="28"/>
    </row>
    <row r="583" spans="1:6" ht="15" customHeight="1" outlineLevel="2" x14ac:dyDescent="0.25">
      <c r="A583" s="18">
        <v>46234</v>
      </c>
      <c r="B583" s="3" t="s">
        <v>404</v>
      </c>
      <c r="C583" s="3" t="s">
        <v>1114</v>
      </c>
      <c r="D583" s="3"/>
      <c r="E583" s="3">
        <v>1255</v>
      </c>
      <c r="F583" s="25">
        <v>1300</v>
      </c>
    </row>
    <row r="584" spans="1:6" ht="15" customHeight="1" outlineLevel="2" x14ac:dyDescent="0.25">
      <c r="A584" s="15" t="s">
        <v>1112</v>
      </c>
      <c r="B584" s="3" t="s">
        <v>404</v>
      </c>
      <c r="C584" s="3"/>
      <c r="D584" s="3"/>
      <c r="E584" s="3">
        <v>1255</v>
      </c>
      <c r="F584" s="25">
        <v>1300</v>
      </c>
    </row>
    <row r="585" spans="1:6" ht="15" customHeight="1" outlineLevel="1" x14ac:dyDescent="0.25">
      <c r="A585" s="15"/>
      <c r="B585" s="19" t="s">
        <v>1398</v>
      </c>
      <c r="C585" s="3"/>
      <c r="D585" s="3"/>
      <c r="E585" s="19">
        <f>SUBTOTAL(9,E583:E584)</f>
        <v>2510</v>
      </c>
      <c r="F585" s="25"/>
    </row>
    <row r="586" spans="1:6" ht="15" customHeight="1" outlineLevel="2" x14ac:dyDescent="0.25">
      <c r="A586" s="27" t="s">
        <v>1034</v>
      </c>
      <c r="B586" s="23" t="s">
        <v>809</v>
      </c>
      <c r="C586" s="23"/>
      <c r="D586" s="23"/>
      <c r="E586" s="23" t="s">
        <v>1087</v>
      </c>
      <c r="F586" s="28"/>
    </row>
    <row r="587" spans="1:6" ht="15" customHeight="1" outlineLevel="1" x14ac:dyDescent="0.25">
      <c r="A587" s="27"/>
      <c r="B587" s="22" t="s">
        <v>1399</v>
      </c>
      <c r="C587" s="23"/>
      <c r="D587" s="23"/>
      <c r="E587" s="22">
        <f>SUBTOTAL(9,E586:E586)</f>
        <v>0</v>
      </c>
      <c r="F587" s="28"/>
    </row>
    <row r="588" spans="1:6" ht="15" customHeight="1" outlineLevel="2" x14ac:dyDescent="0.25">
      <c r="A588" s="15" t="s">
        <v>1036</v>
      </c>
      <c r="B588" s="3" t="s">
        <v>607</v>
      </c>
      <c r="C588" s="3"/>
      <c r="D588" s="3"/>
      <c r="E588" s="3">
        <v>406</v>
      </c>
      <c r="F588" s="25">
        <v>700</v>
      </c>
    </row>
    <row r="589" spans="1:6" ht="15" customHeight="1" outlineLevel="2" x14ac:dyDescent="0.25">
      <c r="A589" s="18">
        <v>46238</v>
      </c>
      <c r="B589" s="3" t="s">
        <v>607</v>
      </c>
      <c r="C589" s="3"/>
      <c r="D589" s="3"/>
      <c r="E589" s="3">
        <v>367</v>
      </c>
      <c r="F589" s="25">
        <v>700</v>
      </c>
    </row>
    <row r="590" spans="1:6" ht="15" customHeight="1" outlineLevel="2" x14ac:dyDescent="0.25">
      <c r="A590" s="18">
        <v>46241</v>
      </c>
      <c r="B590" s="3" t="s">
        <v>607</v>
      </c>
      <c r="C590" s="3"/>
      <c r="D590" s="3"/>
      <c r="E590" s="3">
        <v>590</v>
      </c>
      <c r="F590" s="25">
        <v>700</v>
      </c>
    </row>
    <row r="591" spans="1:6" ht="15" customHeight="1" outlineLevel="2" x14ac:dyDescent="0.25">
      <c r="A591" s="18">
        <v>46241</v>
      </c>
      <c r="B591" s="3" t="s">
        <v>607</v>
      </c>
      <c r="C591" s="3" t="s">
        <v>1154</v>
      </c>
      <c r="D591" s="3"/>
      <c r="E591" s="3">
        <v>532</v>
      </c>
      <c r="F591" s="25">
        <v>700</v>
      </c>
    </row>
    <row r="592" spans="1:6" ht="15" customHeight="1" outlineLevel="1" x14ac:dyDescent="0.25">
      <c r="A592" s="18"/>
      <c r="B592" s="19" t="s">
        <v>1400</v>
      </c>
      <c r="C592" s="3"/>
      <c r="D592" s="3"/>
      <c r="E592" s="19">
        <f>SUBTOTAL(9,E588:E591)</f>
        <v>1895</v>
      </c>
      <c r="F592" s="25"/>
    </row>
    <row r="593" spans="1:6" ht="15" customHeight="1" outlineLevel="2" x14ac:dyDescent="0.25">
      <c r="A593" s="27" t="s">
        <v>1077</v>
      </c>
      <c r="B593" s="23" t="s">
        <v>211</v>
      </c>
      <c r="C593" s="23"/>
      <c r="D593" s="23"/>
      <c r="E593" s="23">
        <v>30</v>
      </c>
      <c r="F593" s="28">
        <v>500</v>
      </c>
    </row>
    <row r="594" spans="1:6" ht="15" customHeight="1" outlineLevel="1" x14ac:dyDescent="0.25">
      <c r="A594" s="27"/>
      <c r="B594" s="22" t="s">
        <v>1401</v>
      </c>
      <c r="C594" s="23"/>
      <c r="D594" s="23"/>
      <c r="E594" s="22">
        <f>SUBTOTAL(9,E593:E593)</f>
        <v>30</v>
      </c>
      <c r="F594" s="28"/>
    </row>
    <row r="595" spans="1:6" ht="15" customHeight="1" outlineLevel="2" x14ac:dyDescent="0.25">
      <c r="A595" s="27" t="s">
        <v>1077</v>
      </c>
      <c r="B595" s="23" t="s">
        <v>1081</v>
      </c>
      <c r="C595" s="23"/>
      <c r="D595" s="23"/>
      <c r="E595" s="23">
        <v>444</v>
      </c>
      <c r="F595" s="28">
        <v>450</v>
      </c>
    </row>
    <row r="596" spans="1:6" ht="15" customHeight="1" outlineLevel="1" x14ac:dyDescent="0.25">
      <c r="A596" s="27"/>
      <c r="B596" s="22" t="s">
        <v>1402</v>
      </c>
      <c r="C596" s="23"/>
      <c r="D596" s="23"/>
      <c r="E596" s="22">
        <f>SUBTOTAL(9,E595:E595)</f>
        <v>444</v>
      </c>
      <c r="F596" s="28"/>
    </row>
    <row r="597" spans="1:6" ht="15" customHeight="1" outlineLevel="2" x14ac:dyDescent="0.25">
      <c r="A597" s="15" t="s">
        <v>1034</v>
      </c>
      <c r="B597" s="3" t="s">
        <v>90</v>
      </c>
      <c r="C597" s="3"/>
      <c r="D597" s="3"/>
      <c r="E597" s="3">
        <v>1780</v>
      </c>
      <c r="F597" s="25">
        <v>3500</v>
      </c>
    </row>
    <row r="598" spans="1:6" ht="15" customHeight="1" outlineLevel="2" x14ac:dyDescent="0.25">
      <c r="A598" s="15" t="s">
        <v>1034</v>
      </c>
      <c r="B598" s="3" t="s">
        <v>90</v>
      </c>
      <c r="C598" s="3"/>
      <c r="D598" s="3"/>
      <c r="E598" s="3" t="s">
        <v>1087</v>
      </c>
      <c r="F598" s="25"/>
    </row>
    <row r="599" spans="1:6" ht="15" customHeight="1" outlineLevel="2" x14ac:dyDescent="0.25">
      <c r="A599" s="18">
        <v>46238</v>
      </c>
      <c r="B599" s="3" t="s">
        <v>90</v>
      </c>
      <c r="C599" s="3" t="s">
        <v>1142</v>
      </c>
      <c r="D599" s="3"/>
      <c r="E599" s="3">
        <v>3119</v>
      </c>
      <c r="F599" s="25">
        <v>3500</v>
      </c>
    </row>
    <row r="600" spans="1:6" ht="15" customHeight="1" outlineLevel="2" x14ac:dyDescent="0.25">
      <c r="A600" s="18">
        <v>46238</v>
      </c>
      <c r="B600" s="3" t="s">
        <v>90</v>
      </c>
      <c r="C600" s="3"/>
      <c r="D600" s="3"/>
      <c r="E600" s="3">
        <v>2659</v>
      </c>
      <c r="F600" s="25">
        <v>3500</v>
      </c>
    </row>
    <row r="601" spans="1:6" ht="15" customHeight="1" outlineLevel="2" x14ac:dyDescent="0.25">
      <c r="A601" s="18">
        <v>46238</v>
      </c>
      <c r="B601" s="3" t="s">
        <v>90</v>
      </c>
      <c r="C601" s="3"/>
      <c r="D601" s="3"/>
      <c r="E601" s="3">
        <v>1495</v>
      </c>
      <c r="F601" s="25">
        <v>3500</v>
      </c>
    </row>
    <row r="602" spans="1:6" ht="15" customHeight="1" outlineLevel="2" x14ac:dyDescent="0.25">
      <c r="A602" s="18">
        <v>46255</v>
      </c>
      <c r="B602" s="3" t="s">
        <v>90</v>
      </c>
      <c r="C602" s="3"/>
      <c r="D602" s="3"/>
      <c r="E602" s="3">
        <v>3045</v>
      </c>
      <c r="F602" s="25">
        <v>3500</v>
      </c>
    </row>
    <row r="603" spans="1:6" ht="15" customHeight="1" outlineLevel="1" x14ac:dyDescent="0.25">
      <c r="A603" s="18"/>
      <c r="B603" s="19" t="s">
        <v>1403</v>
      </c>
      <c r="C603" s="3"/>
      <c r="D603" s="3"/>
      <c r="E603" s="19">
        <f>SUBTOTAL(9,E597:E602)</f>
        <v>12098</v>
      </c>
      <c r="F603" s="25"/>
    </row>
    <row r="604" spans="1:6" ht="15" customHeight="1" outlineLevel="2" x14ac:dyDescent="0.25">
      <c r="A604" s="15" t="s">
        <v>1102</v>
      </c>
      <c r="B604" s="3" t="s">
        <v>47</v>
      </c>
      <c r="C604" s="3"/>
      <c r="D604" s="3"/>
      <c r="E604" s="3">
        <v>1371</v>
      </c>
      <c r="F604" s="25">
        <v>1500</v>
      </c>
    </row>
    <row r="605" spans="1:6" ht="15" customHeight="1" outlineLevel="2" x14ac:dyDescent="0.25">
      <c r="A605" s="18">
        <v>46255</v>
      </c>
      <c r="B605" s="3" t="s">
        <v>47</v>
      </c>
      <c r="C605" s="3" t="s">
        <v>1206</v>
      </c>
      <c r="D605" s="3"/>
      <c r="E605" s="3">
        <v>1769</v>
      </c>
      <c r="F605" s="25">
        <v>1900</v>
      </c>
    </row>
    <row r="606" spans="1:6" ht="15" customHeight="1" outlineLevel="1" x14ac:dyDescent="0.25">
      <c r="A606" s="18"/>
      <c r="B606" s="19" t="s">
        <v>1404</v>
      </c>
      <c r="C606" s="3"/>
      <c r="D606" s="3"/>
      <c r="E606" s="19">
        <f>SUBTOTAL(9,E604:E605)</f>
        <v>3140</v>
      </c>
      <c r="F606" s="25"/>
    </row>
    <row r="607" spans="1:6" ht="15" customHeight="1" outlineLevel="2" x14ac:dyDescent="0.25">
      <c r="A607" s="18">
        <v>46234</v>
      </c>
      <c r="B607" s="3" t="s">
        <v>49</v>
      </c>
      <c r="C607" s="3"/>
      <c r="D607" s="3"/>
      <c r="E607" s="3">
        <v>947</v>
      </c>
      <c r="F607" s="25">
        <v>1000</v>
      </c>
    </row>
    <row r="608" spans="1:6" ht="15" customHeight="1" outlineLevel="2" x14ac:dyDescent="0.25">
      <c r="A608" s="15" t="s">
        <v>1112</v>
      </c>
      <c r="B608" s="3" t="s">
        <v>49</v>
      </c>
      <c r="C608" s="3"/>
      <c r="D608" s="3"/>
      <c r="E608" s="3">
        <v>947</v>
      </c>
      <c r="F608" s="25">
        <v>1000</v>
      </c>
    </row>
    <row r="609" spans="1:6" ht="15" customHeight="1" outlineLevel="2" x14ac:dyDescent="0.25">
      <c r="A609" s="18">
        <v>46241</v>
      </c>
      <c r="B609" s="3" t="s">
        <v>49</v>
      </c>
      <c r="C609" s="3"/>
      <c r="D609" s="3"/>
      <c r="E609" s="3">
        <v>585</v>
      </c>
      <c r="F609" s="25">
        <v>1000</v>
      </c>
    </row>
    <row r="610" spans="1:6" ht="15" customHeight="1" outlineLevel="2" x14ac:dyDescent="0.25">
      <c r="A610" s="18">
        <v>46253</v>
      </c>
      <c r="B610" s="3" t="s">
        <v>49</v>
      </c>
      <c r="C610" s="3"/>
      <c r="D610" s="3"/>
      <c r="E610" s="3">
        <v>748</v>
      </c>
      <c r="F610" s="25">
        <v>1000</v>
      </c>
    </row>
    <row r="611" spans="1:6" ht="15" customHeight="1" outlineLevel="2" x14ac:dyDescent="0.25">
      <c r="A611" s="18">
        <v>46255</v>
      </c>
      <c r="B611" s="3" t="s">
        <v>49</v>
      </c>
      <c r="C611" s="3"/>
      <c r="D611" s="3"/>
      <c r="E611" s="3">
        <v>1190</v>
      </c>
      <c r="F611" s="25">
        <v>1600</v>
      </c>
    </row>
    <row r="612" spans="1:6" ht="15" customHeight="1" outlineLevel="1" x14ac:dyDescent="0.25">
      <c r="A612" s="18"/>
      <c r="B612" s="19" t="s">
        <v>1405</v>
      </c>
      <c r="C612" s="3"/>
      <c r="D612" s="3"/>
      <c r="E612" s="19">
        <f>SUBTOTAL(9,E607:E611)</f>
        <v>4417</v>
      </c>
      <c r="F612" s="25"/>
    </row>
    <row r="613" spans="1:6" ht="15" customHeight="1" outlineLevel="2" x14ac:dyDescent="0.25">
      <c r="A613" s="15" t="s">
        <v>1034</v>
      </c>
      <c r="B613" s="3" t="s">
        <v>48</v>
      </c>
      <c r="C613" s="3"/>
      <c r="D613" s="3"/>
      <c r="E613" s="3">
        <v>679</v>
      </c>
      <c r="F613" s="25">
        <v>700</v>
      </c>
    </row>
    <row r="614" spans="1:6" ht="15" customHeight="1" outlineLevel="2" x14ac:dyDescent="0.25">
      <c r="A614" s="18">
        <v>46234</v>
      </c>
      <c r="B614" s="3" t="s">
        <v>48</v>
      </c>
      <c r="C614" s="3"/>
      <c r="D614" s="3"/>
      <c r="E614" s="3">
        <v>519</v>
      </c>
      <c r="F614" s="25">
        <v>700</v>
      </c>
    </row>
    <row r="615" spans="1:6" ht="15" customHeight="1" outlineLevel="1" x14ac:dyDescent="0.25">
      <c r="A615" s="18"/>
      <c r="B615" s="19" t="s">
        <v>1406</v>
      </c>
      <c r="C615" s="3"/>
      <c r="D615" s="3"/>
      <c r="E615" s="19">
        <f>SUBTOTAL(9,E613:E614)</f>
        <v>1198</v>
      </c>
      <c r="F615" s="25"/>
    </row>
    <row r="616" spans="1:6" ht="15" customHeight="1" outlineLevel="2" x14ac:dyDescent="0.25">
      <c r="A616" s="15" t="s">
        <v>1036</v>
      </c>
      <c r="B616" s="3" t="s">
        <v>208</v>
      </c>
      <c r="C616" s="3"/>
      <c r="D616" s="3"/>
      <c r="E616" s="3" t="s">
        <v>1087</v>
      </c>
      <c r="F616" s="25"/>
    </row>
    <row r="617" spans="1:6" ht="15" customHeight="1" outlineLevel="2" x14ac:dyDescent="0.25">
      <c r="A617" s="15" t="s">
        <v>1102</v>
      </c>
      <c r="B617" s="3" t="s">
        <v>208</v>
      </c>
      <c r="C617" s="3"/>
      <c r="D617" s="3"/>
      <c r="E617" s="3">
        <v>478</v>
      </c>
      <c r="F617" s="25">
        <v>700</v>
      </c>
    </row>
    <row r="618" spans="1:6" ht="15" customHeight="1" outlineLevel="2" x14ac:dyDescent="0.25">
      <c r="A618" s="18">
        <v>46234</v>
      </c>
      <c r="B618" s="3" t="s">
        <v>208</v>
      </c>
      <c r="C618" s="3" t="s">
        <v>1126</v>
      </c>
      <c r="D618" s="3"/>
      <c r="E618" s="3">
        <v>602</v>
      </c>
      <c r="F618" s="25">
        <v>700</v>
      </c>
    </row>
    <row r="619" spans="1:6" ht="15" customHeight="1" outlineLevel="2" x14ac:dyDescent="0.25">
      <c r="A619" s="18">
        <v>46241</v>
      </c>
      <c r="B619" s="3" t="s">
        <v>208</v>
      </c>
      <c r="C619" s="3"/>
      <c r="D619" s="3"/>
      <c r="E619" s="3">
        <v>250</v>
      </c>
      <c r="F619" s="25">
        <v>700</v>
      </c>
    </row>
    <row r="620" spans="1:6" ht="15" customHeight="1" outlineLevel="2" x14ac:dyDescent="0.25">
      <c r="A620" s="18">
        <v>46241</v>
      </c>
      <c r="B620" s="3" t="s">
        <v>208</v>
      </c>
      <c r="C620" s="3"/>
      <c r="D620" s="3"/>
      <c r="E620" s="3">
        <v>446</v>
      </c>
      <c r="F620" s="25">
        <v>700</v>
      </c>
    </row>
    <row r="621" spans="1:6" ht="15" customHeight="1" outlineLevel="2" x14ac:dyDescent="0.25">
      <c r="A621" s="18">
        <v>46255</v>
      </c>
      <c r="B621" s="3" t="s">
        <v>208</v>
      </c>
      <c r="C621" s="3"/>
      <c r="D621" s="3"/>
      <c r="E621" s="3">
        <v>687</v>
      </c>
      <c r="F621" s="25">
        <v>700</v>
      </c>
    </row>
    <row r="622" spans="1:6" ht="15" customHeight="1" outlineLevel="2" x14ac:dyDescent="0.25">
      <c r="A622" s="18">
        <v>46255</v>
      </c>
      <c r="B622" s="3" t="s">
        <v>208</v>
      </c>
      <c r="C622" s="3" t="s">
        <v>1207</v>
      </c>
      <c r="D622" s="3"/>
      <c r="E622" s="3">
        <v>700</v>
      </c>
      <c r="F622" s="25">
        <v>700</v>
      </c>
    </row>
    <row r="623" spans="1:6" ht="15" customHeight="1" outlineLevel="2" x14ac:dyDescent="0.25">
      <c r="A623" s="18">
        <v>46255</v>
      </c>
      <c r="B623" s="3" t="s">
        <v>208</v>
      </c>
      <c r="C623" s="3" t="s">
        <v>1207</v>
      </c>
      <c r="D623" s="3"/>
      <c r="E623" s="3">
        <v>647</v>
      </c>
      <c r="F623" s="25">
        <v>700</v>
      </c>
    </row>
    <row r="624" spans="1:6" ht="15" customHeight="1" outlineLevel="1" x14ac:dyDescent="0.25">
      <c r="A624" s="18"/>
      <c r="B624" s="19" t="s">
        <v>1407</v>
      </c>
      <c r="C624" s="3"/>
      <c r="D624" s="3"/>
      <c r="E624" s="19">
        <f>SUBTOTAL(9,E616:E623)</f>
        <v>3810</v>
      </c>
      <c r="F624" s="25"/>
    </row>
    <row r="625" spans="1:6" ht="15" customHeight="1" outlineLevel="2" x14ac:dyDescent="0.25">
      <c r="A625" s="15" t="s">
        <v>1034</v>
      </c>
      <c r="B625" s="3" t="s">
        <v>145</v>
      </c>
      <c r="C625" s="3"/>
      <c r="D625" s="3"/>
      <c r="E625" s="3">
        <v>290</v>
      </c>
      <c r="F625" s="25">
        <v>450</v>
      </c>
    </row>
    <row r="626" spans="1:6" ht="15" customHeight="1" outlineLevel="2" x14ac:dyDescent="0.25">
      <c r="A626" s="15" t="s">
        <v>1112</v>
      </c>
      <c r="B626" s="3" t="s">
        <v>145</v>
      </c>
      <c r="C626" s="3"/>
      <c r="D626" s="3"/>
      <c r="E626" s="3">
        <v>325</v>
      </c>
      <c r="F626" s="25">
        <v>450</v>
      </c>
    </row>
    <row r="627" spans="1:6" ht="15" customHeight="1" outlineLevel="2" x14ac:dyDescent="0.25">
      <c r="A627" s="18">
        <v>46234</v>
      </c>
      <c r="B627" s="3" t="s">
        <v>145</v>
      </c>
      <c r="C627" s="3"/>
      <c r="D627" s="3"/>
      <c r="E627" s="3">
        <v>375</v>
      </c>
      <c r="F627" s="25">
        <v>450</v>
      </c>
    </row>
    <row r="628" spans="1:6" ht="15" customHeight="1" outlineLevel="2" x14ac:dyDescent="0.25">
      <c r="A628" s="18">
        <v>46246</v>
      </c>
      <c r="B628" s="3" t="s">
        <v>145</v>
      </c>
      <c r="C628" s="3"/>
      <c r="D628" s="3"/>
      <c r="E628" s="3">
        <v>402</v>
      </c>
      <c r="F628" s="25">
        <v>450</v>
      </c>
    </row>
    <row r="629" spans="1:6" ht="15" customHeight="1" outlineLevel="1" x14ac:dyDescent="0.25">
      <c r="A629" s="18"/>
      <c r="B629" s="19" t="s">
        <v>1408</v>
      </c>
      <c r="C629" s="3"/>
      <c r="D629" s="3"/>
      <c r="E629" s="19">
        <f>SUBTOTAL(9,E625:E628)</f>
        <v>1392</v>
      </c>
      <c r="F629" s="25"/>
    </row>
    <row r="630" spans="1:6" ht="15" customHeight="1" outlineLevel="2" x14ac:dyDescent="0.25">
      <c r="A630" s="15" t="s">
        <v>1092</v>
      </c>
      <c r="B630" s="3" t="s">
        <v>1093</v>
      </c>
      <c r="C630" s="3"/>
      <c r="D630" s="3"/>
      <c r="E630" s="3">
        <v>450</v>
      </c>
      <c r="F630" s="25">
        <v>450</v>
      </c>
    </row>
    <row r="631" spans="1:6" ht="15" customHeight="1" outlineLevel="1" x14ac:dyDescent="0.25">
      <c r="A631" s="15"/>
      <c r="B631" s="19" t="s">
        <v>1409</v>
      </c>
      <c r="C631" s="3"/>
      <c r="D631" s="3"/>
      <c r="E631" s="19">
        <f>SUBTOTAL(9,E630:E630)</f>
        <v>450</v>
      </c>
      <c r="F631" s="25"/>
    </row>
    <row r="632" spans="1:6" ht="15" customHeight="1" outlineLevel="2" x14ac:dyDescent="0.25">
      <c r="A632" s="18">
        <v>46251</v>
      </c>
      <c r="B632" s="3" t="s">
        <v>1182</v>
      </c>
      <c r="C632" s="3"/>
      <c r="D632" s="3"/>
      <c r="E632" s="3">
        <v>391</v>
      </c>
      <c r="F632" s="25">
        <v>450</v>
      </c>
    </row>
    <row r="633" spans="1:6" ht="15" customHeight="1" outlineLevel="2" x14ac:dyDescent="0.25">
      <c r="A633" s="18">
        <v>46251</v>
      </c>
      <c r="B633" s="3" t="s">
        <v>1182</v>
      </c>
      <c r="C633" s="3"/>
      <c r="D633" s="3"/>
      <c r="E633" s="3">
        <v>314</v>
      </c>
      <c r="F633" s="25">
        <v>450</v>
      </c>
    </row>
    <row r="634" spans="1:6" ht="15" customHeight="1" outlineLevel="2" x14ac:dyDescent="0.25">
      <c r="A634" s="18">
        <v>46253</v>
      </c>
      <c r="B634" s="3" t="s">
        <v>1182</v>
      </c>
      <c r="C634" s="3"/>
      <c r="D634" s="3"/>
      <c r="E634" s="3">
        <v>349</v>
      </c>
      <c r="F634" s="25">
        <v>450</v>
      </c>
    </row>
    <row r="635" spans="1:6" ht="15" customHeight="1" outlineLevel="2" x14ac:dyDescent="0.25">
      <c r="A635" s="18">
        <v>46253</v>
      </c>
      <c r="B635" s="3" t="s">
        <v>1182</v>
      </c>
      <c r="C635" s="3" t="s">
        <v>1193</v>
      </c>
      <c r="D635" s="3"/>
      <c r="E635" s="3">
        <v>375</v>
      </c>
      <c r="F635" s="25">
        <v>450</v>
      </c>
    </row>
    <row r="636" spans="1:6" ht="15" customHeight="1" outlineLevel="2" x14ac:dyDescent="0.25">
      <c r="A636" s="18">
        <v>46253</v>
      </c>
      <c r="B636" s="3" t="s">
        <v>1182</v>
      </c>
      <c r="C636" s="3" t="s">
        <v>1194</v>
      </c>
      <c r="D636" s="3"/>
      <c r="E636" s="3">
        <v>338</v>
      </c>
      <c r="F636" s="25">
        <v>450</v>
      </c>
    </row>
    <row r="637" spans="1:6" ht="15" customHeight="1" outlineLevel="2" x14ac:dyDescent="0.25">
      <c r="A637" s="18">
        <v>46251</v>
      </c>
      <c r="B637" s="3" t="s">
        <v>1182</v>
      </c>
      <c r="C637" s="3"/>
      <c r="D637" s="3"/>
      <c r="E637" s="3">
        <v>252</v>
      </c>
      <c r="F637" s="25">
        <v>450</v>
      </c>
    </row>
    <row r="638" spans="1:6" ht="15" customHeight="1" outlineLevel="1" x14ac:dyDescent="0.25">
      <c r="A638" s="18"/>
      <c r="B638" s="19" t="s">
        <v>1410</v>
      </c>
      <c r="C638" s="3"/>
      <c r="D638" s="3"/>
      <c r="E638" s="19">
        <f>SUBTOTAL(9,E632:E637)</f>
        <v>2019</v>
      </c>
      <c r="F638" s="25"/>
    </row>
    <row r="639" spans="1:6" ht="15" customHeight="1" outlineLevel="2" x14ac:dyDescent="0.25">
      <c r="A639" s="18">
        <v>46234</v>
      </c>
      <c r="B639" s="3" t="s">
        <v>102</v>
      </c>
      <c r="C639" s="3"/>
      <c r="D639" s="3"/>
      <c r="E639" s="3">
        <v>341</v>
      </c>
      <c r="F639" s="25">
        <v>450</v>
      </c>
    </row>
    <row r="640" spans="1:6" ht="15" customHeight="1" outlineLevel="2" x14ac:dyDescent="0.25">
      <c r="A640" s="15" t="s">
        <v>1033</v>
      </c>
      <c r="B640" s="3" t="s">
        <v>102</v>
      </c>
      <c r="C640" s="3"/>
      <c r="D640" s="3"/>
      <c r="E640" s="3">
        <v>250</v>
      </c>
      <c r="F640" s="25"/>
    </row>
    <row r="641" spans="1:6" ht="15" customHeight="1" outlineLevel="2" x14ac:dyDescent="0.25">
      <c r="A641" s="18">
        <v>46253</v>
      </c>
      <c r="B641" s="3" t="s">
        <v>102</v>
      </c>
      <c r="C641" s="3"/>
      <c r="D641" s="3"/>
      <c r="E641" s="3">
        <v>316</v>
      </c>
      <c r="F641" s="25">
        <v>450</v>
      </c>
    </row>
    <row r="642" spans="1:6" ht="15" customHeight="1" outlineLevel="2" x14ac:dyDescent="0.25">
      <c r="A642" s="18">
        <v>46253</v>
      </c>
      <c r="B642" s="3" t="s">
        <v>102</v>
      </c>
      <c r="C642" s="3"/>
      <c r="D642" s="3"/>
      <c r="E642" s="3">
        <v>450</v>
      </c>
      <c r="F642" s="25">
        <v>450</v>
      </c>
    </row>
    <row r="643" spans="1:6" ht="15" customHeight="1" outlineLevel="2" x14ac:dyDescent="0.25">
      <c r="A643" s="18">
        <v>46255</v>
      </c>
      <c r="B643" s="3" t="s">
        <v>102</v>
      </c>
      <c r="C643" s="3" t="s">
        <v>1211</v>
      </c>
      <c r="D643" s="3"/>
      <c r="E643" s="3">
        <v>351</v>
      </c>
      <c r="F643" s="25">
        <v>450</v>
      </c>
    </row>
    <row r="644" spans="1:6" ht="15" customHeight="1" outlineLevel="1" x14ac:dyDescent="0.25">
      <c r="A644" s="18"/>
      <c r="B644" s="19" t="s">
        <v>1411</v>
      </c>
      <c r="C644" s="3"/>
      <c r="D644" s="3"/>
      <c r="E644" s="19">
        <f>SUBTOTAL(9,E639:E643)</f>
        <v>1708</v>
      </c>
      <c r="F644" s="25"/>
    </row>
    <row r="645" spans="1:6" ht="15" customHeight="1" outlineLevel="2" x14ac:dyDescent="0.25">
      <c r="A645" s="18">
        <v>46234</v>
      </c>
      <c r="B645" s="3" t="s">
        <v>789</v>
      </c>
      <c r="C645" s="3"/>
      <c r="D645" s="3"/>
      <c r="E645" s="3">
        <v>245</v>
      </c>
      <c r="F645" s="25">
        <v>300</v>
      </c>
    </row>
    <row r="646" spans="1:6" ht="15" customHeight="1" outlineLevel="2" x14ac:dyDescent="0.25">
      <c r="A646" s="18">
        <v>46253</v>
      </c>
      <c r="B646" s="3" t="s">
        <v>789</v>
      </c>
      <c r="C646" s="3"/>
      <c r="D646" s="3"/>
      <c r="E646" s="3">
        <v>252</v>
      </c>
      <c r="F646" s="25">
        <v>300</v>
      </c>
    </row>
    <row r="647" spans="1:6" ht="15" customHeight="1" outlineLevel="1" x14ac:dyDescent="0.25">
      <c r="A647" s="18"/>
      <c r="B647" s="19" t="s">
        <v>1412</v>
      </c>
      <c r="C647" s="3"/>
      <c r="D647" s="3"/>
      <c r="E647" s="19">
        <f>SUBTOTAL(9,E645:E646)</f>
        <v>497</v>
      </c>
      <c r="F647" s="25"/>
    </row>
    <row r="648" spans="1:6" ht="15" customHeight="1" outlineLevel="2" x14ac:dyDescent="0.25">
      <c r="A648" s="15" t="s">
        <v>1112</v>
      </c>
      <c r="B648" s="3" t="s">
        <v>386</v>
      </c>
      <c r="C648" s="3"/>
      <c r="D648" s="3"/>
      <c r="E648" s="3">
        <v>220</v>
      </c>
      <c r="F648" s="25">
        <v>220</v>
      </c>
    </row>
    <row r="649" spans="1:6" ht="15" customHeight="1" outlineLevel="2" x14ac:dyDescent="0.25">
      <c r="A649" s="18">
        <v>46234</v>
      </c>
      <c r="B649" s="3" t="s">
        <v>386</v>
      </c>
      <c r="C649" s="3"/>
      <c r="D649" s="3"/>
      <c r="E649" s="3">
        <v>176</v>
      </c>
      <c r="F649" s="25">
        <v>220</v>
      </c>
    </row>
    <row r="650" spans="1:6" ht="15" customHeight="1" outlineLevel="2" x14ac:dyDescent="0.25">
      <c r="A650" s="18">
        <v>46234</v>
      </c>
      <c r="B650" s="3" t="s">
        <v>386</v>
      </c>
      <c r="C650" s="3"/>
      <c r="D650" s="3"/>
      <c r="E650" s="3">
        <v>217</v>
      </c>
      <c r="F650" s="25">
        <v>220</v>
      </c>
    </row>
    <row r="651" spans="1:6" ht="15" customHeight="1" outlineLevel="2" x14ac:dyDescent="0.25">
      <c r="A651" s="18">
        <v>46234</v>
      </c>
      <c r="B651" s="3" t="s">
        <v>386</v>
      </c>
      <c r="C651" s="3"/>
      <c r="D651" s="3"/>
      <c r="E651" s="3">
        <v>160</v>
      </c>
      <c r="F651" s="25">
        <v>220</v>
      </c>
    </row>
    <row r="652" spans="1:6" ht="15" customHeight="1" outlineLevel="2" x14ac:dyDescent="0.25">
      <c r="A652" s="18">
        <v>46251</v>
      </c>
      <c r="B652" s="3" t="s">
        <v>386</v>
      </c>
      <c r="C652" s="3"/>
      <c r="D652" s="3"/>
      <c r="E652" s="3">
        <v>167</v>
      </c>
      <c r="F652" s="25">
        <v>220</v>
      </c>
    </row>
    <row r="653" spans="1:6" ht="15" customHeight="1" outlineLevel="2" x14ac:dyDescent="0.25">
      <c r="A653" s="18">
        <v>46251</v>
      </c>
      <c r="B653" s="3" t="s">
        <v>386</v>
      </c>
      <c r="C653" s="3"/>
      <c r="D653" s="3"/>
      <c r="E653" s="3">
        <v>153</v>
      </c>
      <c r="F653" s="25">
        <v>220</v>
      </c>
    </row>
    <row r="654" spans="1:6" ht="15" customHeight="1" outlineLevel="1" x14ac:dyDescent="0.25">
      <c r="A654" s="18"/>
      <c r="B654" s="19" t="s">
        <v>1413</v>
      </c>
      <c r="C654" s="3"/>
      <c r="D654" s="3"/>
      <c r="E654" s="19">
        <f>SUBTOTAL(9,E648:E653)</f>
        <v>1093</v>
      </c>
      <c r="F654" s="25"/>
    </row>
    <row r="655" spans="1:6" ht="15" customHeight="1" outlineLevel="2" x14ac:dyDescent="0.25">
      <c r="A655" s="18">
        <v>46238</v>
      </c>
      <c r="B655" s="3" t="s">
        <v>14</v>
      </c>
      <c r="C655" s="3"/>
      <c r="D655" s="3"/>
      <c r="E655" s="3">
        <v>1073</v>
      </c>
      <c r="F655" s="25">
        <v>2000</v>
      </c>
    </row>
    <row r="656" spans="1:6" ht="15" customHeight="1" outlineLevel="2" x14ac:dyDescent="0.25">
      <c r="A656" s="18">
        <v>46251</v>
      </c>
      <c r="B656" s="3" t="s">
        <v>14</v>
      </c>
      <c r="C656" s="3"/>
      <c r="D656" s="3"/>
      <c r="E656" s="3">
        <v>1073</v>
      </c>
      <c r="F656" s="25">
        <v>2000</v>
      </c>
    </row>
    <row r="657" spans="1:6" ht="15" customHeight="1" outlineLevel="1" x14ac:dyDescent="0.25">
      <c r="A657" s="18"/>
      <c r="B657" s="19" t="s">
        <v>1414</v>
      </c>
      <c r="C657" s="3"/>
      <c r="D657" s="3"/>
      <c r="E657" s="19">
        <f>SUBTOTAL(9,E655:E656)</f>
        <v>2146</v>
      </c>
      <c r="F657" s="25"/>
    </row>
    <row r="658" spans="1:6" ht="15" customHeight="1" outlineLevel="2" x14ac:dyDescent="0.25">
      <c r="A658" s="15" t="s">
        <v>1036</v>
      </c>
      <c r="B658" s="3" t="s">
        <v>459</v>
      </c>
      <c r="C658" s="3"/>
      <c r="D658" s="3"/>
      <c r="E658" s="3">
        <v>1084</v>
      </c>
      <c r="F658" s="25">
        <v>1250</v>
      </c>
    </row>
    <row r="659" spans="1:6" ht="15" customHeight="1" outlineLevel="2" x14ac:dyDescent="0.25">
      <c r="A659" s="18">
        <v>46238</v>
      </c>
      <c r="B659" s="3" t="s">
        <v>459</v>
      </c>
      <c r="C659" s="3"/>
      <c r="D659" s="3"/>
      <c r="E659" s="3">
        <v>625</v>
      </c>
      <c r="F659" s="25">
        <v>1250</v>
      </c>
    </row>
    <row r="660" spans="1:6" ht="15" customHeight="1" outlineLevel="2" x14ac:dyDescent="0.25">
      <c r="A660" s="18">
        <v>46244</v>
      </c>
      <c r="B660" s="3" t="s">
        <v>459</v>
      </c>
      <c r="C660" s="3"/>
      <c r="D660" s="3"/>
      <c r="E660" s="3">
        <v>1124</v>
      </c>
      <c r="F660" s="25">
        <v>1250</v>
      </c>
    </row>
    <row r="661" spans="1:6" ht="15" customHeight="1" outlineLevel="2" x14ac:dyDescent="0.25">
      <c r="A661" s="18">
        <v>46251</v>
      </c>
      <c r="B661" s="3" t="s">
        <v>459</v>
      </c>
      <c r="C661" s="3"/>
      <c r="D661" s="3"/>
      <c r="E661" s="3">
        <v>625</v>
      </c>
      <c r="F661" s="25">
        <v>1250</v>
      </c>
    </row>
    <row r="662" spans="1:6" ht="15" customHeight="1" outlineLevel="1" x14ac:dyDescent="0.25">
      <c r="A662" s="18"/>
      <c r="B662" s="19" t="s">
        <v>1415</v>
      </c>
      <c r="C662" s="3"/>
      <c r="D662" s="3"/>
      <c r="E662" s="19">
        <f>SUBTOTAL(9,E658:E661)</f>
        <v>3458</v>
      </c>
      <c r="F662" s="25"/>
    </row>
    <row r="663" spans="1:6" ht="15" customHeight="1" outlineLevel="2" x14ac:dyDescent="0.25">
      <c r="A663" s="29">
        <v>46241</v>
      </c>
      <c r="B663" s="23" t="s">
        <v>1157</v>
      </c>
      <c r="C663" s="23" t="s">
        <v>1158</v>
      </c>
      <c r="D663" s="23"/>
      <c r="E663" s="23">
        <v>3326</v>
      </c>
      <c r="F663" s="28">
        <v>3900</v>
      </c>
    </row>
    <row r="664" spans="1:6" ht="15" customHeight="1" outlineLevel="1" x14ac:dyDescent="0.25">
      <c r="A664" s="29"/>
      <c r="B664" s="22" t="s">
        <v>1416</v>
      </c>
      <c r="C664" s="23"/>
      <c r="D664" s="23"/>
      <c r="E664" s="22">
        <f>SUBTOTAL(9,E663:E663)</f>
        <v>3326</v>
      </c>
      <c r="F664" s="28"/>
    </row>
    <row r="665" spans="1:6" ht="15" customHeight="1" outlineLevel="2" x14ac:dyDescent="0.25">
      <c r="A665" s="15" t="s">
        <v>1036</v>
      </c>
      <c r="B665" s="3" t="s">
        <v>391</v>
      </c>
      <c r="C665" s="3"/>
      <c r="D665" s="3"/>
      <c r="E665" s="3">
        <v>1695</v>
      </c>
      <c r="F665" s="25"/>
    </row>
    <row r="666" spans="1:6" ht="15" customHeight="1" outlineLevel="2" x14ac:dyDescent="0.25">
      <c r="A666" s="15" t="s">
        <v>1112</v>
      </c>
      <c r="B666" s="3" t="s">
        <v>391</v>
      </c>
      <c r="C666" s="3"/>
      <c r="D666" s="3"/>
      <c r="E666" s="3">
        <v>245</v>
      </c>
      <c r="F666" s="25"/>
    </row>
    <row r="667" spans="1:6" ht="15" customHeight="1" outlineLevel="1" x14ac:dyDescent="0.25">
      <c r="A667" s="15"/>
      <c r="B667" s="19" t="s">
        <v>1417</v>
      </c>
      <c r="C667" s="3"/>
      <c r="D667" s="3"/>
      <c r="E667" s="19">
        <f>SUBTOTAL(9,E665:E666)</f>
        <v>1940</v>
      </c>
      <c r="F667" s="25"/>
    </row>
    <row r="668" spans="1:6" ht="15" customHeight="1" outlineLevel="2" x14ac:dyDescent="0.25">
      <c r="A668" s="27" t="s">
        <v>1102</v>
      </c>
      <c r="B668" s="23" t="s">
        <v>390</v>
      </c>
      <c r="C668" s="23"/>
      <c r="D668" s="23"/>
      <c r="E668" s="23">
        <v>4019</v>
      </c>
      <c r="F668" s="28">
        <v>4500</v>
      </c>
    </row>
    <row r="669" spans="1:6" ht="15" customHeight="1" outlineLevel="1" x14ac:dyDescent="0.25">
      <c r="A669" s="27"/>
      <c r="B669" s="22" t="s">
        <v>1418</v>
      </c>
      <c r="C669" s="23"/>
      <c r="D669" s="23"/>
      <c r="E669" s="22">
        <f>SUBTOTAL(9,E668:E668)</f>
        <v>4019</v>
      </c>
      <c r="F669" s="28"/>
    </row>
    <row r="670" spans="1:6" ht="15" customHeight="1" outlineLevel="2" x14ac:dyDescent="0.25">
      <c r="A670" s="18">
        <v>46241</v>
      </c>
      <c r="B670" s="3" t="s">
        <v>531</v>
      </c>
      <c r="C670" s="3" t="s">
        <v>1153</v>
      </c>
      <c r="D670" s="3"/>
      <c r="E670" s="3">
        <v>1327</v>
      </c>
      <c r="F670" s="25">
        <v>1500</v>
      </c>
    </row>
    <row r="671" spans="1:6" ht="15" customHeight="1" outlineLevel="2" x14ac:dyDescent="0.25">
      <c r="A671" s="18">
        <v>46241</v>
      </c>
      <c r="B671" s="3" t="s">
        <v>531</v>
      </c>
      <c r="C671" s="3"/>
      <c r="D671" s="3"/>
      <c r="E671" s="3">
        <v>1011</v>
      </c>
      <c r="F671" s="25">
        <v>1500</v>
      </c>
    </row>
    <row r="672" spans="1:6" ht="15" customHeight="1" outlineLevel="1" x14ac:dyDescent="0.25">
      <c r="A672" s="18"/>
      <c r="B672" s="19" t="s">
        <v>1419</v>
      </c>
      <c r="C672" s="3"/>
      <c r="D672" s="3"/>
      <c r="E672" s="19">
        <f>SUBTOTAL(9,E670:E671)</f>
        <v>2338</v>
      </c>
      <c r="F672" s="25"/>
    </row>
    <row r="673" spans="1:6" ht="15" customHeight="1" outlineLevel="2" x14ac:dyDescent="0.25">
      <c r="A673" s="27" t="s">
        <v>1092</v>
      </c>
      <c r="B673" s="23" t="s">
        <v>460</v>
      </c>
      <c r="C673" s="23"/>
      <c r="D673" s="23"/>
      <c r="E673" s="23">
        <v>1112</v>
      </c>
      <c r="F673" s="28">
        <v>2500</v>
      </c>
    </row>
    <row r="674" spans="1:6" ht="15" customHeight="1" outlineLevel="1" x14ac:dyDescent="0.25">
      <c r="A674" s="27"/>
      <c r="B674" s="22" t="s">
        <v>1420</v>
      </c>
      <c r="C674" s="23"/>
      <c r="D674" s="23"/>
      <c r="E674" s="22">
        <f>SUBTOTAL(9,E673:E673)</f>
        <v>1112</v>
      </c>
      <c r="F674" s="28"/>
    </row>
    <row r="675" spans="1:6" ht="15" customHeight="1" outlineLevel="2" x14ac:dyDescent="0.25">
      <c r="A675" s="18">
        <v>46246</v>
      </c>
      <c r="B675" s="3">
        <v>11546462</v>
      </c>
      <c r="C675" s="3"/>
      <c r="D675" s="3"/>
      <c r="E675" s="3">
        <v>320</v>
      </c>
      <c r="F675" s="25">
        <v>650</v>
      </c>
    </row>
    <row r="676" spans="1:6" ht="15" customHeight="1" outlineLevel="2" x14ac:dyDescent="0.25">
      <c r="A676" s="18">
        <v>46246</v>
      </c>
      <c r="B676" s="3">
        <v>11546462</v>
      </c>
      <c r="C676" s="3"/>
      <c r="D676" s="3"/>
      <c r="E676" s="3">
        <v>650</v>
      </c>
      <c r="F676" s="25">
        <v>650</v>
      </c>
    </row>
    <row r="677" spans="1:6" ht="15" customHeight="1" outlineLevel="1" x14ac:dyDescent="0.25">
      <c r="A677" s="18"/>
      <c r="B677" s="19" t="s">
        <v>1508</v>
      </c>
      <c r="C677" s="3"/>
      <c r="D677" s="3"/>
      <c r="E677" s="19">
        <f>SUBTOTAL(9,E675:E676)</f>
        <v>970</v>
      </c>
      <c r="F677" s="25"/>
    </row>
    <row r="678" spans="1:6" ht="15" customHeight="1" outlineLevel="2" x14ac:dyDescent="0.25">
      <c r="A678" s="18">
        <v>46246</v>
      </c>
      <c r="B678" s="3" t="s">
        <v>333</v>
      </c>
      <c r="C678" s="3"/>
      <c r="D678" s="3"/>
      <c r="E678" s="3">
        <v>312</v>
      </c>
      <c r="F678" s="25">
        <v>450</v>
      </c>
    </row>
    <row r="679" spans="1:6" ht="15" customHeight="1" outlineLevel="2" x14ac:dyDescent="0.25">
      <c r="A679" s="18">
        <v>46246</v>
      </c>
      <c r="B679" s="3" t="s">
        <v>333</v>
      </c>
      <c r="C679" s="3"/>
      <c r="D679" s="3"/>
      <c r="E679" s="3">
        <v>393</v>
      </c>
      <c r="F679" s="25">
        <v>450</v>
      </c>
    </row>
    <row r="680" spans="1:6" ht="15" customHeight="1" outlineLevel="1" x14ac:dyDescent="0.25">
      <c r="A680" s="18"/>
      <c r="B680" s="19" t="s">
        <v>1421</v>
      </c>
      <c r="C680" s="3"/>
      <c r="D680" s="3"/>
      <c r="E680" s="19">
        <f>SUBTOTAL(9,E678:E679)</f>
        <v>705</v>
      </c>
      <c r="F680" s="25"/>
    </row>
    <row r="681" spans="1:6" ht="15" customHeight="1" outlineLevel="2" x14ac:dyDescent="0.25">
      <c r="A681" s="29">
        <v>46251</v>
      </c>
      <c r="B681" s="23" t="s">
        <v>1191</v>
      </c>
      <c r="C681" s="23"/>
      <c r="D681" s="23"/>
      <c r="E681" s="23">
        <v>1945</v>
      </c>
      <c r="F681" s="28">
        <v>2500</v>
      </c>
    </row>
    <row r="682" spans="1:6" ht="15" customHeight="1" outlineLevel="1" x14ac:dyDescent="0.25">
      <c r="A682" s="29"/>
      <c r="B682" s="22" t="s">
        <v>1422</v>
      </c>
      <c r="C682" s="23"/>
      <c r="D682" s="23"/>
      <c r="E682" s="22">
        <f>SUBTOTAL(9,E681:E681)</f>
        <v>1945</v>
      </c>
      <c r="F682" s="28"/>
    </row>
    <row r="683" spans="1:6" ht="15" customHeight="1" outlineLevel="2" x14ac:dyDescent="0.25">
      <c r="A683" s="18">
        <v>46246</v>
      </c>
      <c r="B683" s="3" t="s">
        <v>436</v>
      </c>
      <c r="C683" s="3"/>
      <c r="D683" s="3"/>
      <c r="E683" s="3">
        <v>424</v>
      </c>
      <c r="F683" s="25">
        <v>450</v>
      </c>
    </row>
    <row r="684" spans="1:6" ht="15" customHeight="1" outlineLevel="2" x14ac:dyDescent="0.25">
      <c r="A684" s="18">
        <v>46255</v>
      </c>
      <c r="B684" s="3" t="s">
        <v>436</v>
      </c>
      <c r="C684" s="3" t="s">
        <v>1205</v>
      </c>
      <c r="D684" s="3"/>
      <c r="E684" s="3">
        <v>385</v>
      </c>
      <c r="F684" s="25">
        <v>450</v>
      </c>
    </row>
    <row r="685" spans="1:6" ht="15" customHeight="1" outlineLevel="2" x14ac:dyDescent="0.25">
      <c r="A685" s="18">
        <v>46255</v>
      </c>
      <c r="B685" s="3" t="s">
        <v>436</v>
      </c>
      <c r="C685" s="3"/>
      <c r="D685" s="3"/>
      <c r="E685" s="3">
        <v>271</v>
      </c>
      <c r="F685" s="25">
        <v>450</v>
      </c>
    </row>
    <row r="686" spans="1:6" ht="15" customHeight="1" outlineLevel="1" x14ac:dyDescent="0.25">
      <c r="A686" s="18"/>
      <c r="B686" s="19" t="s">
        <v>1423</v>
      </c>
      <c r="C686" s="3"/>
      <c r="D686" s="3"/>
      <c r="E686" s="19">
        <f>SUBTOTAL(9,E683:E685)</f>
        <v>1080</v>
      </c>
      <c r="F686" s="25"/>
    </row>
    <row r="687" spans="1:6" ht="15" customHeight="1" outlineLevel="2" x14ac:dyDescent="0.25">
      <c r="A687" s="27" t="s">
        <v>1077</v>
      </c>
      <c r="B687" s="23" t="s">
        <v>1086</v>
      </c>
      <c r="C687" s="23"/>
      <c r="D687" s="23"/>
      <c r="E687" s="23">
        <v>158</v>
      </c>
      <c r="F687" s="28"/>
    </row>
    <row r="688" spans="1:6" ht="15" customHeight="1" outlineLevel="1" x14ac:dyDescent="0.25">
      <c r="A688" s="27"/>
      <c r="B688" s="22" t="s">
        <v>1424</v>
      </c>
      <c r="C688" s="23"/>
      <c r="D688" s="23"/>
      <c r="E688" s="22">
        <f>SUBTOTAL(9,E687:E687)</f>
        <v>158</v>
      </c>
      <c r="F688" s="28"/>
    </row>
    <row r="689" spans="1:6" ht="15" customHeight="1" outlineLevel="2" x14ac:dyDescent="0.25">
      <c r="A689" s="29">
        <v>46246</v>
      </c>
      <c r="B689" s="23" t="s">
        <v>335</v>
      </c>
      <c r="C689" s="23"/>
      <c r="D689" s="23"/>
      <c r="E689" s="23">
        <v>169</v>
      </c>
      <c r="F689" s="28">
        <v>250</v>
      </c>
    </row>
    <row r="690" spans="1:6" ht="15" customHeight="1" outlineLevel="1" x14ac:dyDescent="0.25">
      <c r="A690" s="29"/>
      <c r="B690" s="22" t="s">
        <v>1425</v>
      </c>
      <c r="C690" s="23"/>
      <c r="D690" s="23"/>
      <c r="E690" s="22">
        <f>SUBTOTAL(9,E689:E689)</f>
        <v>169</v>
      </c>
      <c r="F690" s="28"/>
    </row>
    <row r="691" spans="1:6" ht="15" customHeight="1" outlineLevel="2" x14ac:dyDescent="0.25">
      <c r="A691" s="27" t="s">
        <v>1092</v>
      </c>
      <c r="B691" s="23" t="s">
        <v>1101</v>
      </c>
      <c r="C691" s="23"/>
      <c r="D691" s="23"/>
      <c r="E691" s="23">
        <v>211</v>
      </c>
      <c r="F691" s="28">
        <v>250</v>
      </c>
    </row>
    <row r="692" spans="1:6" ht="15" customHeight="1" outlineLevel="1" x14ac:dyDescent="0.25">
      <c r="A692" s="27"/>
      <c r="B692" s="22" t="s">
        <v>1426</v>
      </c>
      <c r="C692" s="23"/>
      <c r="D692" s="23"/>
      <c r="E692" s="22">
        <f>SUBTOTAL(9,E691:E691)</f>
        <v>211</v>
      </c>
      <c r="F692" s="28"/>
    </row>
    <row r="693" spans="1:6" ht="15" customHeight="1" outlineLevel="2" x14ac:dyDescent="0.25">
      <c r="A693" s="18">
        <v>46244</v>
      </c>
      <c r="B693" s="3" t="s">
        <v>287</v>
      </c>
      <c r="C693" s="3"/>
      <c r="D693" s="3"/>
      <c r="E693" s="3">
        <v>325</v>
      </c>
      <c r="F693" s="25">
        <v>485</v>
      </c>
    </row>
    <row r="694" spans="1:6" ht="15" customHeight="1" outlineLevel="2" x14ac:dyDescent="0.25">
      <c r="A694" s="18">
        <v>46244</v>
      </c>
      <c r="B694" s="3" t="s">
        <v>287</v>
      </c>
      <c r="C694" s="3"/>
      <c r="D694" s="3"/>
      <c r="E694" s="3">
        <v>416</v>
      </c>
      <c r="F694" s="25">
        <v>485</v>
      </c>
    </row>
    <row r="695" spans="1:6" ht="15" customHeight="1" outlineLevel="2" x14ac:dyDescent="0.25">
      <c r="A695" s="18">
        <v>46244</v>
      </c>
      <c r="B695" s="3" t="s">
        <v>287</v>
      </c>
      <c r="C695" s="3"/>
      <c r="D695" s="3"/>
      <c r="E695" s="3">
        <v>325</v>
      </c>
      <c r="F695" s="25">
        <v>485</v>
      </c>
    </row>
    <row r="696" spans="1:6" ht="15" customHeight="1" outlineLevel="1" x14ac:dyDescent="0.25">
      <c r="A696" s="18"/>
      <c r="B696" s="19" t="s">
        <v>1427</v>
      </c>
      <c r="C696" s="3"/>
      <c r="D696" s="3"/>
      <c r="E696" s="19">
        <f>SUBTOTAL(9,E693:E695)</f>
        <v>1066</v>
      </c>
      <c r="F696" s="25"/>
    </row>
    <row r="697" spans="1:6" ht="15" customHeight="1" outlineLevel="2" x14ac:dyDescent="0.25">
      <c r="A697" s="27" t="s">
        <v>1033</v>
      </c>
      <c r="B697" s="23" t="s">
        <v>1030</v>
      </c>
      <c r="C697" s="23"/>
      <c r="D697" s="23"/>
      <c r="E697" s="23">
        <v>478</v>
      </c>
      <c r="F697" s="28">
        <v>485</v>
      </c>
    </row>
    <row r="698" spans="1:6" ht="15" customHeight="1" outlineLevel="1" x14ac:dyDescent="0.25">
      <c r="A698" s="27"/>
      <c r="B698" s="22" t="s">
        <v>1428</v>
      </c>
      <c r="C698" s="23"/>
      <c r="D698" s="23"/>
      <c r="E698" s="22">
        <f>SUBTOTAL(9,E697:E697)</f>
        <v>478</v>
      </c>
      <c r="F698" s="28"/>
    </row>
    <row r="699" spans="1:6" ht="15" customHeight="1" outlineLevel="2" x14ac:dyDescent="0.25">
      <c r="A699" s="18">
        <v>46241</v>
      </c>
      <c r="B699" s="3" t="s">
        <v>360</v>
      </c>
      <c r="C699" s="3" t="s">
        <v>1155</v>
      </c>
      <c r="D699" s="3"/>
      <c r="E699" s="3">
        <v>675</v>
      </c>
      <c r="F699" s="25">
        <v>1000</v>
      </c>
    </row>
    <row r="700" spans="1:6" ht="15" customHeight="1" outlineLevel="2" x14ac:dyDescent="0.25">
      <c r="A700" s="18">
        <v>46241</v>
      </c>
      <c r="B700" s="3" t="s">
        <v>360</v>
      </c>
      <c r="C700" s="3"/>
      <c r="D700" s="3"/>
      <c r="E700" s="3">
        <v>687</v>
      </c>
      <c r="F700" s="25">
        <v>1000</v>
      </c>
    </row>
    <row r="701" spans="1:6" ht="15" customHeight="1" outlineLevel="2" x14ac:dyDescent="0.25">
      <c r="A701" s="18">
        <v>46253</v>
      </c>
      <c r="B701" s="3" t="s">
        <v>360</v>
      </c>
      <c r="C701" s="3"/>
      <c r="D701" s="3"/>
      <c r="E701" s="3">
        <v>785</v>
      </c>
      <c r="F701" s="25">
        <v>1000</v>
      </c>
    </row>
    <row r="702" spans="1:6" ht="15" customHeight="1" outlineLevel="1" x14ac:dyDescent="0.25">
      <c r="A702" s="18"/>
      <c r="B702" s="19" t="s">
        <v>1429</v>
      </c>
      <c r="C702" s="3"/>
      <c r="D702" s="3"/>
      <c r="E702" s="19">
        <f>SUBTOTAL(9,E699:E701)</f>
        <v>2147</v>
      </c>
      <c r="F702" s="25"/>
    </row>
    <row r="703" spans="1:6" ht="15" customHeight="1" outlineLevel="2" x14ac:dyDescent="0.25">
      <c r="A703" s="27" t="s">
        <v>1036</v>
      </c>
      <c r="B703" s="23" t="s">
        <v>365</v>
      </c>
      <c r="C703" s="23"/>
      <c r="D703" s="23"/>
      <c r="E703" s="23">
        <v>538</v>
      </c>
      <c r="F703" s="28">
        <v>1000</v>
      </c>
    </row>
    <row r="704" spans="1:6" ht="15" customHeight="1" outlineLevel="1" x14ac:dyDescent="0.25">
      <c r="A704" s="27"/>
      <c r="B704" s="22" t="s">
        <v>1430</v>
      </c>
      <c r="C704" s="23"/>
      <c r="D704" s="23"/>
      <c r="E704" s="22">
        <f>SUBTOTAL(9,E703:E703)</f>
        <v>538</v>
      </c>
      <c r="F704" s="28"/>
    </row>
    <row r="705" spans="1:6" ht="15" customHeight="1" outlineLevel="2" x14ac:dyDescent="0.25">
      <c r="A705" s="29">
        <v>46251</v>
      </c>
      <c r="B705" s="23" t="s">
        <v>1000</v>
      </c>
      <c r="C705" s="23"/>
      <c r="D705" s="23"/>
      <c r="E705" s="23">
        <v>554</v>
      </c>
      <c r="F705" s="28">
        <v>660</v>
      </c>
    </row>
    <row r="706" spans="1:6" ht="15" customHeight="1" outlineLevel="1" x14ac:dyDescent="0.25">
      <c r="A706" s="29"/>
      <c r="B706" s="22" t="s">
        <v>1431</v>
      </c>
      <c r="C706" s="23"/>
      <c r="D706" s="23"/>
      <c r="E706" s="22">
        <f>SUBTOTAL(9,E705:E705)</f>
        <v>554</v>
      </c>
      <c r="F706" s="28"/>
    </row>
    <row r="707" spans="1:6" ht="15" customHeight="1" outlineLevel="2" x14ac:dyDescent="0.25">
      <c r="A707" s="15" t="s">
        <v>1036</v>
      </c>
      <c r="B707" s="3" t="s">
        <v>89</v>
      </c>
      <c r="C707" s="3"/>
      <c r="D707" s="3"/>
      <c r="E707" s="3">
        <v>188</v>
      </c>
      <c r="F707" s="25">
        <v>280</v>
      </c>
    </row>
    <row r="708" spans="1:6" ht="15" customHeight="1" outlineLevel="2" x14ac:dyDescent="0.25">
      <c r="A708" s="15" t="s">
        <v>1035</v>
      </c>
      <c r="B708" s="3" t="s">
        <v>89</v>
      </c>
      <c r="C708" s="3"/>
      <c r="D708" s="3"/>
      <c r="E708" s="3">
        <v>239</v>
      </c>
      <c r="F708" s="25">
        <v>400</v>
      </c>
    </row>
    <row r="709" spans="1:6" ht="15" customHeight="1" outlineLevel="1" x14ac:dyDescent="0.25">
      <c r="A709" s="15"/>
      <c r="B709" s="19" t="s">
        <v>1432</v>
      </c>
      <c r="C709" s="3"/>
      <c r="D709" s="3"/>
      <c r="E709" s="19">
        <f>SUBTOTAL(9,E707:E708)</f>
        <v>427</v>
      </c>
      <c r="F709" s="25"/>
    </row>
    <row r="710" spans="1:6" ht="15" customHeight="1" outlineLevel="2" x14ac:dyDescent="0.25">
      <c r="A710" s="18">
        <v>46234</v>
      </c>
      <c r="B710" s="3" t="s">
        <v>389</v>
      </c>
      <c r="C710" s="3"/>
      <c r="D710" s="3"/>
      <c r="E710" s="3">
        <v>196</v>
      </c>
      <c r="F710" s="25">
        <v>280</v>
      </c>
    </row>
    <row r="711" spans="1:6" ht="15" customHeight="1" outlineLevel="2" x14ac:dyDescent="0.25">
      <c r="A711" s="18">
        <v>46234</v>
      </c>
      <c r="B711" s="3" t="s">
        <v>389</v>
      </c>
      <c r="C711" s="3" t="s">
        <v>1128</v>
      </c>
      <c r="D711" s="3"/>
      <c r="E711" s="3">
        <v>238</v>
      </c>
      <c r="F711" s="25">
        <v>280</v>
      </c>
    </row>
    <row r="712" spans="1:6" ht="15" customHeight="1" outlineLevel="2" x14ac:dyDescent="0.25">
      <c r="A712" s="18">
        <v>46244</v>
      </c>
      <c r="B712" s="3" t="s">
        <v>389</v>
      </c>
      <c r="C712" s="3"/>
      <c r="D712" s="3"/>
      <c r="E712" s="3">
        <v>270</v>
      </c>
      <c r="F712" s="25">
        <v>280</v>
      </c>
    </row>
    <row r="713" spans="1:6" ht="15" customHeight="1" outlineLevel="2" x14ac:dyDescent="0.25">
      <c r="A713" s="18">
        <v>46244</v>
      </c>
      <c r="B713" s="3" t="s">
        <v>389</v>
      </c>
      <c r="C713" s="3"/>
      <c r="D713" s="3"/>
      <c r="E713" s="3">
        <v>280</v>
      </c>
      <c r="F713" s="25">
        <v>280</v>
      </c>
    </row>
    <row r="714" spans="1:6" ht="15" customHeight="1" outlineLevel="1" x14ac:dyDescent="0.25">
      <c r="A714" s="18"/>
      <c r="B714" s="19" t="s">
        <v>1433</v>
      </c>
      <c r="C714" s="3"/>
      <c r="D714" s="3"/>
      <c r="E714" s="19">
        <f>SUBTOTAL(9,E710:E713)</f>
        <v>984</v>
      </c>
      <c r="F714" s="25"/>
    </row>
    <row r="715" spans="1:6" ht="15" customHeight="1" outlineLevel="2" x14ac:dyDescent="0.25">
      <c r="A715" s="18">
        <v>46241</v>
      </c>
      <c r="B715" s="3" t="s">
        <v>1160</v>
      </c>
      <c r="C715" s="3"/>
      <c r="D715" s="3"/>
      <c r="E715" s="3">
        <v>3380</v>
      </c>
      <c r="F715" s="25">
        <v>4000</v>
      </c>
    </row>
    <row r="716" spans="1:6" ht="15" customHeight="1" outlineLevel="1" x14ac:dyDescent="0.25">
      <c r="A716" s="18"/>
      <c r="B716" s="19" t="s">
        <v>1434</v>
      </c>
      <c r="C716" s="3"/>
      <c r="D716" s="3"/>
      <c r="E716" s="19">
        <f>SUBTOTAL(9,E715:E715)</f>
        <v>3380</v>
      </c>
      <c r="F716" s="25"/>
    </row>
    <row r="717" spans="1:6" ht="15" customHeight="1" outlineLevel="2" x14ac:dyDescent="0.25">
      <c r="A717" s="15" t="s">
        <v>1092</v>
      </c>
      <c r="B717" s="3" t="s">
        <v>808</v>
      </c>
      <c r="C717" s="3"/>
      <c r="D717" s="3"/>
      <c r="E717" s="3" t="s">
        <v>1087</v>
      </c>
      <c r="F717" s="25">
        <v>700</v>
      </c>
    </row>
    <row r="718" spans="1:6" ht="15" customHeight="1" outlineLevel="1" x14ac:dyDescent="0.25">
      <c r="A718" s="15"/>
      <c r="B718" s="19" t="s">
        <v>1435</v>
      </c>
      <c r="C718" s="3"/>
      <c r="D718" s="3"/>
      <c r="E718" s="19">
        <f>SUBTOTAL(9,E717:E717)</f>
        <v>0</v>
      </c>
      <c r="F718" s="25"/>
    </row>
    <row r="719" spans="1:6" ht="15" customHeight="1" outlineLevel="2" x14ac:dyDescent="0.25">
      <c r="A719" s="29">
        <v>46244</v>
      </c>
      <c r="B719" s="23" t="s">
        <v>1172</v>
      </c>
      <c r="C719" s="23"/>
      <c r="D719" s="23"/>
      <c r="E719" s="23">
        <v>2039</v>
      </c>
      <c r="F719" s="28">
        <v>3000</v>
      </c>
    </row>
    <row r="720" spans="1:6" ht="15" customHeight="1" outlineLevel="1" x14ac:dyDescent="0.25">
      <c r="A720" s="29"/>
      <c r="B720" s="22" t="s">
        <v>1436</v>
      </c>
      <c r="C720" s="23"/>
      <c r="D720" s="23"/>
      <c r="E720" s="22">
        <f>SUBTOTAL(9,E719:E719)</f>
        <v>2039</v>
      </c>
      <c r="F720" s="28"/>
    </row>
    <row r="721" spans="1:6" ht="15" customHeight="1" outlineLevel="2" x14ac:dyDescent="0.25">
      <c r="A721" s="15" t="s">
        <v>1092</v>
      </c>
      <c r="B721" s="3" t="s">
        <v>833</v>
      </c>
      <c r="C721" s="3"/>
      <c r="D721" s="3"/>
      <c r="E721" s="3">
        <v>1936</v>
      </c>
      <c r="F721" s="25">
        <v>2500</v>
      </c>
    </row>
    <row r="722" spans="1:6" ht="15" customHeight="1" outlineLevel="2" x14ac:dyDescent="0.25">
      <c r="A722" s="18">
        <v>46241</v>
      </c>
      <c r="B722" s="3" t="s">
        <v>833</v>
      </c>
      <c r="C722" s="3" t="s">
        <v>1166</v>
      </c>
      <c r="D722" s="3"/>
      <c r="E722" s="3">
        <v>1754</v>
      </c>
      <c r="F722" s="25">
        <v>2500</v>
      </c>
    </row>
    <row r="723" spans="1:6" ht="15" customHeight="1" outlineLevel="1" x14ac:dyDescent="0.25">
      <c r="A723" s="18"/>
      <c r="B723" s="19" t="s">
        <v>1437</v>
      </c>
      <c r="C723" s="3"/>
      <c r="D723" s="3"/>
      <c r="E723" s="19">
        <f>SUBTOTAL(9,E721:E722)</f>
        <v>3690</v>
      </c>
      <c r="F723" s="25"/>
    </row>
    <row r="724" spans="1:6" ht="15" customHeight="1" outlineLevel="2" x14ac:dyDescent="0.25">
      <c r="A724" s="18">
        <v>46246</v>
      </c>
      <c r="B724" s="3" t="s">
        <v>603</v>
      </c>
      <c r="C724" s="3"/>
      <c r="D724" s="3"/>
      <c r="E724" s="3">
        <v>1115</v>
      </c>
      <c r="F724" s="25">
        <v>2500</v>
      </c>
    </row>
    <row r="725" spans="1:6" ht="15" customHeight="1" outlineLevel="2" x14ac:dyDescent="0.25">
      <c r="A725" s="18">
        <v>46251</v>
      </c>
      <c r="B725" s="3" t="s">
        <v>603</v>
      </c>
      <c r="C725" s="3"/>
      <c r="D725" s="3"/>
      <c r="E725" s="3">
        <v>1730</v>
      </c>
      <c r="F725" s="25">
        <v>2500</v>
      </c>
    </row>
    <row r="726" spans="1:6" ht="15" customHeight="1" outlineLevel="2" x14ac:dyDescent="0.25">
      <c r="A726" s="18">
        <v>46251</v>
      </c>
      <c r="B726" s="3" t="s">
        <v>603</v>
      </c>
      <c r="C726" s="3" t="s">
        <v>1187</v>
      </c>
      <c r="D726" s="3"/>
      <c r="E726" s="3">
        <v>2383</v>
      </c>
      <c r="F726" s="25">
        <v>2500</v>
      </c>
    </row>
    <row r="727" spans="1:6" ht="15" customHeight="1" outlineLevel="1" x14ac:dyDescent="0.25">
      <c r="A727" s="18"/>
      <c r="B727" s="19" t="s">
        <v>1438</v>
      </c>
      <c r="C727" s="3"/>
      <c r="D727" s="3"/>
      <c r="E727" s="19">
        <f>SUBTOTAL(9,E724:E726)</f>
        <v>5228</v>
      </c>
      <c r="F727" s="25"/>
    </row>
    <row r="728" spans="1:6" ht="15" customHeight="1" outlineLevel="2" x14ac:dyDescent="0.25">
      <c r="A728" s="27" t="s">
        <v>1035</v>
      </c>
      <c r="B728" s="23" t="s">
        <v>1044</v>
      </c>
      <c r="C728" s="23"/>
      <c r="D728" s="23"/>
      <c r="E728" s="23">
        <v>270</v>
      </c>
      <c r="F728" s="28"/>
    </row>
    <row r="729" spans="1:6" ht="15" customHeight="1" outlineLevel="1" x14ac:dyDescent="0.25">
      <c r="A729" s="27"/>
      <c r="B729" s="22" t="s">
        <v>1439</v>
      </c>
      <c r="C729" s="23"/>
      <c r="D729" s="23"/>
      <c r="E729" s="22">
        <f>SUBTOTAL(9,E728:E728)</f>
        <v>270</v>
      </c>
      <c r="F729" s="28"/>
    </row>
    <row r="730" spans="1:6" ht="15" customHeight="1" outlineLevel="2" x14ac:dyDescent="0.25">
      <c r="A730" s="18">
        <v>46241</v>
      </c>
      <c r="B730" s="3" t="s">
        <v>505</v>
      </c>
      <c r="C730" s="3" t="s">
        <v>1168</v>
      </c>
      <c r="D730" s="3"/>
      <c r="E730" s="3">
        <v>644</v>
      </c>
      <c r="F730" s="25">
        <v>900</v>
      </c>
    </row>
    <row r="731" spans="1:6" ht="15" customHeight="1" outlineLevel="2" x14ac:dyDescent="0.25">
      <c r="A731" s="18">
        <v>46244</v>
      </c>
      <c r="B731" s="3" t="s">
        <v>505</v>
      </c>
      <c r="C731" s="3"/>
      <c r="D731" s="3"/>
      <c r="E731" s="3">
        <v>714</v>
      </c>
      <c r="F731" s="25">
        <v>900</v>
      </c>
    </row>
    <row r="732" spans="1:6" ht="15" customHeight="1" outlineLevel="2" x14ac:dyDescent="0.25">
      <c r="A732" s="18">
        <v>46244</v>
      </c>
      <c r="B732" s="3" t="s">
        <v>505</v>
      </c>
      <c r="C732" s="3"/>
      <c r="D732" s="3"/>
      <c r="E732" s="3">
        <v>615</v>
      </c>
      <c r="F732" s="25">
        <v>900</v>
      </c>
    </row>
    <row r="733" spans="1:6" ht="15" customHeight="1" outlineLevel="2" x14ac:dyDescent="0.25">
      <c r="A733" s="18">
        <v>46246</v>
      </c>
      <c r="B733" s="3" t="s">
        <v>505</v>
      </c>
      <c r="C733" s="3"/>
      <c r="D733" s="3"/>
      <c r="E733" s="3">
        <v>579</v>
      </c>
      <c r="F733" s="25">
        <v>900</v>
      </c>
    </row>
    <row r="734" spans="1:6" ht="15" customHeight="1" outlineLevel="1" x14ac:dyDescent="0.25">
      <c r="A734" s="18"/>
      <c r="B734" s="19" t="s">
        <v>1440</v>
      </c>
      <c r="C734" s="3"/>
      <c r="D734" s="3"/>
      <c r="E734" s="19">
        <f>SUBTOTAL(9,E730:E733)</f>
        <v>2552</v>
      </c>
      <c r="F734" s="25"/>
    </row>
    <row r="735" spans="1:6" ht="15" customHeight="1" outlineLevel="2" x14ac:dyDescent="0.25">
      <c r="A735" s="27" t="s">
        <v>1036</v>
      </c>
      <c r="B735" s="23" t="s">
        <v>1038</v>
      </c>
      <c r="C735" s="23"/>
      <c r="D735" s="23"/>
      <c r="E735" s="23">
        <v>1611</v>
      </c>
      <c r="F735" s="28">
        <v>1850</v>
      </c>
    </row>
    <row r="736" spans="1:6" ht="15" customHeight="1" outlineLevel="1" x14ac:dyDescent="0.25">
      <c r="A736" s="27"/>
      <c r="B736" s="22" t="s">
        <v>1441</v>
      </c>
      <c r="C736" s="23"/>
      <c r="D736" s="23"/>
      <c r="E736" s="22">
        <f>SUBTOTAL(9,E735:E735)</f>
        <v>1611</v>
      </c>
      <c r="F736" s="28"/>
    </row>
    <row r="737" spans="1:6" ht="15" customHeight="1" outlineLevel="2" x14ac:dyDescent="0.25">
      <c r="A737" s="29">
        <v>46251</v>
      </c>
      <c r="B737" s="23" t="s">
        <v>265</v>
      </c>
      <c r="C737" s="23"/>
      <c r="D737" s="23"/>
      <c r="E737" s="23">
        <v>1771</v>
      </c>
      <c r="F737" s="28">
        <v>4500</v>
      </c>
    </row>
    <row r="738" spans="1:6" ht="15" customHeight="1" outlineLevel="1" x14ac:dyDescent="0.25">
      <c r="A738" s="29"/>
      <c r="B738" s="22" t="s">
        <v>1442</v>
      </c>
      <c r="C738" s="23"/>
      <c r="D738" s="23"/>
      <c r="E738" s="22">
        <f>SUBTOTAL(9,E737:E737)</f>
        <v>1771</v>
      </c>
      <c r="F738" s="28"/>
    </row>
    <row r="739" spans="1:6" ht="15" customHeight="1" outlineLevel="2" x14ac:dyDescent="0.25">
      <c r="A739" s="29">
        <v>46253</v>
      </c>
      <c r="B739" s="23" t="s">
        <v>1199</v>
      </c>
      <c r="C739" s="23" t="s">
        <v>1200</v>
      </c>
      <c r="D739" s="23"/>
      <c r="E739" s="23">
        <v>1572</v>
      </c>
      <c r="F739" s="28">
        <v>1700</v>
      </c>
    </row>
    <row r="740" spans="1:6" ht="15" customHeight="1" outlineLevel="1" x14ac:dyDescent="0.25">
      <c r="A740" s="29"/>
      <c r="B740" s="22" t="s">
        <v>1443</v>
      </c>
      <c r="C740" s="23"/>
      <c r="D740" s="23"/>
      <c r="E740" s="22">
        <f>SUBTOTAL(9,E739:E739)</f>
        <v>1572</v>
      </c>
      <c r="F740" s="28"/>
    </row>
    <row r="741" spans="1:6" ht="15" customHeight="1" outlineLevel="2" x14ac:dyDescent="0.25">
      <c r="A741" s="27" t="s">
        <v>1036</v>
      </c>
      <c r="B741" s="23" t="s">
        <v>867</v>
      </c>
      <c r="C741" s="23"/>
      <c r="D741" s="23"/>
      <c r="E741" s="23">
        <v>568</v>
      </c>
      <c r="F741" s="28"/>
    </row>
    <row r="742" spans="1:6" ht="15" customHeight="1" outlineLevel="1" x14ac:dyDescent="0.25">
      <c r="A742" s="27"/>
      <c r="B742" s="22" t="s">
        <v>1444</v>
      </c>
      <c r="C742" s="23"/>
      <c r="D742" s="23"/>
      <c r="E742" s="22">
        <f>SUBTOTAL(9,E741:E741)</f>
        <v>568</v>
      </c>
      <c r="F742" s="28"/>
    </row>
    <row r="743" spans="1:6" ht="15" customHeight="1" outlineLevel="2" x14ac:dyDescent="0.25">
      <c r="A743" s="27" t="s">
        <v>1092</v>
      </c>
      <c r="B743" s="23" t="s">
        <v>896</v>
      </c>
      <c r="C743" s="23"/>
      <c r="D743" s="23"/>
      <c r="E743" s="23">
        <v>611</v>
      </c>
      <c r="F743" s="28"/>
    </row>
    <row r="744" spans="1:6" ht="15" customHeight="1" outlineLevel="1" x14ac:dyDescent="0.25">
      <c r="A744" s="27"/>
      <c r="B744" s="22" t="s">
        <v>1445</v>
      </c>
      <c r="C744" s="23"/>
      <c r="D744" s="23"/>
      <c r="E744" s="22">
        <f>SUBTOTAL(9,E743:E743)</f>
        <v>611</v>
      </c>
      <c r="F744" s="28"/>
    </row>
    <row r="745" spans="1:6" ht="15" customHeight="1" outlineLevel="2" x14ac:dyDescent="0.25">
      <c r="A745" s="27" t="s">
        <v>1112</v>
      </c>
      <c r="B745" s="23" t="s">
        <v>1113</v>
      </c>
      <c r="C745" s="23"/>
      <c r="D745" s="23"/>
      <c r="E745" s="23">
        <v>80</v>
      </c>
      <c r="F745" s="28">
        <v>150</v>
      </c>
    </row>
    <row r="746" spans="1:6" ht="15" customHeight="1" outlineLevel="1" x14ac:dyDescent="0.25">
      <c r="A746" s="27"/>
      <c r="B746" s="22" t="s">
        <v>1446</v>
      </c>
      <c r="C746" s="23"/>
      <c r="D746" s="23"/>
      <c r="E746" s="22">
        <f>SUBTOTAL(9,E745:E745)</f>
        <v>80</v>
      </c>
      <c r="F746" s="28"/>
    </row>
    <row r="747" spans="1:6" ht="15" customHeight="1" outlineLevel="2" x14ac:dyDescent="0.25">
      <c r="A747" s="29">
        <v>46234</v>
      </c>
      <c r="B747" s="23" t="s">
        <v>606</v>
      </c>
      <c r="C747" s="23" t="s">
        <v>1127</v>
      </c>
      <c r="D747" s="23"/>
      <c r="E747" s="23">
        <v>442</v>
      </c>
      <c r="F747" s="28">
        <v>660</v>
      </c>
    </row>
    <row r="748" spans="1:6" ht="15" customHeight="1" outlineLevel="1" x14ac:dyDescent="0.25">
      <c r="A748" s="29"/>
      <c r="B748" s="22" t="s">
        <v>1447</v>
      </c>
      <c r="C748" s="23"/>
      <c r="D748" s="23"/>
      <c r="E748" s="22">
        <f>SUBTOTAL(9,E747:E747)</f>
        <v>442</v>
      </c>
      <c r="F748" s="28"/>
    </row>
    <row r="749" spans="1:6" ht="15" customHeight="1" outlineLevel="2" x14ac:dyDescent="0.25">
      <c r="A749" s="29">
        <v>46234</v>
      </c>
      <c r="B749" s="23" t="s">
        <v>1131</v>
      </c>
      <c r="C749" s="23" t="s">
        <v>1132</v>
      </c>
      <c r="D749" s="23"/>
      <c r="E749" s="23">
        <v>397</v>
      </c>
      <c r="F749" s="28">
        <v>700</v>
      </c>
    </row>
    <row r="750" spans="1:6" ht="15" customHeight="1" outlineLevel="1" x14ac:dyDescent="0.25">
      <c r="A750" s="29"/>
      <c r="B750" s="22" t="s">
        <v>1448</v>
      </c>
      <c r="C750" s="23"/>
      <c r="D750" s="23"/>
      <c r="E750" s="22">
        <f>SUBTOTAL(9,E749:E749)</f>
        <v>397</v>
      </c>
      <c r="F750" s="28"/>
    </row>
    <row r="751" spans="1:6" ht="15" customHeight="1" outlineLevel="2" x14ac:dyDescent="0.25">
      <c r="A751" s="18">
        <v>46241</v>
      </c>
      <c r="B751" s="3" t="s">
        <v>435</v>
      </c>
      <c r="C751" s="3" t="s">
        <v>1162</v>
      </c>
      <c r="D751" s="3"/>
      <c r="E751" s="3">
        <v>462</v>
      </c>
      <c r="F751" s="25">
        <v>520</v>
      </c>
    </row>
    <row r="752" spans="1:6" ht="15" customHeight="1" outlineLevel="2" x14ac:dyDescent="0.25">
      <c r="A752" s="18">
        <v>46244</v>
      </c>
      <c r="B752" s="3" t="s">
        <v>435</v>
      </c>
      <c r="C752" s="3" t="s">
        <v>1171</v>
      </c>
      <c r="D752" s="3"/>
      <c r="E752" s="3">
        <v>383</v>
      </c>
      <c r="F752" s="25">
        <v>520</v>
      </c>
    </row>
    <row r="753" spans="1:6" ht="15" customHeight="1" outlineLevel="1" x14ac:dyDescent="0.25">
      <c r="A753" s="18"/>
      <c r="B753" s="19" t="s">
        <v>1449</v>
      </c>
      <c r="C753" s="3"/>
      <c r="D753" s="3"/>
      <c r="E753" s="19">
        <f>SUBTOTAL(9,E751:E752)</f>
        <v>845</v>
      </c>
      <c r="F753" s="25"/>
    </row>
    <row r="754" spans="1:6" ht="15" customHeight="1" outlineLevel="2" x14ac:dyDescent="0.25">
      <c r="A754" s="29">
        <v>46253</v>
      </c>
      <c r="B754" s="23" t="s">
        <v>1201</v>
      </c>
      <c r="C754" s="23" t="s">
        <v>1202</v>
      </c>
      <c r="D754" s="23"/>
      <c r="E754" s="23">
        <v>765</v>
      </c>
      <c r="F754" s="28">
        <v>900</v>
      </c>
    </row>
    <row r="755" spans="1:6" ht="15" customHeight="1" outlineLevel="1" x14ac:dyDescent="0.25">
      <c r="A755" s="29"/>
      <c r="B755" s="22" t="s">
        <v>1450</v>
      </c>
      <c r="C755" s="23"/>
      <c r="D755" s="23"/>
      <c r="E755" s="22">
        <f>SUBTOTAL(9,E754:E754)</f>
        <v>765</v>
      </c>
      <c r="F755" s="28"/>
    </row>
    <row r="756" spans="1:6" ht="15" customHeight="1" outlineLevel="2" x14ac:dyDescent="0.25">
      <c r="A756" s="27" t="s">
        <v>1102</v>
      </c>
      <c r="B756" s="23" t="s">
        <v>1105</v>
      </c>
      <c r="C756" s="23"/>
      <c r="D756" s="23"/>
      <c r="E756" s="23">
        <v>652</v>
      </c>
      <c r="F756" s="28"/>
    </row>
    <row r="757" spans="1:6" ht="15" customHeight="1" outlineLevel="1" x14ac:dyDescent="0.25">
      <c r="A757" s="27"/>
      <c r="B757" s="22" t="s">
        <v>1451</v>
      </c>
      <c r="C757" s="23"/>
      <c r="D757" s="23"/>
      <c r="E757" s="22">
        <f>SUBTOTAL(9,E756:E756)</f>
        <v>652</v>
      </c>
      <c r="F757" s="28"/>
    </row>
    <row r="758" spans="1:6" ht="15" customHeight="1" outlineLevel="2" x14ac:dyDescent="0.25">
      <c r="A758" s="27" t="s">
        <v>1033</v>
      </c>
      <c r="B758" s="23" t="s">
        <v>1031</v>
      </c>
      <c r="C758" s="23"/>
      <c r="D758" s="23"/>
      <c r="E758" s="23">
        <v>1078</v>
      </c>
      <c r="F758" s="28">
        <v>3800</v>
      </c>
    </row>
    <row r="759" spans="1:6" ht="15" customHeight="1" outlineLevel="1" x14ac:dyDescent="0.25">
      <c r="A759" s="27"/>
      <c r="B759" s="22" t="s">
        <v>1452</v>
      </c>
      <c r="C759" s="23"/>
      <c r="D759" s="23"/>
      <c r="E759" s="22">
        <f>SUBTOTAL(9,E758:E758)</f>
        <v>1078</v>
      </c>
      <c r="F759" s="28"/>
    </row>
    <row r="760" spans="1:6" ht="15" customHeight="1" outlineLevel="2" x14ac:dyDescent="0.25">
      <c r="A760" s="27" t="s">
        <v>1033</v>
      </c>
      <c r="B760" s="23" t="s">
        <v>176</v>
      </c>
      <c r="C760" s="23"/>
      <c r="D760" s="23"/>
      <c r="E760" s="23">
        <v>750</v>
      </c>
      <c r="F760" s="28">
        <v>1500</v>
      </c>
    </row>
    <row r="761" spans="1:6" ht="15" customHeight="1" outlineLevel="1" x14ac:dyDescent="0.25">
      <c r="A761" s="27"/>
      <c r="B761" s="22" t="s">
        <v>1453</v>
      </c>
      <c r="C761" s="23"/>
      <c r="D761" s="23"/>
      <c r="E761" s="22">
        <f>SUBTOTAL(9,E760:E760)</f>
        <v>750</v>
      </c>
      <c r="F761" s="28"/>
    </row>
    <row r="762" spans="1:6" ht="15" customHeight="1" outlineLevel="2" x14ac:dyDescent="0.25">
      <c r="A762" s="27" t="s">
        <v>1034</v>
      </c>
      <c r="B762" s="23" t="s">
        <v>1045</v>
      </c>
      <c r="C762" s="23"/>
      <c r="D762" s="23"/>
      <c r="E762" s="23">
        <v>447</v>
      </c>
      <c r="F762" s="28">
        <v>725</v>
      </c>
    </row>
    <row r="763" spans="1:6" ht="15" customHeight="1" outlineLevel="1" x14ac:dyDescent="0.25">
      <c r="A763" s="27"/>
      <c r="B763" s="22" t="s">
        <v>1454</v>
      </c>
      <c r="C763" s="23"/>
      <c r="D763" s="23"/>
      <c r="E763" s="22">
        <f>SUBTOTAL(9,E762:E762)</f>
        <v>447</v>
      </c>
      <c r="F763" s="28"/>
    </row>
    <row r="764" spans="1:6" ht="15" customHeight="1" outlineLevel="2" x14ac:dyDescent="0.25">
      <c r="A764" s="27" t="s">
        <v>1102</v>
      </c>
      <c r="B764" s="23">
        <v>715150010</v>
      </c>
      <c r="C764" s="23"/>
      <c r="D764" s="23"/>
      <c r="E764" s="23">
        <v>2248</v>
      </c>
      <c r="F764" s="28">
        <v>2500</v>
      </c>
    </row>
    <row r="765" spans="1:6" ht="15" customHeight="1" outlineLevel="1" x14ac:dyDescent="0.25">
      <c r="A765" s="27"/>
      <c r="B765" s="22" t="s">
        <v>1455</v>
      </c>
      <c r="C765" s="23"/>
      <c r="D765" s="23"/>
      <c r="E765" s="22">
        <f>SUM(E389,E764)</f>
        <v>4493</v>
      </c>
      <c r="F765" s="28"/>
    </row>
    <row r="766" spans="1:6" ht="15" customHeight="1" outlineLevel="2" x14ac:dyDescent="0.25">
      <c r="A766" s="18">
        <v>46251</v>
      </c>
      <c r="B766" s="3">
        <v>82246</v>
      </c>
      <c r="C766" s="3"/>
      <c r="D766" s="3"/>
      <c r="E766" s="3">
        <v>130</v>
      </c>
      <c r="F766" s="25">
        <v>250</v>
      </c>
    </row>
    <row r="767" spans="1:6" ht="15" customHeight="1" outlineLevel="2" x14ac:dyDescent="0.25">
      <c r="A767" s="18">
        <v>46251</v>
      </c>
      <c r="B767" s="3">
        <v>82246</v>
      </c>
      <c r="C767" s="3"/>
      <c r="D767" s="3"/>
      <c r="E767" s="3">
        <v>111</v>
      </c>
      <c r="F767" s="25">
        <v>250</v>
      </c>
    </row>
    <row r="768" spans="1:6" ht="15" customHeight="1" outlineLevel="1" x14ac:dyDescent="0.25">
      <c r="A768" s="18"/>
      <c r="B768" s="19" t="s">
        <v>1456</v>
      </c>
      <c r="C768" s="3"/>
      <c r="D768" s="3"/>
      <c r="E768" s="19">
        <f>SUBTOTAL(9,E766:E767)</f>
        <v>241</v>
      </c>
      <c r="F768" s="25"/>
    </row>
    <row r="769" spans="1:6" ht="15" customHeight="1" outlineLevel="2" x14ac:dyDescent="0.25">
      <c r="A769" s="27" t="s">
        <v>1034</v>
      </c>
      <c r="B769" s="23" t="s">
        <v>727</v>
      </c>
      <c r="C769" s="23"/>
      <c r="D769" s="23"/>
      <c r="E769" s="23">
        <v>398</v>
      </c>
      <c r="F769" s="28">
        <v>600</v>
      </c>
    </row>
    <row r="770" spans="1:6" ht="15" customHeight="1" outlineLevel="1" x14ac:dyDescent="0.25">
      <c r="A770" s="27"/>
      <c r="B770" s="22" t="s">
        <v>1457</v>
      </c>
      <c r="C770" s="23"/>
      <c r="D770" s="23"/>
      <c r="E770" s="22">
        <f>SUBTOTAL(9,E769:E769)</f>
        <v>398</v>
      </c>
      <c r="F770" s="28"/>
    </row>
    <row r="771" spans="1:6" ht="15" customHeight="1" outlineLevel="2" x14ac:dyDescent="0.25">
      <c r="A771" s="27" t="s">
        <v>1092</v>
      </c>
      <c r="B771" s="23" t="s">
        <v>1095</v>
      </c>
      <c r="C771" s="23"/>
      <c r="D771" s="23"/>
      <c r="E771" s="23">
        <v>567</v>
      </c>
      <c r="F771" s="28"/>
    </row>
    <row r="772" spans="1:6" ht="15" customHeight="1" outlineLevel="1" x14ac:dyDescent="0.25">
      <c r="A772" s="27"/>
      <c r="B772" s="22" t="s">
        <v>1458</v>
      </c>
      <c r="C772" s="23"/>
      <c r="D772" s="23"/>
      <c r="E772" s="22">
        <f>SUBTOTAL(9,E771:E771)</f>
        <v>567</v>
      </c>
      <c r="F772" s="28"/>
    </row>
    <row r="773" spans="1:6" ht="15" customHeight="1" outlineLevel="2" x14ac:dyDescent="0.25">
      <c r="A773" s="27" t="s">
        <v>1092</v>
      </c>
      <c r="B773" s="23" t="s">
        <v>1098</v>
      </c>
      <c r="C773" s="23"/>
      <c r="D773" s="23"/>
      <c r="E773" s="23">
        <v>646</v>
      </c>
      <c r="F773" s="28">
        <v>800</v>
      </c>
    </row>
    <row r="774" spans="1:6" ht="15" customHeight="1" outlineLevel="1" x14ac:dyDescent="0.25">
      <c r="A774" s="27"/>
      <c r="B774" s="22" t="s">
        <v>1459</v>
      </c>
      <c r="C774" s="23"/>
      <c r="D774" s="23"/>
      <c r="E774" s="22">
        <f>SUBTOTAL(9,E773:E773)</f>
        <v>646</v>
      </c>
      <c r="F774" s="28"/>
    </row>
    <row r="775" spans="1:6" ht="15" customHeight="1" outlineLevel="2" x14ac:dyDescent="0.25">
      <c r="A775" s="27" t="s">
        <v>1077</v>
      </c>
      <c r="B775" s="23" t="s">
        <v>1079</v>
      </c>
      <c r="C775" s="23"/>
      <c r="D775" s="23"/>
      <c r="E775" s="23">
        <v>1762</v>
      </c>
      <c r="F775" s="28"/>
    </row>
    <row r="776" spans="1:6" ht="15" customHeight="1" outlineLevel="1" x14ac:dyDescent="0.25">
      <c r="A776" s="27"/>
      <c r="B776" s="22" t="s">
        <v>1460</v>
      </c>
      <c r="C776" s="23"/>
      <c r="D776" s="23"/>
      <c r="E776" s="22">
        <f>SUBTOTAL(9,E775:E775)</f>
        <v>1762</v>
      </c>
      <c r="F776" s="28"/>
    </row>
    <row r="777" spans="1:6" ht="15" customHeight="1" outlineLevel="2" x14ac:dyDescent="0.25">
      <c r="A777" s="29">
        <v>46246</v>
      </c>
      <c r="B777" s="23" t="s">
        <v>86</v>
      </c>
      <c r="C777" s="23"/>
      <c r="D777" s="23"/>
      <c r="E777" s="23">
        <v>405</v>
      </c>
      <c r="F777" s="28">
        <v>525</v>
      </c>
    </row>
    <row r="778" spans="1:6" ht="15" customHeight="1" outlineLevel="1" x14ac:dyDescent="0.25">
      <c r="A778" s="29"/>
      <c r="B778" s="22" t="s">
        <v>1461</v>
      </c>
      <c r="C778" s="23"/>
      <c r="D778" s="23"/>
      <c r="E778" s="22">
        <f>SUBTOTAL(9,E777:E777)</f>
        <v>405</v>
      </c>
      <c r="F778" s="28"/>
    </row>
    <row r="779" spans="1:6" ht="15" customHeight="1" outlineLevel="1" x14ac:dyDescent="0.25">
      <c r="A779" s="18">
        <v>46244</v>
      </c>
      <c r="B779" s="3" t="s">
        <v>15</v>
      </c>
      <c r="C779" s="3"/>
      <c r="D779" s="3"/>
      <c r="E779" s="3">
        <v>505</v>
      </c>
      <c r="F779" s="25">
        <v>700</v>
      </c>
    </row>
    <row r="780" spans="1:6" ht="15" customHeight="1" outlineLevel="2" x14ac:dyDescent="0.25">
      <c r="A780" s="18">
        <v>46244</v>
      </c>
      <c r="B780" s="3" t="s">
        <v>15</v>
      </c>
      <c r="C780" s="3" t="s">
        <v>1174</v>
      </c>
      <c r="D780" s="3"/>
      <c r="E780" s="3">
        <v>602</v>
      </c>
      <c r="F780" s="25">
        <v>700</v>
      </c>
    </row>
    <row r="781" spans="1:6" ht="15" customHeight="1" outlineLevel="2" x14ac:dyDescent="0.25">
      <c r="A781" s="15" t="s">
        <v>1034</v>
      </c>
      <c r="B781" s="3" t="s">
        <v>15</v>
      </c>
      <c r="C781" s="3"/>
      <c r="D781" s="3"/>
      <c r="E781" s="3">
        <v>459</v>
      </c>
      <c r="F781" s="25">
        <v>700</v>
      </c>
    </row>
    <row r="782" spans="1:6" ht="15" customHeight="1" outlineLevel="2" x14ac:dyDescent="0.25">
      <c r="A782" s="18">
        <v>46238</v>
      </c>
      <c r="B782" s="3" t="s">
        <v>15</v>
      </c>
      <c r="C782" s="3" t="s">
        <v>1145</v>
      </c>
      <c r="D782" s="3"/>
      <c r="E782" s="3">
        <v>600</v>
      </c>
      <c r="F782" s="25">
        <v>700</v>
      </c>
    </row>
    <row r="783" spans="1:6" ht="15" customHeight="1" outlineLevel="2" x14ac:dyDescent="0.25">
      <c r="A783" s="18">
        <v>46238</v>
      </c>
      <c r="B783" s="3" t="s">
        <v>15</v>
      </c>
      <c r="C783" s="3"/>
      <c r="D783" s="3"/>
      <c r="E783" s="3">
        <v>469</v>
      </c>
      <c r="F783" s="25">
        <v>700</v>
      </c>
    </row>
    <row r="784" spans="1:6" ht="15" customHeight="1" outlineLevel="2" x14ac:dyDescent="0.25">
      <c r="A784" s="18">
        <v>46238</v>
      </c>
      <c r="B784" s="3" t="s">
        <v>15</v>
      </c>
      <c r="C784" s="3" t="s">
        <v>1148</v>
      </c>
      <c r="D784" s="3"/>
      <c r="E784" s="3">
        <v>470</v>
      </c>
      <c r="F784" s="25">
        <v>700</v>
      </c>
    </row>
    <row r="785" spans="1:6" ht="15" customHeight="1" outlineLevel="1" x14ac:dyDescent="0.25">
      <c r="A785" s="18"/>
      <c r="B785" s="19" t="s">
        <v>1462</v>
      </c>
      <c r="C785" s="3"/>
      <c r="D785" s="3"/>
      <c r="E785" s="19">
        <f>SUM(E779:E784)</f>
        <v>3105</v>
      </c>
      <c r="F785" s="25"/>
    </row>
    <row r="786" spans="1:6" ht="15" customHeight="1" outlineLevel="2" x14ac:dyDescent="0.25">
      <c r="A786" s="18">
        <v>46238</v>
      </c>
      <c r="B786" s="3" t="s">
        <v>1141</v>
      </c>
      <c r="C786" s="3"/>
      <c r="D786" s="3"/>
      <c r="E786" s="3">
        <v>996</v>
      </c>
      <c r="F786" s="25">
        <v>1200</v>
      </c>
    </row>
    <row r="787" spans="1:6" ht="15" customHeight="1" outlineLevel="2" x14ac:dyDescent="0.25">
      <c r="A787" s="18">
        <v>46238</v>
      </c>
      <c r="B787" s="3" t="s">
        <v>1141</v>
      </c>
      <c r="C787" s="3"/>
      <c r="D787" s="3"/>
      <c r="E787" s="3">
        <v>1105</v>
      </c>
      <c r="F787" s="25">
        <v>1200</v>
      </c>
    </row>
    <row r="788" spans="1:6" ht="15" customHeight="1" outlineLevel="1" x14ac:dyDescent="0.25">
      <c r="A788" s="18"/>
      <c r="B788" s="19" t="s">
        <v>1463</v>
      </c>
      <c r="C788" s="3"/>
      <c r="D788" s="3"/>
      <c r="E788" s="19">
        <f>SUBTOTAL(9,E786:E787)</f>
        <v>2101</v>
      </c>
      <c r="F788" s="25"/>
    </row>
    <row r="789" spans="1:6" ht="15" customHeight="1" outlineLevel="2" x14ac:dyDescent="0.25">
      <c r="A789" s="15" t="s">
        <v>1112</v>
      </c>
      <c r="B789" s="3" t="s">
        <v>532</v>
      </c>
      <c r="C789" s="3"/>
      <c r="D789" s="3"/>
      <c r="E789" s="3">
        <v>477</v>
      </c>
      <c r="F789" s="25">
        <v>750</v>
      </c>
    </row>
    <row r="790" spans="1:6" ht="15" customHeight="1" outlineLevel="2" x14ac:dyDescent="0.25">
      <c r="A790" s="18">
        <v>46234</v>
      </c>
      <c r="B790" s="3" t="s">
        <v>532</v>
      </c>
      <c r="C790" s="3"/>
      <c r="D790" s="3"/>
      <c r="E790" s="3">
        <v>477</v>
      </c>
      <c r="F790" s="25">
        <v>750</v>
      </c>
    </row>
    <row r="791" spans="1:6" ht="15" customHeight="1" outlineLevel="1" x14ac:dyDescent="0.25">
      <c r="A791" s="18"/>
      <c r="B791" s="19" t="s">
        <v>1464</v>
      </c>
      <c r="C791" s="3"/>
      <c r="D791" s="3"/>
      <c r="E791" s="19">
        <f>SUBTOTAL(9,E789:E790)</f>
        <v>954</v>
      </c>
      <c r="F791" s="25"/>
    </row>
    <row r="792" spans="1:6" ht="15" customHeight="1" outlineLevel="2" x14ac:dyDescent="0.25">
      <c r="A792" s="18">
        <v>46238</v>
      </c>
      <c r="B792" s="3" t="s">
        <v>181</v>
      </c>
      <c r="C792" s="3"/>
      <c r="D792" s="3"/>
      <c r="E792" s="3">
        <v>166</v>
      </c>
      <c r="F792" s="25">
        <v>200</v>
      </c>
    </row>
    <row r="793" spans="1:6" ht="15" customHeight="1" outlineLevel="2" x14ac:dyDescent="0.25">
      <c r="A793" s="18">
        <v>46246</v>
      </c>
      <c r="B793" s="3" t="s">
        <v>181</v>
      </c>
      <c r="C793" s="3"/>
      <c r="D793" s="3"/>
      <c r="E793" s="3">
        <v>90</v>
      </c>
      <c r="F793" s="25">
        <v>200</v>
      </c>
    </row>
    <row r="794" spans="1:6" ht="15" customHeight="1" outlineLevel="1" x14ac:dyDescent="0.25">
      <c r="A794" s="18"/>
      <c r="B794" s="19" t="s">
        <v>1465</v>
      </c>
      <c r="C794" s="3"/>
      <c r="D794" s="3"/>
      <c r="E794" s="19">
        <f>SUBTOTAL(9,E792:E793)</f>
        <v>256</v>
      </c>
      <c r="F794" s="25"/>
    </row>
    <row r="795" spans="1:6" ht="15" customHeight="1" outlineLevel="2" x14ac:dyDescent="0.25">
      <c r="A795" s="29">
        <v>46246</v>
      </c>
      <c r="B795" s="23" t="s">
        <v>480</v>
      </c>
      <c r="C795" s="23"/>
      <c r="D795" s="23"/>
      <c r="E795" s="23">
        <v>1139</v>
      </c>
      <c r="F795" s="28">
        <v>1600</v>
      </c>
    </row>
    <row r="796" spans="1:6" ht="15" customHeight="1" outlineLevel="1" x14ac:dyDescent="0.25">
      <c r="A796" s="29"/>
      <c r="B796" s="22" t="s">
        <v>1466</v>
      </c>
      <c r="C796" s="23"/>
      <c r="D796" s="23"/>
      <c r="E796" s="22">
        <f>SUBTOTAL(9,E795:E795)</f>
        <v>1139</v>
      </c>
      <c r="F796" s="28"/>
    </row>
    <row r="797" spans="1:6" ht="15" customHeight="1" outlineLevel="2" x14ac:dyDescent="0.25">
      <c r="A797" s="27" t="s">
        <v>1036</v>
      </c>
      <c r="B797" s="23" t="s">
        <v>16</v>
      </c>
      <c r="C797" s="23"/>
      <c r="D797" s="23"/>
      <c r="E797" s="23">
        <v>2713</v>
      </c>
      <c r="F797" s="28">
        <v>4000</v>
      </c>
    </row>
    <row r="798" spans="1:6" ht="15" customHeight="1" outlineLevel="1" x14ac:dyDescent="0.25">
      <c r="A798" s="27"/>
      <c r="B798" s="22" t="s">
        <v>1467</v>
      </c>
      <c r="C798" s="23"/>
      <c r="D798" s="23"/>
      <c r="E798" s="22">
        <f>SUBTOTAL(9,E797:E797)</f>
        <v>2713</v>
      </c>
      <c r="F798" s="28"/>
    </row>
    <row r="799" spans="1:6" ht="15" customHeight="1" outlineLevel="2" x14ac:dyDescent="0.25">
      <c r="A799" s="18">
        <v>46234</v>
      </c>
      <c r="B799" s="3" t="s">
        <v>96</v>
      </c>
      <c r="C799" s="3" t="s">
        <v>1125</v>
      </c>
      <c r="D799" s="3"/>
      <c r="E799" s="3">
        <v>317</v>
      </c>
      <c r="F799" s="25">
        <v>600</v>
      </c>
    </row>
    <row r="800" spans="1:6" ht="15" customHeight="1" outlineLevel="2" x14ac:dyDescent="0.25">
      <c r="A800" s="18">
        <v>46246</v>
      </c>
      <c r="B800" s="3" t="s">
        <v>96</v>
      </c>
      <c r="C800" s="3"/>
      <c r="D800" s="3"/>
      <c r="E800" s="3">
        <v>450</v>
      </c>
      <c r="F800" s="25">
        <v>600</v>
      </c>
    </row>
    <row r="801" spans="1:6" ht="15" customHeight="1" outlineLevel="2" x14ac:dyDescent="0.25">
      <c r="A801" s="15" t="s">
        <v>1112</v>
      </c>
      <c r="B801" s="3" t="s">
        <v>96</v>
      </c>
      <c r="C801" s="3"/>
      <c r="D801" s="3"/>
      <c r="E801" s="3">
        <v>317</v>
      </c>
      <c r="F801" s="25">
        <v>600</v>
      </c>
    </row>
    <row r="802" spans="1:6" ht="15" customHeight="1" outlineLevel="1" x14ac:dyDescent="0.25">
      <c r="A802" s="15"/>
      <c r="B802" s="19" t="s">
        <v>1468</v>
      </c>
      <c r="C802" s="3"/>
      <c r="D802" s="3"/>
      <c r="E802" s="19">
        <f>SUM(E799:E801)</f>
        <v>1084</v>
      </c>
      <c r="F802" s="25"/>
    </row>
    <row r="803" spans="1:6" ht="15" customHeight="1" outlineLevel="2" x14ac:dyDescent="0.25">
      <c r="A803" s="18">
        <v>46255</v>
      </c>
      <c r="B803" s="3" t="s">
        <v>1213</v>
      </c>
      <c r="C803" s="3"/>
      <c r="D803" s="3"/>
      <c r="E803" s="3">
        <v>247</v>
      </c>
      <c r="F803" s="25">
        <v>450</v>
      </c>
    </row>
    <row r="804" spans="1:6" ht="15" customHeight="1" outlineLevel="1" x14ac:dyDescent="0.25">
      <c r="A804" s="18"/>
      <c r="B804" s="19" t="s">
        <v>1469</v>
      </c>
      <c r="C804" s="3"/>
      <c r="D804" s="3"/>
      <c r="E804" s="19">
        <f>SUBTOTAL(9,E803:E803)</f>
        <v>247</v>
      </c>
      <c r="F804" s="25"/>
    </row>
    <row r="805" spans="1:6" ht="15" customHeight="1" outlineLevel="2" x14ac:dyDescent="0.25">
      <c r="A805" s="15" t="s">
        <v>1077</v>
      </c>
      <c r="B805" s="3" t="s">
        <v>1090</v>
      </c>
      <c r="C805" s="3" t="s">
        <v>1087</v>
      </c>
      <c r="D805" s="3"/>
      <c r="E805" s="3"/>
      <c r="F805" s="25"/>
    </row>
    <row r="806" spans="1:6" ht="15" customHeight="1" outlineLevel="1" x14ac:dyDescent="0.25">
      <c r="A806" s="15"/>
      <c r="B806" s="19" t="s">
        <v>1470</v>
      </c>
      <c r="C806" s="3"/>
      <c r="D806" s="3"/>
      <c r="E806" s="3">
        <f>SUBTOTAL(9,E805:E805)</f>
        <v>0</v>
      </c>
      <c r="F806" s="25"/>
    </row>
    <row r="807" spans="1:6" ht="15" customHeight="1" outlineLevel="2" x14ac:dyDescent="0.25">
      <c r="A807" s="27" t="s">
        <v>1033</v>
      </c>
      <c r="B807" s="23" t="s">
        <v>1032</v>
      </c>
      <c r="C807" s="23"/>
      <c r="D807" s="23"/>
      <c r="E807" s="23">
        <v>338</v>
      </c>
      <c r="F807" s="28">
        <v>800</v>
      </c>
    </row>
    <row r="808" spans="1:6" ht="15" customHeight="1" outlineLevel="1" x14ac:dyDescent="0.25">
      <c r="A808" s="27"/>
      <c r="B808" s="22" t="s">
        <v>1471</v>
      </c>
      <c r="C808" s="23"/>
      <c r="D808" s="23"/>
      <c r="E808" s="22">
        <f>SUBTOTAL(9,E807:E807)</f>
        <v>338</v>
      </c>
      <c r="F808" s="28"/>
    </row>
    <row r="809" spans="1:6" ht="15" customHeight="1" outlineLevel="2" x14ac:dyDescent="0.25">
      <c r="A809" s="29">
        <v>46234</v>
      </c>
      <c r="B809" s="23" t="s">
        <v>1120</v>
      </c>
      <c r="C809" s="23"/>
      <c r="D809" s="23"/>
      <c r="E809" s="23">
        <v>1379</v>
      </c>
      <c r="F809" s="28">
        <v>1575</v>
      </c>
    </row>
    <row r="810" spans="1:6" ht="15" customHeight="1" outlineLevel="1" x14ac:dyDescent="0.25">
      <c r="A810" s="29"/>
      <c r="B810" s="22" t="s">
        <v>1472</v>
      </c>
      <c r="C810" s="23"/>
      <c r="D810" s="23"/>
      <c r="E810" s="22">
        <f>SUBTOTAL(9,E809:E809)</f>
        <v>1379</v>
      </c>
      <c r="F810" s="28"/>
    </row>
    <row r="811" spans="1:6" ht="15" customHeight="1" outlineLevel="2" x14ac:dyDescent="0.25">
      <c r="A811" s="27" t="s">
        <v>1077</v>
      </c>
      <c r="B811" s="23" t="s">
        <v>1091</v>
      </c>
      <c r="C811" s="23"/>
      <c r="D811" s="23"/>
      <c r="E811" s="23">
        <v>1693</v>
      </c>
      <c r="F811" s="28">
        <v>1900</v>
      </c>
    </row>
    <row r="812" spans="1:6" ht="15" customHeight="1" outlineLevel="1" x14ac:dyDescent="0.25">
      <c r="A812" s="27"/>
      <c r="B812" s="22" t="s">
        <v>1473</v>
      </c>
      <c r="C812" s="23"/>
      <c r="D812" s="23"/>
      <c r="E812" s="22">
        <f>SUBTOTAL(9,E811:E811)</f>
        <v>1693</v>
      </c>
      <c r="F812" s="28"/>
    </row>
    <row r="813" spans="1:6" ht="15" customHeight="1" outlineLevel="2" x14ac:dyDescent="0.25">
      <c r="A813" s="29">
        <v>46234</v>
      </c>
      <c r="B813" s="23" t="s">
        <v>1134</v>
      </c>
      <c r="C813" s="23"/>
      <c r="D813" s="23"/>
      <c r="E813" s="23">
        <v>111</v>
      </c>
      <c r="F813" s="28">
        <v>180</v>
      </c>
    </row>
    <row r="814" spans="1:6" ht="15" customHeight="1" outlineLevel="1" x14ac:dyDescent="0.25">
      <c r="A814" s="29"/>
      <c r="B814" s="22" t="s">
        <v>1474</v>
      </c>
      <c r="C814" s="23"/>
      <c r="D814" s="23"/>
      <c r="E814" s="22">
        <f>SUBTOTAL(9,E813:E813)</f>
        <v>111</v>
      </c>
      <c r="F814" s="28"/>
    </row>
    <row r="815" spans="1:6" ht="15" customHeight="1" outlineLevel="2" x14ac:dyDescent="0.25">
      <c r="A815" s="27" t="s">
        <v>1077</v>
      </c>
      <c r="B815" s="23" t="s">
        <v>1088</v>
      </c>
      <c r="C815" s="23">
        <v>768</v>
      </c>
      <c r="D815" s="23"/>
      <c r="E815" s="23">
        <v>768</v>
      </c>
      <c r="F815" s="28">
        <v>1100</v>
      </c>
    </row>
    <row r="816" spans="1:6" ht="15" customHeight="1" outlineLevel="1" x14ac:dyDescent="0.25">
      <c r="A816" s="27"/>
      <c r="B816" s="22" t="s">
        <v>1475</v>
      </c>
      <c r="C816" s="23"/>
      <c r="D816" s="23"/>
      <c r="E816" s="22">
        <f>SUBTOTAL(9,E815:E815)</f>
        <v>768</v>
      </c>
      <c r="F816" s="28"/>
    </row>
    <row r="817" spans="1:6" ht="15" customHeight="1" outlineLevel="2" x14ac:dyDescent="0.25">
      <c r="A817" s="15" t="s">
        <v>1033</v>
      </c>
      <c r="B817" s="3" t="s">
        <v>614</v>
      </c>
      <c r="C817" s="3"/>
      <c r="D817" s="3"/>
      <c r="E817" s="3">
        <v>943</v>
      </c>
      <c r="F817" s="25">
        <v>1450</v>
      </c>
    </row>
    <row r="818" spans="1:6" ht="15" customHeight="1" outlineLevel="2" x14ac:dyDescent="0.25">
      <c r="A818" s="18">
        <v>46238</v>
      </c>
      <c r="B818" s="3" t="s">
        <v>614</v>
      </c>
      <c r="C818" s="3" t="s">
        <v>1144</v>
      </c>
      <c r="D818" s="3"/>
      <c r="E818" s="3">
        <v>1154</v>
      </c>
      <c r="F818" s="25">
        <v>1450</v>
      </c>
    </row>
    <row r="819" spans="1:6" ht="15" customHeight="1" outlineLevel="1" x14ac:dyDescent="0.25">
      <c r="A819" s="18"/>
      <c r="B819" s="19" t="s">
        <v>1476</v>
      </c>
      <c r="C819" s="3"/>
      <c r="D819" s="3"/>
      <c r="E819" s="19">
        <f>SUBTOTAL(9,E817:E818)</f>
        <v>2097</v>
      </c>
      <c r="F819" s="25"/>
    </row>
    <row r="820" spans="1:6" ht="15" customHeight="1" outlineLevel="2" x14ac:dyDescent="0.25">
      <c r="A820" s="27" t="s">
        <v>1077</v>
      </c>
      <c r="B820" s="23" t="s">
        <v>1080</v>
      </c>
      <c r="C820" s="23"/>
      <c r="D820" s="23"/>
      <c r="E820" s="23">
        <v>326</v>
      </c>
      <c r="F820" s="28"/>
    </row>
    <row r="821" spans="1:6" ht="15" customHeight="1" outlineLevel="1" x14ac:dyDescent="0.25">
      <c r="A821" s="27"/>
      <c r="B821" s="22" t="s">
        <v>1477</v>
      </c>
      <c r="C821" s="23"/>
      <c r="D821" s="23"/>
      <c r="E821" s="22">
        <f>SUBTOTAL(9,E820:E820)</f>
        <v>326</v>
      </c>
      <c r="F821" s="28"/>
    </row>
    <row r="822" spans="1:6" ht="15" customHeight="1" outlineLevel="2" x14ac:dyDescent="0.25">
      <c r="A822" s="27" t="s">
        <v>1077</v>
      </c>
      <c r="B822" s="23" t="s">
        <v>1082</v>
      </c>
      <c r="C822" s="23"/>
      <c r="D822" s="23"/>
      <c r="E822" s="23" t="s">
        <v>1087</v>
      </c>
      <c r="F822" s="28"/>
    </row>
    <row r="823" spans="1:6" ht="15" customHeight="1" outlineLevel="1" x14ac:dyDescent="0.25">
      <c r="A823" s="27"/>
      <c r="B823" s="22" t="s">
        <v>1478</v>
      </c>
      <c r="C823" s="23"/>
      <c r="D823" s="23"/>
      <c r="E823" s="22">
        <f>SUBTOTAL(9,E822:E822)</f>
        <v>0</v>
      </c>
      <c r="F823" s="28"/>
    </row>
    <row r="824" spans="1:6" ht="15" customHeight="1" outlineLevel="2" x14ac:dyDescent="0.25">
      <c r="A824" s="15" t="s">
        <v>1034</v>
      </c>
      <c r="B824" s="3" t="s">
        <v>337</v>
      </c>
      <c r="C824" s="3"/>
      <c r="D824" s="3"/>
      <c r="E824" s="3" t="s">
        <v>1087</v>
      </c>
      <c r="F824" s="25"/>
    </row>
    <row r="825" spans="1:6" ht="15" customHeight="1" outlineLevel="2" x14ac:dyDescent="0.25">
      <c r="A825" s="15" t="s">
        <v>1077</v>
      </c>
      <c r="B825" s="3" t="s">
        <v>337</v>
      </c>
      <c r="C825" s="3"/>
      <c r="D825" s="3"/>
      <c r="E825" s="3">
        <v>1950</v>
      </c>
      <c r="F825" s="25">
        <v>3000</v>
      </c>
    </row>
    <row r="826" spans="1:6" ht="15" customHeight="1" outlineLevel="2" x14ac:dyDescent="0.25">
      <c r="A826" s="15" t="s">
        <v>1102</v>
      </c>
      <c r="B826" s="3" t="s">
        <v>337</v>
      </c>
      <c r="C826" s="3"/>
      <c r="D826" s="3"/>
      <c r="E826" s="3">
        <v>2604</v>
      </c>
      <c r="F826" s="25">
        <v>3000</v>
      </c>
    </row>
    <row r="827" spans="1:6" ht="15" customHeight="1" outlineLevel="2" x14ac:dyDescent="0.25">
      <c r="A827" s="18">
        <v>46234</v>
      </c>
      <c r="B827" s="3" t="s">
        <v>337</v>
      </c>
      <c r="C827" s="3"/>
      <c r="D827" s="3"/>
      <c r="E827" s="3">
        <v>1950</v>
      </c>
      <c r="F827" s="25">
        <v>3000</v>
      </c>
    </row>
    <row r="828" spans="1:6" ht="15" customHeight="1" outlineLevel="2" x14ac:dyDescent="0.25">
      <c r="A828" s="18">
        <v>46234</v>
      </c>
      <c r="B828" s="3" t="s">
        <v>337</v>
      </c>
      <c r="C828" s="3"/>
      <c r="D828" s="3"/>
      <c r="E828" s="3">
        <v>1550</v>
      </c>
      <c r="F828" s="25">
        <v>3000</v>
      </c>
    </row>
    <row r="829" spans="1:6" ht="15" customHeight="1" outlineLevel="2" x14ac:dyDescent="0.25">
      <c r="A829" s="18">
        <v>46253</v>
      </c>
      <c r="B829" s="3" t="s">
        <v>337</v>
      </c>
      <c r="C829" s="3"/>
      <c r="D829" s="3"/>
      <c r="E829" s="3">
        <v>1866</v>
      </c>
      <c r="F829" s="25">
        <v>3000</v>
      </c>
    </row>
    <row r="830" spans="1:6" ht="15" customHeight="1" outlineLevel="2" x14ac:dyDescent="0.25">
      <c r="A830" s="18">
        <v>46253</v>
      </c>
      <c r="B830" s="3" t="s">
        <v>337</v>
      </c>
      <c r="C830" s="3"/>
      <c r="D830" s="3"/>
      <c r="E830" s="3">
        <v>1294</v>
      </c>
      <c r="F830" s="25">
        <v>3000</v>
      </c>
    </row>
    <row r="831" spans="1:6" ht="15" customHeight="1" outlineLevel="1" x14ac:dyDescent="0.25">
      <c r="A831" s="18"/>
      <c r="B831" s="19" t="s">
        <v>1479</v>
      </c>
      <c r="C831" s="3"/>
      <c r="D831" s="3"/>
      <c r="E831" s="19">
        <f>SUBTOTAL(9,E824:E830)</f>
        <v>11214</v>
      </c>
      <c r="F831" s="25"/>
    </row>
    <row r="832" spans="1:6" ht="15" customHeight="1" outlineLevel="2" x14ac:dyDescent="0.25">
      <c r="A832" s="27" t="s">
        <v>1092</v>
      </c>
      <c r="B832" s="23" t="s">
        <v>762</v>
      </c>
      <c r="C832" s="23"/>
      <c r="D832" s="23"/>
      <c r="E832" s="23">
        <v>2836</v>
      </c>
      <c r="F832" s="28">
        <v>3000</v>
      </c>
    </row>
    <row r="833" spans="1:6" ht="15" customHeight="1" outlineLevel="1" x14ac:dyDescent="0.25">
      <c r="A833" s="27"/>
      <c r="B833" s="22" t="s">
        <v>1480</v>
      </c>
      <c r="C833" s="23"/>
      <c r="D833" s="23"/>
      <c r="E833" s="22">
        <f>SUBTOTAL(9,E832:E832)</f>
        <v>2836</v>
      </c>
      <c r="F833" s="28"/>
    </row>
    <row r="834" spans="1:6" ht="15" customHeight="1" outlineLevel="2" x14ac:dyDescent="0.25">
      <c r="A834" s="27" t="s">
        <v>1034</v>
      </c>
      <c r="B834" s="23" t="s">
        <v>17</v>
      </c>
      <c r="C834" s="23"/>
      <c r="D834" s="23"/>
      <c r="E834" s="23">
        <v>2612</v>
      </c>
      <c r="F834" s="28">
        <v>3000</v>
      </c>
    </row>
    <row r="835" spans="1:6" ht="15" customHeight="1" outlineLevel="1" x14ac:dyDescent="0.25">
      <c r="A835" s="27"/>
      <c r="B835" s="22" t="s">
        <v>1481</v>
      </c>
      <c r="C835" s="23"/>
      <c r="D835" s="23"/>
      <c r="E835" s="22">
        <f>SUBTOTAL(9,E834:E834)</f>
        <v>2612</v>
      </c>
      <c r="F835" s="28"/>
    </row>
    <row r="836" spans="1:6" ht="15" customHeight="1" outlineLevel="2" x14ac:dyDescent="0.25">
      <c r="A836" s="15" t="s">
        <v>1033</v>
      </c>
      <c r="B836" s="3" t="s">
        <v>216</v>
      </c>
      <c r="C836" s="3"/>
      <c r="D836" s="3"/>
      <c r="E836" s="3">
        <v>2870</v>
      </c>
      <c r="F836" s="25">
        <v>3000</v>
      </c>
    </row>
    <row r="837" spans="1:6" ht="15" customHeight="1" outlineLevel="2" x14ac:dyDescent="0.25">
      <c r="A837" s="18">
        <v>46234</v>
      </c>
      <c r="B837" s="3" t="s">
        <v>216</v>
      </c>
      <c r="C837" s="3"/>
      <c r="D837" s="3"/>
      <c r="E837" s="3">
        <v>2587</v>
      </c>
      <c r="F837" s="25">
        <v>3000</v>
      </c>
    </row>
    <row r="838" spans="1:6" ht="15" customHeight="1" outlineLevel="1" x14ac:dyDescent="0.25">
      <c r="A838" s="18"/>
      <c r="B838" s="19" t="s">
        <v>1482</v>
      </c>
      <c r="C838" s="3"/>
      <c r="D838" s="3"/>
      <c r="E838" s="19">
        <f>SUBTOTAL(9,E836:E837)</f>
        <v>5457</v>
      </c>
      <c r="F838" s="25"/>
    </row>
    <row r="839" spans="1:6" ht="15" customHeight="1" outlineLevel="2" x14ac:dyDescent="0.25">
      <c r="A839" s="27" t="s">
        <v>1102</v>
      </c>
      <c r="B839" s="23" t="s">
        <v>1110</v>
      </c>
      <c r="C839" s="23"/>
      <c r="D839" s="23"/>
      <c r="E839" s="23">
        <v>3100</v>
      </c>
      <c r="F839" s="28">
        <v>3500</v>
      </c>
    </row>
    <row r="840" spans="1:6" ht="15" customHeight="1" outlineLevel="1" x14ac:dyDescent="0.25">
      <c r="A840" s="27"/>
      <c r="B840" s="22" t="s">
        <v>1483</v>
      </c>
      <c r="C840" s="23"/>
      <c r="D840" s="23"/>
      <c r="E840" s="22">
        <f>SUBTOTAL(9,E839:E839)</f>
        <v>3100</v>
      </c>
      <c r="F840" s="28"/>
    </row>
    <row r="841" spans="1:6" ht="15" customHeight="1" outlineLevel="2" x14ac:dyDescent="0.25">
      <c r="A841" s="15" t="s">
        <v>1102</v>
      </c>
      <c r="B841" s="3" t="s">
        <v>141</v>
      </c>
      <c r="C841" s="3"/>
      <c r="D841" s="3"/>
      <c r="E841" s="3" t="s">
        <v>1087</v>
      </c>
      <c r="F841" s="25">
        <v>3500</v>
      </c>
    </row>
    <row r="842" spans="1:6" ht="15" customHeight="1" outlineLevel="2" x14ac:dyDescent="0.25">
      <c r="A842" s="18">
        <v>46238</v>
      </c>
      <c r="B842" s="3" t="s">
        <v>141</v>
      </c>
      <c r="C842" s="3" t="s">
        <v>1150</v>
      </c>
      <c r="D842" s="3"/>
      <c r="E842" s="3">
        <v>2885</v>
      </c>
      <c r="F842" s="25">
        <v>3500</v>
      </c>
    </row>
    <row r="843" spans="1:6" ht="15" customHeight="1" outlineLevel="1" x14ac:dyDescent="0.25">
      <c r="A843" s="18"/>
      <c r="B843" s="19" t="s">
        <v>1484</v>
      </c>
      <c r="C843" s="3"/>
      <c r="D843" s="3"/>
      <c r="E843" s="19">
        <f>SUBTOTAL(9,E841:E842)</f>
        <v>2885</v>
      </c>
      <c r="F843" s="25"/>
    </row>
    <row r="844" spans="1:6" ht="15" customHeight="1" outlineLevel="2" x14ac:dyDescent="0.25">
      <c r="A844" s="27" t="s">
        <v>1077</v>
      </c>
      <c r="B844" s="23" t="s">
        <v>327</v>
      </c>
      <c r="C844" s="23"/>
      <c r="D844" s="23"/>
      <c r="E844" s="23">
        <v>3720</v>
      </c>
      <c r="F844" s="28">
        <v>3500</v>
      </c>
    </row>
    <row r="845" spans="1:6" ht="15" customHeight="1" outlineLevel="1" x14ac:dyDescent="0.25">
      <c r="A845" s="27"/>
      <c r="B845" s="22" t="s">
        <v>1485</v>
      </c>
      <c r="C845" s="23"/>
      <c r="D845" s="23"/>
      <c r="E845" s="22">
        <f>SUBTOTAL(9,E844:E844)</f>
        <v>3720</v>
      </c>
      <c r="F845" s="28"/>
    </row>
    <row r="846" spans="1:6" ht="15" customHeight="1" outlineLevel="2" x14ac:dyDescent="0.25">
      <c r="A846" s="15" t="s">
        <v>1034</v>
      </c>
      <c r="B846" s="3" t="s">
        <v>359</v>
      </c>
      <c r="C846" s="3"/>
      <c r="D846" s="3"/>
      <c r="E846" s="3">
        <v>926</v>
      </c>
      <c r="F846" s="25">
        <v>1050</v>
      </c>
    </row>
    <row r="847" spans="1:6" ht="15" customHeight="1" outlineLevel="2" x14ac:dyDescent="0.25">
      <c r="A847" s="18">
        <v>46234</v>
      </c>
      <c r="B847" s="3" t="s">
        <v>359</v>
      </c>
      <c r="C847" s="3"/>
      <c r="D847" s="3"/>
      <c r="E847" s="3">
        <v>866</v>
      </c>
      <c r="F847" s="25">
        <v>1050</v>
      </c>
    </row>
    <row r="848" spans="1:6" ht="15" customHeight="1" outlineLevel="2" x14ac:dyDescent="0.25">
      <c r="A848" s="18">
        <v>46253</v>
      </c>
      <c r="B848" s="3" t="s">
        <v>359</v>
      </c>
      <c r="C848" s="3"/>
      <c r="D848" s="3"/>
      <c r="E848" s="3">
        <v>965</v>
      </c>
      <c r="F848" s="25">
        <v>1050</v>
      </c>
    </row>
    <row r="849" spans="1:6" ht="15" customHeight="1" outlineLevel="2" x14ac:dyDescent="0.25">
      <c r="A849" s="18">
        <v>46255</v>
      </c>
      <c r="B849" s="3" t="s">
        <v>359</v>
      </c>
      <c r="C849" s="3" t="s">
        <v>1204</v>
      </c>
      <c r="D849" s="3"/>
      <c r="E849" s="3">
        <v>994</v>
      </c>
      <c r="F849" s="25">
        <v>1050</v>
      </c>
    </row>
    <row r="850" spans="1:6" ht="15" customHeight="1" outlineLevel="1" x14ac:dyDescent="0.25">
      <c r="A850" s="18"/>
      <c r="B850" s="19" t="s">
        <v>1486</v>
      </c>
      <c r="C850" s="3"/>
      <c r="D850" s="3"/>
      <c r="E850" s="19">
        <f>SUBTOTAL(9,E846:E849)</f>
        <v>3751</v>
      </c>
      <c r="F850" s="25"/>
    </row>
    <row r="851" spans="1:6" ht="15" customHeight="1" outlineLevel="2" x14ac:dyDescent="0.25">
      <c r="A851" s="15" t="s">
        <v>1102</v>
      </c>
      <c r="B851" s="3" t="s">
        <v>50</v>
      </c>
      <c r="C851" s="3"/>
      <c r="D851" s="3"/>
      <c r="E851" s="3">
        <v>820</v>
      </c>
      <c r="F851" s="25">
        <v>1050</v>
      </c>
    </row>
    <row r="852" spans="1:6" ht="15" customHeight="1" outlineLevel="2" x14ac:dyDescent="0.25">
      <c r="A852" s="18">
        <v>46238</v>
      </c>
      <c r="B852" s="3" t="s">
        <v>50</v>
      </c>
      <c r="C852" s="3"/>
      <c r="D852" s="3"/>
      <c r="E852" s="3">
        <v>754</v>
      </c>
      <c r="F852" s="25">
        <v>1050</v>
      </c>
    </row>
    <row r="853" spans="1:6" ht="15" customHeight="1" outlineLevel="1" x14ac:dyDescent="0.25">
      <c r="A853" s="18"/>
      <c r="B853" s="19" t="s">
        <v>1487</v>
      </c>
      <c r="C853" s="3"/>
      <c r="D853" s="3"/>
      <c r="E853" s="19">
        <f>SUBTOTAL(9,E851:E852)</f>
        <v>1574</v>
      </c>
      <c r="F853" s="25"/>
    </row>
    <row r="854" spans="1:6" ht="15" customHeight="1" outlineLevel="2" x14ac:dyDescent="0.25">
      <c r="A854" s="27" t="s">
        <v>1034</v>
      </c>
      <c r="B854" s="23" t="s">
        <v>1076</v>
      </c>
      <c r="C854" s="23"/>
      <c r="D854" s="23"/>
      <c r="E854" s="23" t="s">
        <v>1087</v>
      </c>
      <c r="F854" s="28">
        <v>3800</v>
      </c>
    </row>
    <row r="855" spans="1:6" ht="15" customHeight="1" outlineLevel="1" x14ac:dyDescent="0.25">
      <c r="A855" s="27"/>
      <c r="B855" s="22" t="s">
        <v>1488</v>
      </c>
      <c r="C855" s="23"/>
      <c r="D855" s="23"/>
      <c r="E855" s="22">
        <f>SUBTOTAL(9,E854:E854)</f>
        <v>0</v>
      </c>
      <c r="F855" s="28"/>
    </row>
    <row r="856" spans="1:6" ht="15" customHeight="1" outlineLevel="2" x14ac:dyDescent="0.25">
      <c r="A856" s="27" t="s">
        <v>1036</v>
      </c>
      <c r="B856" s="23" t="s">
        <v>136</v>
      </c>
      <c r="C856" s="23"/>
      <c r="D856" s="23"/>
      <c r="E856" s="23">
        <v>105</v>
      </c>
      <c r="F856" s="28">
        <v>135</v>
      </c>
    </row>
    <row r="857" spans="1:6" ht="15" customHeight="1" outlineLevel="1" x14ac:dyDescent="0.25">
      <c r="A857" s="27"/>
      <c r="B857" s="22" t="s">
        <v>1489</v>
      </c>
      <c r="C857" s="23"/>
      <c r="D857" s="23"/>
      <c r="E857" s="22">
        <f>SUBTOTAL(9,E856:E856)</f>
        <v>105</v>
      </c>
      <c r="F857" s="28"/>
    </row>
    <row r="858" spans="1:6" ht="15" customHeight="1" outlineLevel="2" x14ac:dyDescent="0.25">
      <c r="A858" s="29">
        <v>46234</v>
      </c>
      <c r="B858" s="23" t="s">
        <v>621</v>
      </c>
      <c r="C858" s="23"/>
      <c r="D858" s="23"/>
      <c r="E858" s="23">
        <v>3052</v>
      </c>
      <c r="F858" s="28">
        <v>3800</v>
      </c>
    </row>
    <row r="859" spans="1:6" ht="15" customHeight="1" outlineLevel="1" x14ac:dyDescent="0.25">
      <c r="A859" s="29"/>
      <c r="B859" s="22" t="s">
        <v>1490</v>
      </c>
      <c r="C859" s="23"/>
      <c r="D859" s="23"/>
      <c r="E859" s="22">
        <f>SUBTOTAL(9,E858:E858)</f>
        <v>3052</v>
      </c>
      <c r="F859" s="28"/>
    </row>
    <row r="860" spans="1:6" ht="15" customHeight="1" outlineLevel="2" x14ac:dyDescent="0.25">
      <c r="A860" s="29">
        <v>46253</v>
      </c>
      <c r="B860" s="23" t="s">
        <v>242</v>
      </c>
      <c r="C860" s="23"/>
      <c r="D860" s="23"/>
      <c r="E860" s="23">
        <v>1108</v>
      </c>
      <c r="F860" s="28">
        <v>1900</v>
      </c>
    </row>
    <row r="861" spans="1:6" ht="15" customHeight="1" outlineLevel="1" x14ac:dyDescent="0.25">
      <c r="A861" s="29"/>
      <c r="B861" s="22" t="s">
        <v>1491</v>
      </c>
      <c r="C861" s="23"/>
      <c r="D861" s="23"/>
      <c r="E861" s="22">
        <f>SUBTOTAL(9,E860:E860)</f>
        <v>1108</v>
      </c>
      <c r="F861" s="28"/>
    </row>
    <row r="862" spans="1:6" ht="15" customHeight="1" outlineLevel="2" x14ac:dyDescent="0.25">
      <c r="A862" s="15" t="s">
        <v>1034</v>
      </c>
      <c r="B862" s="3" t="s">
        <v>91</v>
      </c>
      <c r="C862" s="3"/>
      <c r="D862" s="3"/>
      <c r="E862" s="3">
        <v>1000</v>
      </c>
      <c r="F862" s="25">
        <v>1120</v>
      </c>
    </row>
    <row r="863" spans="1:6" ht="15" customHeight="1" outlineLevel="2" x14ac:dyDescent="0.25">
      <c r="A863" s="15" t="s">
        <v>1034</v>
      </c>
      <c r="B863" s="3" t="s">
        <v>91</v>
      </c>
      <c r="C863" s="3"/>
      <c r="D863" s="3"/>
      <c r="E863" s="3">
        <v>978</v>
      </c>
      <c r="F863" s="25">
        <v>1120</v>
      </c>
    </row>
    <row r="864" spans="1:6" ht="15" customHeight="1" outlineLevel="2" x14ac:dyDescent="0.25">
      <c r="A864" s="18">
        <v>46246</v>
      </c>
      <c r="B864" s="3" t="s">
        <v>91</v>
      </c>
      <c r="C864" s="3"/>
      <c r="D864" s="3"/>
      <c r="E864" s="3">
        <v>726</v>
      </c>
      <c r="F864" s="25">
        <v>1120</v>
      </c>
    </row>
    <row r="865" spans="1:6" ht="15" customHeight="1" outlineLevel="1" x14ac:dyDescent="0.25">
      <c r="A865" s="18"/>
      <c r="B865" s="19" t="s">
        <v>1492</v>
      </c>
      <c r="C865" s="3"/>
      <c r="D865" s="3"/>
      <c r="E865" s="19">
        <f>SUBTOTAL(9,E862:E864)</f>
        <v>2704</v>
      </c>
      <c r="F865" s="25"/>
    </row>
    <row r="866" spans="1:6" ht="15" customHeight="1" outlineLevel="2" x14ac:dyDescent="0.25">
      <c r="A866" s="27" t="s">
        <v>1077</v>
      </c>
      <c r="B866" s="23" t="s">
        <v>1089</v>
      </c>
      <c r="C866" s="23"/>
      <c r="D866" s="23"/>
      <c r="E866" s="23">
        <v>276</v>
      </c>
      <c r="F866" s="28">
        <v>300</v>
      </c>
    </row>
    <row r="867" spans="1:6" ht="15" customHeight="1" outlineLevel="1" x14ac:dyDescent="0.25">
      <c r="A867" s="27"/>
      <c r="B867" s="22" t="s">
        <v>1493</v>
      </c>
      <c r="C867" s="23"/>
      <c r="D867" s="23"/>
      <c r="E867" s="22">
        <f>SUBTOTAL(9,E866:E866)</f>
        <v>276</v>
      </c>
      <c r="F867" s="28"/>
    </row>
    <row r="868" spans="1:6" ht="15" customHeight="1" outlineLevel="2" x14ac:dyDescent="0.25">
      <c r="A868" s="27" t="s">
        <v>1092</v>
      </c>
      <c r="B868" s="23" t="s">
        <v>1096</v>
      </c>
      <c r="C868" s="23"/>
      <c r="D868" s="23"/>
      <c r="E868" s="23">
        <v>989</v>
      </c>
      <c r="F868" s="28">
        <v>1100</v>
      </c>
    </row>
    <row r="869" spans="1:6" ht="15" customHeight="1" outlineLevel="1" x14ac:dyDescent="0.25">
      <c r="A869" s="27"/>
      <c r="B869" s="22" t="s">
        <v>1494</v>
      </c>
      <c r="C869" s="23"/>
      <c r="D869" s="23"/>
      <c r="E869" s="22">
        <f>SUBTOTAL(9,E868:E868)</f>
        <v>989</v>
      </c>
      <c r="F869" s="28"/>
    </row>
    <row r="870" spans="1:6" ht="15" customHeight="1" outlineLevel="2" x14ac:dyDescent="0.25">
      <c r="A870" s="15" t="s">
        <v>1036</v>
      </c>
      <c r="B870" s="3" t="s">
        <v>100</v>
      </c>
      <c r="C870" s="3"/>
      <c r="D870" s="3"/>
      <c r="E870" s="3">
        <v>282</v>
      </c>
      <c r="F870" s="25">
        <v>585</v>
      </c>
    </row>
    <row r="871" spans="1:6" ht="15" customHeight="1" outlineLevel="2" x14ac:dyDescent="0.25">
      <c r="A871" s="18">
        <v>46246</v>
      </c>
      <c r="B871" s="3" t="s">
        <v>100</v>
      </c>
      <c r="C871" s="3"/>
      <c r="D871" s="3"/>
      <c r="E871" s="3">
        <v>517</v>
      </c>
      <c r="F871" s="25">
        <v>580</v>
      </c>
    </row>
    <row r="872" spans="1:6" ht="15" customHeight="1" outlineLevel="1" x14ac:dyDescent="0.25">
      <c r="A872" s="18"/>
      <c r="B872" s="19" t="s">
        <v>1495</v>
      </c>
      <c r="C872" s="3"/>
      <c r="D872" s="3"/>
      <c r="E872" s="19">
        <f>SUBTOTAL(9,E870:E871)</f>
        <v>799</v>
      </c>
      <c r="F872" s="25"/>
    </row>
    <row r="873" spans="1:6" ht="15" customHeight="1" outlineLevel="2" x14ac:dyDescent="0.25">
      <c r="A873" s="18">
        <v>46251</v>
      </c>
      <c r="B873" s="3" t="s">
        <v>13</v>
      </c>
      <c r="C873" s="3"/>
      <c r="D873" s="3"/>
      <c r="E873" s="3">
        <v>1455</v>
      </c>
      <c r="F873" s="25">
        <v>1600</v>
      </c>
    </row>
    <row r="874" spans="1:6" ht="15" customHeight="1" outlineLevel="2" x14ac:dyDescent="0.25">
      <c r="A874" s="18">
        <v>46255</v>
      </c>
      <c r="B874" s="3" t="s">
        <v>13</v>
      </c>
      <c r="C874" s="3"/>
      <c r="D874" s="3"/>
      <c r="E874" s="3">
        <v>878</v>
      </c>
      <c r="F874" s="25">
        <v>1000</v>
      </c>
    </row>
    <row r="875" spans="1:6" ht="15" customHeight="1" outlineLevel="2" x14ac:dyDescent="0.25">
      <c r="A875" s="18">
        <v>46255</v>
      </c>
      <c r="B875" s="3" t="s">
        <v>13</v>
      </c>
      <c r="C875" s="3" t="s">
        <v>1215</v>
      </c>
      <c r="D875" s="3"/>
      <c r="E875" s="3">
        <v>914</v>
      </c>
      <c r="F875" s="25">
        <v>1600</v>
      </c>
    </row>
    <row r="876" spans="1:6" ht="15" customHeight="1" outlineLevel="2" x14ac:dyDescent="0.25">
      <c r="A876" s="15" t="s">
        <v>1112</v>
      </c>
      <c r="B876" s="3" t="s">
        <v>13</v>
      </c>
      <c r="C876" s="3"/>
      <c r="D876" s="3"/>
      <c r="E876" s="3">
        <v>1398</v>
      </c>
      <c r="F876" s="25">
        <v>1600</v>
      </c>
    </row>
    <row r="877" spans="1:6" ht="15" customHeight="1" outlineLevel="2" x14ac:dyDescent="0.25">
      <c r="A877" s="18">
        <v>46234</v>
      </c>
      <c r="B877" s="3" t="s">
        <v>13</v>
      </c>
      <c r="C877" s="3"/>
      <c r="D877" s="3"/>
      <c r="E877" s="3">
        <v>1398</v>
      </c>
      <c r="F877" s="25">
        <v>1600</v>
      </c>
    </row>
    <row r="878" spans="1:6" ht="15" customHeight="1" outlineLevel="1" x14ac:dyDescent="0.25">
      <c r="A878" s="18"/>
      <c r="B878" s="19" t="s">
        <v>1496</v>
      </c>
      <c r="C878" s="3"/>
      <c r="D878" s="3"/>
      <c r="E878" s="19">
        <f>SUM(E873:E877)</f>
        <v>6043</v>
      </c>
      <c r="F878" s="25"/>
    </row>
    <row r="879" spans="1:6" ht="15" customHeight="1" outlineLevel="2" x14ac:dyDescent="0.25">
      <c r="A879" s="15" t="s">
        <v>1034</v>
      </c>
      <c r="B879" s="3" t="s">
        <v>213</v>
      </c>
      <c r="C879" s="3"/>
      <c r="D879" s="3"/>
      <c r="E879" s="3">
        <v>1483</v>
      </c>
      <c r="F879" s="25">
        <v>1750</v>
      </c>
    </row>
    <row r="880" spans="1:6" ht="15" customHeight="1" outlineLevel="2" x14ac:dyDescent="0.25">
      <c r="A880" s="18">
        <v>46234</v>
      </c>
      <c r="B880" s="3" t="s">
        <v>213</v>
      </c>
      <c r="C880" s="3"/>
      <c r="D880" s="3"/>
      <c r="E880" s="3">
        <v>1560</v>
      </c>
      <c r="F880" s="25">
        <v>1750</v>
      </c>
    </row>
    <row r="881" spans="1:6" ht="15" customHeight="1" outlineLevel="2" x14ac:dyDescent="0.25">
      <c r="A881" s="18">
        <v>46246</v>
      </c>
      <c r="B881" s="3" t="s">
        <v>213</v>
      </c>
      <c r="C881" s="3"/>
      <c r="D881" s="3"/>
      <c r="E881" s="3">
        <v>800</v>
      </c>
      <c r="F881" s="25">
        <v>1750</v>
      </c>
    </row>
    <row r="882" spans="1:6" ht="15" customHeight="1" outlineLevel="2" x14ac:dyDescent="0.25">
      <c r="A882" s="18">
        <v>46251</v>
      </c>
      <c r="B882" s="3" t="s">
        <v>213</v>
      </c>
      <c r="C882" s="3" t="s">
        <v>1189</v>
      </c>
      <c r="D882" s="3"/>
      <c r="E882" s="3">
        <v>1604</v>
      </c>
      <c r="F882" s="25">
        <v>1750</v>
      </c>
    </row>
    <row r="883" spans="1:6" ht="15" customHeight="1" outlineLevel="1" x14ac:dyDescent="0.25">
      <c r="A883" s="18"/>
      <c r="B883" s="19" t="s">
        <v>1497</v>
      </c>
      <c r="C883" s="3"/>
      <c r="D883" s="3"/>
      <c r="E883" s="19">
        <f>SUBTOTAL(9,E879:E882)</f>
        <v>5447</v>
      </c>
      <c r="F883" s="25"/>
    </row>
    <row r="884" spans="1:6" ht="15" customHeight="1" outlineLevel="2" x14ac:dyDescent="0.25">
      <c r="A884" s="27" t="s">
        <v>1077</v>
      </c>
      <c r="B884" s="23" t="s">
        <v>835</v>
      </c>
      <c r="C884" s="23"/>
      <c r="D884" s="23"/>
      <c r="E884" s="23">
        <v>2485</v>
      </c>
      <c r="F884" s="28">
        <v>3000</v>
      </c>
    </row>
    <row r="885" spans="1:6" ht="15" customHeight="1" outlineLevel="1" x14ac:dyDescent="0.25">
      <c r="A885" s="27"/>
      <c r="B885" s="22" t="s">
        <v>1498</v>
      </c>
      <c r="C885" s="23"/>
      <c r="D885" s="23"/>
      <c r="E885" s="22">
        <f>SUBTOTAL(9,E884:E884)</f>
        <v>2485</v>
      </c>
      <c r="F885" s="28"/>
    </row>
    <row r="886" spans="1:6" ht="15" customHeight="1" outlineLevel="2" x14ac:dyDescent="0.25">
      <c r="A886" s="15" t="s">
        <v>1102</v>
      </c>
      <c r="B886" s="3" t="s">
        <v>97</v>
      </c>
      <c r="C886" s="3"/>
      <c r="D886" s="3"/>
      <c r="E886" s="3">
        <v>1839</v>
      </c>
      <c r="F886" s="25">
        <v>1900</v>
      </c>
    </row>
    <row r="887" spans="1:6" ht="15" customHeight="1" outlineLevel="2" x14ac:dyDescent="0.25">
      <c r="A887" s="18">
        <v>46234</v>
      </c>
      <c r="B887" s="3" t="s">
        <v>97</v>
      </c>
      <c r="C887" s="3" t="s">
        <v>1048</v>
      </c>
      <c r="D887" s="3"/>
      <c r="E887" s="3">
        <v>1416</v>
      </c>
      <c r="F887" s="25">
        <v>1900</v>
      </c>
    </row>
    <row r="888" spans="1:6" ht="15" customHeight="1" outlineLevel="1" x14ac:dyDescent="0.25">
      <c r="A888" s="18"/>
      <c r="B888" s="19" t="s">
        <v>1499</v>
      </c>
      <c r="C888" s="3"/>
      <c r="D888" s="3"/>
      <c r="E888" s="19">
        <f>SUBTOTAL(9,E886:E887)</f>
        <v>3255</v>
      </c>
      <c r="F888" s="25"/>
    </row>
    <row r="889" spans="1:6" ht="15" customHeight="1" outlineLevel="2" x14ac:dyDescent="0.25">
      <c r="A889" s="29">
        <v>46255</v>
      </c>
      <c r="B889" s="23" t="s">
        <v>625</v>
      </c>
      <c r="C889" s="23" t="s">
        <v>1203</v>
      </c>
      <c r="D889" s="23"/>
      <c r="E889" s="23">
        <v>524</v>
      </c>
      <c r="F889" s="28">
        <v>3500</v>
      </c>
    </row>
    <row r="890" spans="1:6" ht="15" customHeight="1" outlineLevel="1" x14ac:dyDescent="0.25">
      <c r="A890" s="29"/>
      <c r="B890" s="22" t="s">
        <v>1500</v>
      </c>
      <c r="C890" s="23"/>
      <c r="D890" s="23"/>
      <c r="E890" s="22">
        <f>SUBTOTAL(9,E889:E889)</f>
        <v>524</v>
      </c>
      <c r="F890" s="28"/>
    </row>
    <row r="891" spans="1:6" ht="15" customHeight="1" outlineLevel="2" x14ac:dyDescent="0.25">
      <c r="A891" s="27" t="s">
        <v>1036</v>
      </c>
      <c r="B891" s="23" t="s">
        <v>1037</v>
      </c>
      <c r="C891" s="23"/>
      <c r="D891" s="23"/>
      <c r="E891" s="23">
        <v>423</v>
      </c>
      <c r="F891" s="28"/>
    </row>
    <row r="892" spans="1:6" ht="15" customHeight="1" outlineLevel="1" x14ac:dyDescent="0.25">
      <c r="A892" s="27"/>
      <c r="B892" s="22" t="s">
        <v>1501</v>
      </c>
      <c r="C892" s="23"/>
      <c r="D892" s="23"/>
      <c r="E892" s="22">
        <f>SUBTOTAL(9,E891:E891)</f>
        <v>423</v>
      </c>
      <c r="F892" s="28"/>
    </row>
    <row r="893" spans="1:6" ht="15" customHeight="1" outlineLevel="2" x14ac:dyDescent="0.25">
      <c r="A893" s="27" t="s">
        <v>1035</v>
      </c>
      <c r="B893" s="23" t="s">
        <v>1041</v>
      </c>
      <c r="C893" s="23"/>
      <c r="D893" s="23"/>
      <c r="E893" s="23" t="s">
        <v>1087</v>
      </c>
      <c r="F893" s="28"/>
    </row>
    <row r="894" spans="1:6" ht="15" customHeight="1" outlineLevel="1" x14ac:dyDescent="0.25">
      <c r="A894" s="27"/>
      <c r="B894" s="22" t="s">
        <v>1502</v>
      </c>
      <c r="C894" s="23"/>
      <c r="D894" s="23"/>
      <c r="E894" s="22">
        <f>SUBTOTAL(9,E893:E893)</f>
        <v>0</v>
      </c>
      <c r="F894" s="28"/>
    </row>
    <row r="895" spans="1:6" ht="15" customHeight="1" outlineLevel="2" x14ac:dyDescent="0.25">
      <c r="A895" s="27" t="s">
        <v>1102</v>
      </c>
      <c r="B895" s="23" t="s">
        <v>1104</v>
      </c>
      <c r="C895" s="23"/>
      <c r="D895" s="23"/>
      <c r="E895" s="23">
        <v>304</v>
      </c>
      <c r="F895" s="28"/>
    </row>
    <row r="896" spans="1:6" ht="15" customHeight="1" outlineLevel="1" x14ac:dyDescent="0.25">
      <c r="A896" s="30"/>
      <c r="B896" s="31" t="s">
        <v>1503</v>
      </c>
      <c r="C896" s="6"/>
      <c r="D896" s="6"/>
      <c r="E896" s="31">
        <f>SUBTOTAL(9,E895:E895)</f>
        <v>304</v>
      </c>
      <c r="F896" s="32"/>
    </row>
    <row r="897" spans="1:6" ht="15" customHeight="1" outlineLevel="2" thickBot="1" x14ac:dyDescent="0.3">
      <c r="A897" s="30" t="s">
        <v>1092</v>
      </c>
      <c r="B897" s="33" t="s">
        <v>1097</v>
      </c>
      <c r="C897" s="33"/>
      <c r="D897" s="33"/>
      <c r="E897" s="33">
        <v>76</v>
      </c>
      <c r="F897" s="32">
        <v>100</v>
      </c>
    </row>
    <row r="898" spans="1:6" ht="15" customHeight="1" outlineLevel="1" thickTop="1" x14ac:dyDescent="0.25">
      <c r="A898" s="30"/>
      <c r="B898" s="31" t="s">
        <v>1504</v>
      </c>
      <c r="C898" s="6"/>
      <c r="D898" s="6"/>
      <c r="E898" s="31">
        <f>SUBTOTAL(9,E897:E897)</f>
        <v>76</v>
      </c>
      <c r="F898" s="32"/>
    </row>
    <row r="899" spans="1:6" ht="15" customHeight="1" x14ac:dyDescent="0.25">
      <c r="B899" s="21" t="s">
        <v>1505</v>
      </c>
      <c r="C899" s="20"/>
      <c r="D899" s="20"/>
      <c r="E899" s="20">
        <f>SUBTOTAL(9,E5:E897)</f>
        <v>616094</v>
      </c>
    </row>
  </sheetData>
  <autoFilter ref="A4:F898" xr:uid="{0C21A8DA-B626-4902-AE77-513307FE0E5C}">
    <sortState xmlns:xlrd2="http://schemas.microsoft.com/office/spreadsheetml/2017/richdata2" ref="A5:F897">
      <sortCondition ref="B4:B897"/>
    </sortState>
  </autoFilter>
  <mergeCells count="1">
    <mergeCell ref="A1:F3"/>
  </mergeCells>
  <phoneticPr fontId="7" type="noConversion"/>
  <conditionalFormatting sqref="A1 B4:B1048576">
    <cfRule type="duplicateValues" dxfId="163" priority="46"/>
    <cfRule type="duplicateValues" dxfId="162" priority="37"/>
  </conditionalFormatting>
  <conditionalFormatting sqref="B5:B67">
    <cfRule type="duplicateValues" dxfId="161" priority="235"/>
  </conditionalFormatting>
  <conditionalFormatting sqref="B68:B339 B4 A1 B341:B1048576">
    <cfRule type="duplicateValues" dxfId="160" priority="49"/>
  </conditionalFormatting>
  <conditionalFormatting sqref="B340">
    <cfRule type="duplicateValues" dxfId="159" priority="4"/>
  </conditionalFormatting>
  <conditionalFormatting sqref="B345">
    <cfRule type="duplicateValues" dxfId="158" priority="1"/>
  </conditionalFormatting>
  <conditionalFormatting sqref="C72:C73">
    <cfRule type="duplicateValues" dxfId="157" priority="38"/>
    <cfRule type="duplicateValues" dxfId="156" priority="39"/>
  </conditionalFormatting>
  <conditionalFormatting sqref="C341:C344 C68:C71 C4 C74:C339 C346:C1048576">
    <cfRule type="duplicateValues" dxfId="155" priority="47"/>
    <cfRule type="duplicateValues" dxfId="154" priority="48"/>
  </conditionalFormatting>
  <conditionalFormatting sqref="C6:D51">
    <cfRule type="duplicateValues" dxfId="153" priority="237"/>
    <cfRule type="duplicateValues" dxfId="152" priority="238"/>
  </conditionalFormatting>
  <conditionalFormatting sqref="C52:D67">
    <cfRule type="duplicateValues" dxfId="151" priority="45"/>
    <cfRule type="duplicateValues" dxfId="150" priority="44"/>
  </conditionalFormatting>
  <conditionalFormatting sqref="C340:D340">
    <cfRule type="duplicateValues" dxfId="149" priority="5"/>
    <cfRule type="duplicateValues" dxfId="148" priority="6"/>
  </conditionalFormatting>
  <conditionalFormatting sqref="C345:D345">
    <cfRule type="duplicateValues" dxfId="147" priority="2"/>
    <cfRule type="duplicateValues" dxfId="146" priority="3"/>
  </conditionalFormatting>
  <conditionalFormatting sqref="C5:E5">
    <cfRule type="duplicateValues" dxfId="145" priority="43"/>
    <cfRule type="duplicateValues" dxfId="144" priority="42"/>
  </conditionalFormatting>
  <conditionalFormatting sqref="E6">
    <cfRule type="duplicateValues" dxfId="143" priority="31"/>
    <cfRule type="duplicateValues" dxfId="142" priority="32"/>
  </conditionalFormatting>
  <conditionalFormatting sqref="E23:E24">
    <cfRule type="duplicateValues" dxfId="141" priority="34"/>
    <cfRule type="duplicateValues" dxfId="140" priority="33"/>
  </conditionalFormatting>
  <conditionalFormatting sqref="E39:E40">
    <cfRule type="duplicateValues" dxfId="139" priority="36"/>
    <cfRule type="duplicateValues" dxfId="138" priority="35"/>
  </conditionalFormatting>
  <conditionalFormatting sqref="E187:E188">
    <cfRule type="duplicateValues" dxfId="137" priority="30"/>
    <cfRule type="duplicateValues" dxfId="136" priority="29"/>
  </conditionalFormatting>
  <conditionalFormatting sqref="E199:E201">
    <cfRule type="duplicateValues" dxfId="135" priority="28"/>
    <cfRule type="duplicateValues" dxfId="134" priority="27"/>
  </conditionalFormatting>
  <conditionalFormatting sqref="E270:E272">
    <cfRule type="duplicateValues" dxfId="133" priority="25"/>
    <cfRule type="duplicateValues" dxfId="132" priority="26"/>
  </conditionalFormatting>
  <conditionalFormatting sqref="E308">
    <cfRule type="duplicateValues" dxfId="131" priority="24"/>
    <cfRule type="duplicateValues" dxfId="130" priority="23"/>
  </conditionalFormatting>
  <conditionalFormatting sqref="E311">
    <cfRule type="duplicateValues" dxfId="129" priority="22"/>
    <cfRule type="duplicateValues" dxfId="128" priority="21"/>
  </conditionalFormatting>
  <conditionalFormatting sqref="E320:E321">
    <cfRule type="duplicateValues" dxfId="127" priority="19"/>
    <cfRule type="duplicateValues" dxfId="126" priority="20"/>
  </conditionalFormatting>
  <conditionalFormatting sqref="E374:E375">
    <cfRule type="duplicateValues" dxfId="125" priority="18"/>
    <cfRule type="duplicateValues" dxfId="124" priority="17"/>
  </conditionalFormatting>
  <conditionalFormatting sqref="E396:E397">
    <cfRule type="duplicateValues" dxfId="123" priority="16"/>
    <cfRule type="duplicateValues" dxfId="122" priority="15"/>
  </conditionalFormatting>
  <conditionalFormatting sqref="E825:E826">
    <cfRule type="duplicateValues" dxfId="121" priority="14"/>
    <cfRule type="duplicateValues" dxfId="120" priority="13"/>
  </conditionalFormatting>
  <conditionalFormatting sqref="E862:E863">
    <cfRule type="duplicateValues" dxfId="119" priority="12"/>
    <cfRule type="duplicateValues" dxfId="118" priority="11"/>
  </conditionalFormatting>
  <conditionalFormatting sqref="E876">
    <cfRule type="duplicateValues" dxfId="117" priority="10"/>
    <cfRule type="duplicateValues" dxfId="116" priority="9"/>
  </conditionalFormatting>
  <conditionalFormatting sqref="E879">
    <cfRule type="duplicateValues" dxfId="115" priority="7"/>
    <cfRule type="duplicateValues" dxfId="114" priority="8"/>
  </conditionalFormatting>
  <pageMargins left="0.7" right="0.7" top="0.75" bottom="0.75" header="0.3" footer="0.3"/>
  <pageSetup scale="8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796F-0747-4824-A308-8692FAD2185E}">
  <dimension ref="A1:F608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23.28515625" bestFit="1" customWidth="1"/>
    <col min="3" max="3" width="20.140625" customWidth="1"/>
    <col min="4" max="4" width="10.7109375" hidden="1" customWidth="1"/>
    <col min="5" max="5" width="9.7109375" customWidth="1"/>
    <col min="6" max="6" width="14.140625" style="24" customWidth="1"/>
  </cols>
  <sheetData>
    <row r="1" spans="1:6" x14ac:dyDescent="0.25">
      <c r="A1" s="46" t="s">
        <v>6</v>
      </c>
      <c r="B1" s="46"/>
      <c r="C1" s="46"/>
      <c r="D1" s="46"/>
      <c r="E1" s="46"/>
      <c r="F1" s="46"/>
    </row>
    <row r="2" spans="1:6" x14ac:dyDescent="0.25">
      <c r="A2" s="46"/>
      <c r="B2" s="46"/>
      <c r="C2" s="46"/>
      <c r="D2" s="46"/>
      <c r="E2" s="46"/>
      <c r="F2" s="46"/>
    </row>
    <row r="3" spans="1:6" x14ac:dyDescent="0.25">
      <c r="A3" s="47"/>
      <c r="B3" s="47"/>
      <c r="C3" s="47"/>
      <c r="D3" s="47"/>
      <c r="E3" s="47"/>
      <c r="F3" s="47"/>
    </row>
    <row r="4" spans="1:6" x14ac:dyDescent="0.25">
      <c r="A4" s="34"/>
      <c r="B4" s="4" t="s">
        <v>5</v>
      </c>
      <c r="C4" s="4" t="s">
        <v>4</v>
      </c>
      <c r="D4" s="4" t="s">
        <v>3</v>
      </c>
      <c r="E4" s="4" t="s">
        <v>1511</v>
      </c>
      <c r="F4" s="35" t="s">
        <v>1510</v>
      </c>
    </row>
    <row r="5" spans="1:6" ht="15.75" x14ac:dyDescent="0.25">
      <c r="A5" s="15" t="s">
        <v>1112</v>
      </c>
      <c r="B5" s="3">
        <v>61273</v>
      </c>
      <c r="C5" s="3"/>
      <c r="D5" s="3"/>
      <c r="E5" s="3">
        <v>261</v>
      </c>
      <c r="F5" s="26">
        <v>300</v>
      </c>
    </row>
    <row r="6" spans="1:6" ht="15.75" x14ac:dyDescent="0.25">
      <c r="A6" s="18">
        <v>46234</v>
      </c>
      <c r="B6" s="3">
        <v>61273</v>
      </c>
      <c r="C6" s="3" t="s">
        <v>1123</v>
      </c>
      <c r="D6" s="3"/>
      <c r="E6" s="3">
        <v>218</v>
      </c>
      <c r="F6" s="25">
        <v>300</v>
      </c>
    </row>
    <row r="7" spans="1:6" ht="15.75" x14ac:dyDescent="0.25">
      <c r="A7" s="18">
        <v>46234</v>
      </c>
      <c r="B7" s="3">
        <v>61273</v>
      </c>
      <c r="C7" s="3" t="s">
        <v>1124</v>
      </c>
      <c r="D7" s="3"/>
      <c r="E7" s="3">
        <v>261</v>
      </c>
      <c r="F7" s="25">
        <v>300</v>
      </c>
    </row>
    <row r="8" spans="1:6" ht="15.75" x14ac:dyDescent="0.25">
      <c r="A8" s="18">
        <v>46234</v>
      </c>
      <c r="B8" s="3">
        <v>82253</v>
      </c>
      <c r="C8" s="3" t="s">
        <v>1121</v>
      </c>
      <c r="D8" s="3"/>
      <c r="E8" s="3">
        <v>1294</v>
      </c>
      <c r="F8" s="25">
        <v>1350</v>
      </c>
    </row>
    <row r="9" spans="1:6" ht="15.75" x14ac:dyDescent="0.25">
      <c r="A9" s="18">
        <v>46234</v>
      </c>
      <c r="B9" s="3">
        <v>11546378</v>
      </c>
      <c r="C9" s="3"/>
      <c r="D9" s="3"/>
      <c r="E9" s="3">
        <v>1070</v>
      </c>
      <c r="F9" s="25">
        <v>1250</v>
      </c>
    </row>
    <row r="10" spans="1:6" ht="15.75" x14ac:dyDescent="0.25">
      <c r="A10" s="18">
        <v>46234</v>
      </c>
      <c r="B10" s="3">
        <v>11546449</v>
      </c>
      <c r="C10" s="3"/>
      <c r="D10" s="3"/>
      <c r="E10" s="3">
        <v>1690</v>
      </c>
      <c r="F10" s="25">
        <v>2500</v>
      </c>
    </row>
    <row r="11" spans="1:6" ht="15.75" x14ac:dyDescent="0.25">
      <c r="A11" s="18">
        <v>46234</v>
      </c>
      <c r="B11" s="3">
        <v>11546449</v>
      </c>
      <c r="C11" s="3"/>
      <c r="D11" s="3"/>
      <c r="E11" s="3">
        <v>1340</v>
      </c>
      <c r="F11" s="25">
        <v>2500</v>
      </c>
    </row>
    <row r="12" spans="1:6" ht="15.75" x14ac:dyDescent="0.25">
      <c r="A12" s="18">
        <v>46234</v>
      </c>
      <c r="B12" s="3">
        <v>11546456</v>
      </c>
      <c r="C12" s="3" t="s">
        <v>1116</v>
      </c>
      <c r="D12" s="3"/>
      <c r="E12" s="3">
        <v>2051</v>
      </c>
      <c r="F12" s="25">
        <v>2700</v>
      </c>
    </row>
    <row r="13" spans="1:6" ht="15.75" x14ac:dyDescent="0.25">
      <c r="A13" s="18">
        <v>46234</v>
      </c>
      <c r="B13" s="3">
        <v>11546566</v>
      </c>
      <c r="C13" s="3" t="s">
        <v>1129</v>
      </c>
      <c r="D13" s="3"/>
      <c r="E13" s="3">
        <v>1203</v>
      </c>
      <c r="F13" s="25">
        <v>1800</v>
      </c>
    </row>
    <row r="14" spans="1:6" ht="15.75" x14ac:dyDescent="0.25">
      <c r="A14" s="18">
        <v>46234</v>
      </c>
      <c r="B14" s="3">
        <v>11546571</v>
      </c>
      <c r="C14" s="3" t="s">
        <v>1137</v>
      </c>
      <c r="D14" s="3"/>
      <c r="E14" s="3">
        <v>1337</v>
      </c>
      <c r="F14" s="25">
        <v>1550</v>
      </c>
    </row>
    <row r="15" spans="1:6" ht="15.75" x14ac:dyDescent="0.25">
      <c r="A15" s="18">
        <v>46234</v>
      </c>
      <c r="B15" s="3">
        <v>11546703</v>
      </c>
      <c r="C15" s="3" t="s">
        <v>1117</v>
      </c>
      <c r="D15" s="3"/>
      <c r="E15" s="3">
        <v>2540</v>
      </c>
      <c r="F15" s="25">
        <v>4000</v>
      </c>
    </row>
    <row r="16" spans="1:6" ht="15.75" x14ac:dyDescent="0.25">
      <c r="A16" s="29">
        <v>46234</v>
      </c>
      <c r="B16" s="23">
        <v>11547103</v>
      </c>
      <c r="C16" s="23"/>
      <c r="D16" s="23"/>
      <c r="E16" s="23">
        <v>174</v>
      </c>
      <c r="F16" s="28">
        <v>275</v>
      </c>
    </row>
    <row r="17" spans="1:6" ht="15.75" x14ac:dyDescent="0.25">
      <c r="A17" s="18">
        <v>46234</v>
      </c>
      <c r="B17" s="3">
        <v>11547176</v>
      </c>
      <c r="C17" s="3" t="s">
        <v>1118</v>
      </c>
      <c r="D17" s="3"/>
      <c r="E17" s="3">
        <v>570</v>
      </c>
      <c r="F17" s="25">
        <v>850</v>
      </c>
    </row>
    <row r="18" spans="1:6" ht="15.75" x14ac:dyDescent="0.25">
      <c r="A18" s="18">
        <v>46234</v>
      </c>
      <c r="B18" s="3">
        <v>11547349</v>
      </c>
      <c r="C18" s="3"/>
      <c r="D18" s="3"/>
      <c r="E18" s="3">
        <v>137</v>
      </c>
      <c r="F18" s="25">
        <v>350</v>
      </c>
    </row>
    <row r="19" spans="1:6" ht="15.75" x14ac:dyDescent="0.25">
      <c r="A19" s="18">
        <v>46234</v>
      </c>
      <c r="B19" s="3">
        <v>11548414</v>
      </c>
      <c r="C19" s="3" t="s">
        <v>948</v>
      </c>
      <c r="D19" s="3"/>
      <c r="E19" s="3">
        <v>404</v>
      </c>
      <c r="F19" s="25">
        <v>485</v>
      </c>
    </row>
    <row r="20" spans="1:6" ht="15.75" x14ac:dyDescent="0.25">
      <c r="A20" s="18">
        <v>46234</v>
      </c>
      <c r="B20" s="3">
        <v>11548414</v>
      </c>
      <c r="C20" s="3"/>
      <c r="D20" s="3"/>
      <c r="E20" s="3">
        <v>314</v>
      </c>
      <c r="F20" s="25">
        <v>485</v>
      </c>
    </row>
    <row r="21" spans="1:6" ht="15.75" x14ac:dyDescent="0.25">
      <c r="A21" s="18">
        <v>46234</v>
      </c>
      <c r="B21" s="3">
        <v>11549168</v>
      </c>
      <c r="C21" s="3" t="s">
        <v>1130</v>
      </c>
      <c r="D21" s="3"/>
      <c r="E21" s="3">
        <v>816</v>
      </c>
      <c r="F21" s="25">
        <v>1000</v>
      </c>
    </row>
    <row r="22" spans="1:6" ht="15.75" x14ac:dyDescent="0.25">
      <c r="A22" s="18">
        <v>46234</v>
      </c>
      <c r="B22" s="3">
        <v>11549168</v>
      </c>
      <c r="C22" s="3"/>
      <c r="D22" s="3"/>
      <c r="E22" s="3">
        <v>1000</v>
      </c>
      <c r="F22" s="25">
        <v>1000</v>
      </c>
    </row>
    <row r="23" spans="1:6" ht="15.75" x14ac:dyDescent="0.25">
      <c r="A23" s="18">
        <v>46234</v>
      </c>
      <c r="B23" s="3">
        <v>11549168</v>
      </c>
      <c r="C23" s="3" t="s">
        <v>1133</v>
      </c>
      <c r="D23" s="3"/>
      <c r="E23" s="3">
        <v>925</v>
      </c>
      <c r="F23" s="25">
        <v>1000</v>
      </c>
    </row>
    <row r="24" spans="1:6" ht="15.75" x14ac:dyDescent="0.25">
      <c r="A24" s="18">
        <v>46234</v>
      </c>
      <c r="B24" s="3">
        <v>11549170</v>
      </c>
      <c r="C24" s="3"/>
      <c r="D24" s="3"/>
      <c r="E24" s="3">
        <v>324</v>
      </c>
      <c r="F24" s="25">
        <v>400</v>
      </c>
    </row>
    <row r="25" spans="1:6" ht="15.75" x14ac:dyDescent="0.25">
      <c r="A25" s="18">
        <v>46234</v>
      </c>
      <c r="B25" s="3">
        <v>11549204</v>
      </c>
      <c r="C25" s="3"/>
      <c r="D25" s="3"/>
      <c r="E25" s="3">
        <v>181</v>
      </c>
      <c r="F25" s="25">
        <v>210</v>
      </c>
    </row>
    <row r="26" spans="1:6" ht="15.75" x14ac:dyDescent="0.25">
      <c r="A26" s="18">
        <v>46234</v>
      </c>
      <c r="B26" s="3">
        <v>11561645</v>
      </c>
      <c r="C26" s="3"/>
      <c r="D26" s="3"/>
      <c r="E26" s="3">
        <v>1581</v>
      </c>
      <c r="F26" s="25">
        <v>4000</v>
      </c>
    </row>
    <row r="27" spans="1:6" ht="15.75" x14ac:dyDescent="0.25">
      <c r="A27" s="29">
        <v>46234</v>
      </c>
      <c r="B27" s="23">
        <v>11601733</v>
      </c>
      <c r="C27" s="23" t="s">
        <v>1136</v>
      </c>
      <c r="D27" s="23"/>
      <c r="E27" s="23">
        <v>2742</v>
      </c>
      <c r="F27" s="28">
        <v>5100</v>
      </c>
    </row>
    <row r="28" spans="1:6" ht="15.75" x14ac:dyDescent="0.25">
      <c r="A28" s="18">
        <v>46234</v>
      </c>
      <c r="B28" s="3">
        <v>11602031</v>
      </c>
      <c r="C28" s="3"/>
      <c r="D28" s="3"/>
      <c r="E28" s="3">
        <v>108</v>
      </c>
      <c r="F28" s="25">
        <v>145</v>
      </c>
    </row>
    <row r="29" spans="1:6" ht="15.75" x14ac:dyDescent="0.25">
      <c r="A29" s="18">
        <v>46234</v>
      </c>
      <c r="B29" s="3">
        <v>11602326</v>
      </c>
      <c r="C29" s="3"/>
      <c r="D29" s="3"/>
      <c r="E29" s="3">
        <v>91</v>
      </c>
      <c r="F29" s="25">
        <v>120</v>
      </c>
    </row>
    <row r="30" spans="1:6" ht="15.75" x14ac:dyDescent="0.25">
      <c r="A30" s="18">
        <v>46234</v>
      </c>
      <c r="B30" s="3">
        <v>11609280</v>
      </c>
      <c r="C30" s="3"/>
      <c r="D30" s="3"/>
      <c r="E30" s="3">
        <v>1245</v>
      </c>
      <c r="F30" s="25">
        <v>2000</v>
      </c>
    </row>
    <row r="31" spans="1:6" ht="15.75" x14ac:dyDescent="0.25">
      <c r="A31" s="18">
        <v>46234</v>
      </c>
      <c r="B31" s="3">
        <v>11610091</v>
      </c>
      <c r="C31" s="3"/>
      <c r="D31" s="3"/>
      <c r="E31" s="3">
        <v>2270</v>
      </c>
      <c r="F31" s="25">
        <v>2500</v>
      </c>
    </row>
    <row r="32" spans="1:6" ht="15.75" x14ac:dyDescent="0.25">
      <c r="A32" s="18">
        <v>46234</v>
      </c>
      <c r="B32" s="3">
        <v>11610091</v>
      </c>
      <c r="C32" s="3"/>
      <c r="D32" s="3"/>
      <c r="E32" s="3">
        <v>1790</v>
      </c>
      <c r="F32" s="25">
        <v>2500</v>
      </c>
    </row>
    <row r="33" spans="1:6" ht="15.75" x14ac:dyDescent="0.25">
      <c r="A33" s="18">
        <v>46234</v>
      </c>
      <c r="B33" s="3">
        <v>11611548</v>
      </c>
      <c r="C33" s="3"/>
      <c r="D33" s="3"/>
      <c r="E33" s="3">
        <v>81</v>
      </c>
      <c r="F33" s="25">
        <v>100</v>
      </c>
    </row>
    <row r="34" spans="1:6" ht="15.75" x14ac:dyDescent="0.25">
      <c r="A34" s="29">
        <v>46234</v>
      </c>
      <c r="B34" s="23">
        <v>22800396</v>
      </c>
      <c r="C34" s="23"/>
      <c r="D34" s="23"/>
      <c r="E34" s="23">
        <v>900</v>
      </c>
      <c r="F34" s="28">
        <v>1300</v>
      </c>
    </row>
    <row r="35" spans="1:6" ht="15.75" x14ac:dyDescent="0.25">
      <c r="A35" s="18">
        <v>46234</v>
      </c>
      <c r="B35" s="3">
        <v>40073474</v>
      </c>
      <c r="C35" s="3"/>
      <c r="D35" s="3"/>
      <c r="E35" s="3">
        <v>114</v>
      </c>
      <c r="F35" s="25">
        <v>150</v>
      </c>
    </row>
    <row r="36" spans="1:6" ht="15.75" x14ac:dyDescent="0.25">
      <c r="A36" s="18">
        <v>46234</v>
      </c>
      <c r="B36" s="3">
        <v>40073474</v>
      </c>
      <c r="C36" s="3"/>
      <c r="D36" s="3"/>
      <c r="E36" s="3">
        <v>81</v>
      </c>
      <c r="F36" s="25">
        <v>150</v>
      </c>
    </row>
    <row r="37" spans="1:6" ht="15.75" x14ac:dyDescent="0.25">
      <c r="A37" s="18">
        <v>46234</v>
      </c>
      <c r="B37" s="3">
        <v>40109770</v>
      </c>
      <c r="C37" s="3"/>
      <c r="D37" s="3"/>
      <c r="E37" s="3">
        <v>89</v>
      </c>
      <c r="F37" s="25">
        <v>250</v>
      </c>
    </row>
    <row r="38" spans="1:6" ht="15.75" x14ac:dyDescent="0.25">
      <c r="A38" s="18">
        <v>46234</v>
      </c>
      <c r="B38" s="3">
        <v>40204491</v>
      </c>
      <c r="C38" s="3"/>
      <c r="D38" s="3"/>
      <c r="E38" s="3">
        <v>552</v>
      </c>
      <c r="F38" s="25">
        <v>625</v>
      </c>
    </row>
    <row r="39" spans="1:6" ht="15.75" x14ac:dyDescent="0.25">
      <c r="A39" s="18">
        <v>46234</v>
      </c>
      <c r="B39" s="3">
        <v>42068967</v>
      </c>
      <c r="C39" s="3"/>
      <c r="D39" s="3"/>
      <c r="E39" s="3">
        <v>220</v>
      </c>
      <c r="F39" s="25">
        <v>320</v>
      </c>
    </row>
    <row r="40" spans="1:6" ht="15.75" x14ac:dyDescent="0.25">
      <c r="A40" s="18">
        <v>46234</v>
      </c>
      <c r="B40" s="3">
        <v>42068967</v>
      </c>
      <c r="C40" s="3" t="s">
        <v>1135</v>
      </c>
      <c r="D40" s="3"/>
      <c r="E40" s="3">
        <v>282</v>
      </c>
      <c r="F40" s="25">
        <v>320</v>
      </c>
    </row>
    <row r="41" spans="1:6" ht="15.75" x14ac:dyDescent="0.25">
      <c r="A41" s="18">
        <v>46234</v>
      </c>
      <c r="B41" s="3">
        <v>94012078</v>
      </c>
      <c r="C41" s="3" t="s">
        <v>1119</v>
      </c>
      <c r="D41" s="3"/>
      <c r="E41" s="3">
        <v>40</v>
      </c>
      <c r="F41" s="25">
        <v>100</v>
      </c>
    </row>
    <row r="42" spans="1:6" ht="15.75" x14ac:dyDescent="0.25">
      <c r="A42" s="18">
        <v>46234</v>
      </c>
      <c r="B42" s="3">
        <v>94012078</v>
      </c>
      <c r="C42" s="3" t="s">
        <v>1122</v>
      </c>
      <c r="D42" s="3"/>
      <c r="E42" s="3">
        <v>61</v>
      </c>
      <c r="F42" s="25">
        <v>100</v>
      </c>
    </row>
    <row r="43" spans="1:6" ht="15.75" x14ac:dyDescent="0.25">
      <c r="A43" s="29">
        <v>46234</v>
      </c>
      <c r="B43" s="23">
        <v>98055704</v>
      </c>
      <c r="C43" s="23"/>
      <c r="D43" s="23"/>
      <c r="E43" s="23" t="s">
        <v>1087</v>
      </c>
      <c r="F43" s="28">
        <v>2900</v>
      </c>
    </row>
    <row r="44" spans="1:6" ht="15.75" x14ac:dyDescent="0.25">
      <c r="A44" s="18">
        <v>46234</v>
      </c>
      <c r="B44" s="3" t="s">
        <v>339</v>
      </c>
      <c r="C44" s="3" t="s">
        <v>1053</v>
      </c>
      <c r="D44" s="3"/>
      <c r="E44" s="3">
        <v>1621</v>
      </c>
      <c r="F44" s="25">
        <v>2200</v>
      </c>
    </row>
    <row r="45" spans="1:6" ht="15.75" x14ac:dyDescent="0.25">
      <c r="A45" s="18">
        <v>46234</v>
      </c>
      <c r="B45" s="3" t="s">
        <v>392</v>
      </c>
      <c r="C45" s="3" t="s">
        <v>1115</v>
      </c>
      <c r="D45" s="3"/>
      <c r="E45" s="3">
        <v>3996</v>
      </c>
      <c r="F45" s="25">
        <v>4800</v>
      </c>
    </row>
    <row r="46" spans="1:6" ht="15.75" x14ac:dyDescent="0.25">
      <c r="A46" s="18">
        <v>46234</v>
      </c>
      <c r="B46" s="3" t="s">
        <v>52</v>
      </c>
      <c r="C46" s="3"/>
      <c r="D46" s="3"/>
      <c r="E46" s="3">
        <v>618</v>
      </c>
      <c r="F46" s="25">
        <v>660</v>
      </c>
    </row>
    <row r="47" spans="1:6" ht="15.75" x14ac:dyDescent="0.25">
      <c r="A47" s="18">
        <v>46234</v>
      </c>
      <c r="B47" s="3" t="s">
        <v>1</v>
      </c>
      <c r="C47" s="3"/>
      <c r="D47" s="3"/>
      <c r="E47" s="3">
        <v>514</v>
      </c>
      <c r="F47" s="25">
        <v>670</v>
      </c>
    </row>
    <row r="48" spans="1:6" ht="15.75" x14ac:dyDescent="0.25">
      <c r="A48" s="18">
        <v>46234</v>
      </c>
      <c r="B48" s="3" t="s">
        <v>393</v>
      </c>
      <c r="C48" s="3"/>
      <c r="D48" s="3"/>
      <c r="E48" s="3">
        <v>564</v>
      </c>
      <c r="F48" s="25">
        <v>960</v>
      </c>
    </row>
    <row r="49" spans="1:6" ht="15.75" x14ac:dyDescent="0.25">
      <c r="A49" s="18">
        <v>46234</v>
      </c>
      <c r="B49" s="3" t="s">
        <v>393</v>
      </c>
      <c r="C49" s="3"/>
      <c r="D49" s="3"/>
      <c r="E49" s="3">
        <v>625</v>
      </c>
      <c r="F49" s="25">
        <v>960</v>
      </c>
    </row>
    <row r="50" spans="1:6" ht="15.75" x14ac:dyDescent="0.25">
      <c r="A50" s="29">
        <v>46234</v>
      </c>
      <c r="B50" s="23" t="s">
        <v>179</v>
      </c>
      <c r="C50" s="23"/>
      <c r="D50" s="23"/>
      <c r="E50" s="23">
        <v>684</v>
      </c>
      <c r="F50" s="28">
        <v>820</v>
      </c>
    </row>
    <row r="51" spans="1:6" ht="15.75" x14ac:dyDescent="0.25">
      <c r="A51" s="18">
        <v>46234</v>
      </c>
      <c r="B51" s="3" t="s">
        <v>46</v>
      </c>
      <c r="C51" s="3"/>
      <c r="D51" s="3"/>
      <c r="E51" s="3">
        <v>2250</v>
      </c>
      <c r="F51" s="25">
        <v>2300</v>
      </c>
    </row>
    <row r="52" spans="1:6" ht="15.75" x14ac:dyDescent="0.25">
      <c r="A52" s="18">
        <v>46234</v>
      </c>
      <c r="B52" s="3" t="s">
        <v>209</v>
      </c>
      <c r="C52" s="3"/>
      <c r="D52" s="3"/>
      <c r="E52" s="3">
        <v>384</v>
      </c>
      <c r="F52" s="25">
        <v>400</v>
      </c>
    </row>
    <row r="53" spans="1:6" ht="15.75" x14ac:dyDescent="0.25">
      <c r="A53" s="18">
        <v>46234</v>
      </c>
      <c r="B53" s="3" t="s">
        <v>832</v>
      </c>
      <c r="C53" s="3"/>
      <c r="D53" s="3"/>
      <c r="E53" s="3">
        <v>547</v>
      </c>
      <c r="F53" s="25">
        <v>750</v>
      </c>
    </row>
    <row r="54" spans="1:6" ht="15.75" x14ac:dyDescent="0.25">
      <c r="A54" s="18">
        <v>46234</v>
      </c>
      <c r="B54" s="3" t="s">
        <v>319</v>
      </c>
      <c r="C54" s="3"/>
      <c r="D54" s="3"/>
      <c r="E54" s="3">
        <v>544</v>
      </c>
      <c r="F54" s="25">
        <v>950</v>
      </c>
    </row>
    <row r="55" spans="1:6" ht="15.75" x14ac:dyDescent="0.25">
      <c r="A55" s="29">
        <v>46234</v>
      </c>
      <c r="B55" s="23" t="s">
        <v>10</v>
      </c>
      <c r="C55" s="23"/>
      <c r="D55" s="23"/>
      <c r="E55" s="23">
        <v>245</v>
      </c>
      <c r="F55" s="28">
        <v>380</v>
      </c>
    </row>
    <row r="56" spans="1:6" ht="15.75" x14ac:dyDescent="0.25">
      <c r="A56" s="29">
        <v>46234</v>
      </c>
      <c r="B56" s="23" t="s">
        <v>1139</v>
      </c>
      <c r="C56" s="23" t="s">
        <v>1140</v>
      </c>
      <c r="D56" s="23"/>
      <c r="E56" s="23">
        <v>637</v>
      </c>
      <c r="F56" s="28">
        <v>875</v>
      </c>
    </row>
    <row r="57" spans="1:6" ht="15.75" x14ac:dyDescent="0.25">
      <c r="A57" s="18">
        <v>46234</v>
      </c>
      <c r="B57" s="3" t="s">
        <v>404</v>
      </c>
      <c r="C57" s="3" t="s">
        <v>1114</v>
      </c>
      <c r="D57" s="3"/>
      <c r="E57" s="3">
        <v>1255</v>
      </c>
      <c r="F57" s="25">
        <v>1300</v>
      </c>
    </row>
    <row r="58" spans="1:6" ht="15.75" x14ac:dyDescent="0.25">
      <c r="A58" s="18">
        <v>46234</v>
      </c>
      <c r="B58" s="3" t="s">
        <v>49</v>
      </c>
      <c r="C58" s="3"/>
      <c r="D58" s="3"/>
      <c r="E58" s="3">
        <v>947</v>
      </c>
      <c r="F58" s="25">
        <v>1000</v>
      </c>
    </row>
    <row r="59" spans="1:6" ht="15.75" x14ac:dyDescent="0.25">
      <c r="A59" s="18">
        <v>46234</v>
      </c>
      <c r="B59" s="3" t="s">
        <v>48</v>
      </c>
      <c r="C59" s="3"/>
      <c r="D59" s="3"/>
      <c r="E59" s="3">
        <v>519</v>
      </c>
      <c r="F59" s="25">
        <v>700</v>
      </c>
    </row>
    <row r="60" spans="1:6" ht="15.75" x14ac:dyDescent="0.25">
      <c r="A60" s="18">
        <v>46234</v>
      </c>
      <c r="B60" s="3" t="s">
        <v>208</v>
      </c>
      <c r="C60" s="3" t="s">
        <v>1126</v>
      </c>
      <c r="D60" s="3"/>
      <c r="E60" s="3">
        <v>602</v>
      </c>
      <c r="F60" s="25">
        <v>700</v>
      </c>
    </row>
    <row r="61" spans="1:6" ht="15.75" x14ac:dyDescent="0.25">
      <c r="A61" s="18">
        <v>46234</v>
      </c>
      <c r="B61" s="3" t="s">
        <v>145</v>
      </c>
      <c r="C61" s="3"/>
      <c r="D61" s="3"/>
      <c r="E61" s="3">
        <v>375</v>
      </c>
      <c r="F61" s="25">
        <v>450</v>
      </c>
    </row>
    <row r="62" spans="1:6" ht="15.75" x14ac:dyDescent="0.25">
      <c r="A62" s="18">
        <v>46234</v>
      </c>
      <c r="B62" s="3" t="s">
        <v>102</v>
      </c>
      <c r="C62" s="3"/>
      <c r="D62" s="3"/>
      <c r="E62" s="3">
        <v>341</v>
      </c>
      <c r="F62" s="25">
        <v>450</v>
      </c>
    </row>
    <row r="63" spans="1:6" ht="15.75" x14ac:dyDescent="0.25">
      <c r="A63" s="18">
        <v>46234</v>
      </c>
      <c r="B63" s="3" t="s">
        <v>789</v>
      </c>
      <c r="C63" s="3"/>
      <c r="D63" s="3"/>
      <c r="E63" s="3">
        <v>245</v>
      </c>
      <c r="F63" s="25">
        <v>300</v>
      </c>
    </row>
    <row r="64" spans="1:6" ht="15.75" x14ac:dyDescent="0.25">
      <c r="A64" s="18">
        <v>46234</v>
      </c>
      <c r="B64" s="3" t="s">
        <v>386</v>
      </c>
      <c r="C64" s="3"/>
      <c r="D64" s="3"/>
      <c r="E64" s="3">
        <v>176</v>
      </c>
      <c r="F64" s="25">
        <v>220</v>
      </c>
    </row>
    <row r="65" spans="1:6" ht="15.75" x14ac:dyDescent="0.25">
      <c r="A65" s="18">
        <v>46234</v>
      </c>
      <c r="B65" s="3" t="s">
        <v>386</v>
      </c>
      <c r="C65" s="3"/>
      <c r="D65" s="3"/>
      <c r="E65" s="3">
        <v>217</v>
      </c>
      <c r="F65" s="25">
        <v>220</v>
      </c>
    </row>
    <row r="66" spans="1:6" ht="15.75" x14ac:dyDescent="0.25">
      <c r="A66" s="18">
        <v>46234</v>
      </c>
      <c r="B66" s="3" t="s">
        <v>386</v>
      </c>
      <c r="C66" s="3"/>
      <c r="D66" s="3"/>
      <c r="E66" s="3">
        <v>160</v>
      </c>
      <c r="F66" s="25">
        <v>220</v>
      </c>
    </row>
    <row r="67" spans="1:6" ht="15.75" x14ac:dyDescent="0.25">
      <c r="A67" s="18">
        <v>46234</v>
      </c>
      <c r="B67" s="3" t="s">
        <v>389</v>
      </c>
      <c r="C67" s="3"/>
      <c r="D67" s="3"/>
      <c r="E67" s="3">
        <v>196</v>
      </c>
      <c r="F67" s="25">
        <v>280</v>
      </c>
    </row>
    <row r="68" spans="1:6" ht="15.75" x14ac:dyDescent="0.25">
      <c r="A68" s="18">
        <v>46234</v>
      </c>
      <c r="B68" s="3" t="s">
        <v>389</v>
      </c>
      <c r="C68" s="3" t="s">
        <v>1128</v>
      </c>
      <c r="D68" s="3"/>
      <c r="E68" s="3">
        <v>238</v>
      </c>
      <c r="F68" s="25">
        <v>280</v>
      </c>
    </row>
    <row r="69" spans="1:6" ht="15.75" x14ac:dyDescent="0.25">
      <c r="A69" s="29">
        <v>46234</v>
      </c>
      <c r="B69" s="23" t="s">
        <v>606</v>
      </c>
      <c r="C69" s="23" t="s">
        <v>1127</v>
      </c>
      <c r="D69" s="23"/>
      <c r="E69" s="23">
        <v>442</v>
      </c>
      <c r="F69" s="28">
        <v>660</v>
      </c>
    </row>
    <row r="70" spans="1:6" ht="15.75" x14ac:dyDescent="0.25">
      <c r="A70" s="29">
        <v>46234</v>
      </c>
      <c r="B70" s="23" t="s">
        <v>1131</v>
      </c>
      <c r="C70" s="23" t="s">
        <v>1132</v>
      </c>
      <c r="D70" s="23"/>
      <c r="E70" s="23">
        <v>397</v>
      </c>
      <c r="F70" s="28">
        <v>700</v>
      </c>
    </row>
    <row r="71" spans="1:6" ht="15.75" x14ac:dyDescent="0.25">
      <c r="A71" s="18">
        <v>46234</v>
      </c>
      <c r="B71" s="3" t="s">
        <v>532</v>
      </c>
      <c r="C71" s="3"/>
      <c r="D71" s="3"/>
      <c r="E71" s="3">
        <v>477</v>
      </c>
      <c r="F71" s="25">
        <v>750</v>
      </c>
    </row>
    <row r="72" spans="1:6" ht="15.75" x14ac:dyDescent="0.25">
      <c r="A72" s="18">
        <v>46234</v>
      </c>
      <c r="B72" s="3" t="s">
        <v>96</v>
      </c>
      <c r="C72" s="3" t="s">
        <v>1125</v>
      </c>
      <c r="D72" s="3"/>
      <c r="E72" s="3">
        <v>317</v>
      </c>
      <c r="F72" s="25">
        <v>600</v>
      </c>
    </row>
    <row r="73" spans="1:6" ht="15.75" x14ac:dyDescent="0.25">
      <c r="A73" s="29">
        <v>46234</v>
      </c>
      <c r="B73" s="23" t="s">
        <v>1120</v>
      </c>
      <c r="C73" s="23"/>
      <c r="D73" s="23"/>
      <c r="E73" s="23">
        <v>1379</v>
      </c>
      <c r="F73" s="28">
        <v>1575</v>
      </c>
    </row>
    <row r="74" spans="1:6" ht="15.75" x14ac:dyDescent="0.25">
      <c r="A74" s="29">
        <v>46234</v>
      </c>
      <c r="B74" s="23" t="s">
        <v>1134</v>
      </c>
      <c r="C74" s="23"/>
      <c r="D74" s="23"/>
      <c r="E74" s="23">
        <v>111</v>
      </c>
      <c r="F74" s="28">
        <v>180</v>
      </c>
    </row>
    <row r="75" spans="1:6" ht="15.75" x14ac:dyDescent="0.25">
      <c r="A75" s="18">
        <v>46234</v>
      </c>
      <c r="B75" s="3" t="s">
        <v>337</v>
      </c>
      <c r="C75" s="3"/>
      <c r="D75" s="3"/>
      <c r="E75" s="3">
        <v>1950</v>
      </c>
      <c r="F75" s="25">
        <v>3000</v>
      </c>
    </row>
    <row r="76" spans="1:6" ht="15.75" x14ac:dyDescent="0.25">
      <c r="A76" s="18">
        <v>46234</v>
      </c>
      <c r="B76" s="3" t="s">
        <v>337</v>
      </c>
      <c r="C76" s="3"/>
      <c r="D76" s="3"/>
      <c r="E76" s="3">
        <v>1550</v>
      </c>
      <c r="F76" s="25">
        <v>3000</v>
      </c>
    </row>
    <row r="77" spans="1:6" ht="15.75" x14ac:dyDescent="0.25">
      <c r="A77" s="18">
        <v>46234</v>
      </c>
      <c r="B77" s="3" t="s">
        <v>216</v>
      </c>
      <c r="C77" s="3"/>
      <c r="D77" s="3"/>
      <c r="E77" s="3">
        <v>2587</v>
      </c>
      <c r="F77" s="25">
        <v>3000</v>
      </c>
    </row>
    <row r="78" spans="1:6" ht="15.75" x14ac:dyDescent="0.25">
      <c r="A78" s="18">
        <v>46234</v>
      </c>
      <c r="B78" s="3" t="s">
        <v>359</v>
      </c>
      <c r="C78" s="3"/>
      <c r="D78" s="3"/>
      <c r="E78" s="3">
        <v>866</v>
      </c>
      <c r="F78" s="25">
        <v>1050</v>
      </c>
    </row>
    <row r="79" spans="1:6" ht="15.75" x14ac:dyDescent="0.25">
      <c r="A79" s="29">
        <v>46234</v>
      </c>
      <c r="B79" s="23" t="s">
        <v>621</v>
      </c>
      <c r="C79" s="23"/>
      <c r="D79" s="23"/>
      <c r="E79" s="23">
        <v>3052</v>
      </c>
      <c r="F79" s="28">
        <v>3800</v>
      </c>
    </row>
    <row r="80" spans="1:6" ht="15.75" x14ac:dyDescent="0.25">
      <c r="A80" s="18">
        <v>46234</v>
      </c>
      <c r="B80" s="3" t="s">
        <v>13</v>
      </c>
      <c r="C80" s="3"/>
      <c r="D80" s="3"/>
      <c r="E80" s="3">
        <v>1398</v>
      </c>
      <c r="F80" s="25">
        <v>1600</v>
      </c>
    </row>
    <row r="81" spans="1:6" ht="15.75" x14ac:dyDescent="0.25">
      <c r="A81" s="18">
        <v>46234</v>
      </c>
      <c r="B81" s="3" t="s">
        <v>213</v>
      </c>
      <c r="C81" s="3"/>
      <c r="D81" s="3"/>
      <c r="E81" s="3">
        <v>1560</v>
      </c>
      <c r="F81" s="25">
        <v>1750</v>
      </c>
    </row>
    <row r="82" spans="1:6" ht="15.75" x14ac:dyDescent="0.25">
      <c r="A82" s="18">
        <v>46234</v>
      </c>
      <c r="B82" s="3" t="s">
        <v>97</v>
      </c>
      <c r="C82" s="3" t="s">
        <v>1048</v>
      </c>
      <c r="D82" s="3"/>
      <c r="E82" s="3">
        <v>1416</v>
      </c>
      <c r="F82" s="25">
        <v>1900</v>
      </c>
    </row>
    <row r="83" spans="1:6" ht="15.75" x14ac:dyDescent="0.25">
      <c r="A83" s="18">
        <v>46238</v>
      </c>
      <c r="B83" s="3">
        <v>91054</v>
      </c>
      <c r="C83" s="3" t="s">
        <v>1151</v>
      </c>
      <c r="D83" s="3"/>
      <c r="E83" s="3">
        <v>1285</v>
      </c>
      <c r="F83" s="25">
        <v>1700</v>
      </c>
    </row>
    <row r="84" spans="1:6" ht="15.75" x14ac:dyDescent="0.25">
      <c r="A84" s="18">
        <v>46238</v>
      </c>
      <c r="B84" s="3">
        <v>91054</v>
      </c>
      <c r="C84" s="3" t="s">
        <v>1151</v>
      </c>
      <c r="D84" s="3"/>
      <c r="E84" s="3">
        <v>1538</v>
      </c>
      <c r="F84" s="25">
        <v>1700</v>
      </c>
    </row>
    <row r="85" spans="1:6" ht="15.75" x14ac:dyDescent="0.25">
      <c r="A85" s="18">
        <v>46238</v>
      </c>
      <c r="B85" s="3">
        <v>11546377</v>
      </c>
      <c r="C85" s="3"/>
      <c r="D85" s="3"/>
      <c r="E85" s="3">
        <v>1810</v>
      </c>
      <c r="F85" s="25">
        <v>2150</v>
      </c>
    </row>
    <row r="86" spans="1:6" ht="15.75" x14ac:dyDescent="0.25">
      <c r="A86" s="18">
        <v>46238</v>
      </c>
      <c r="B86" s="3">
        <v>11546389</v>
      </c>
      <c r="C86" s="3"/>
      <c r="D86" s="3"/>
      <c r="E86" s="3">
        <v>3100</v>
      </c>
      <c r="F86" s="25">
        <v>4500</v>
      </c>
    </row>
    <row r="87" spans="1:6" ht="15.75" x14ac:dyDescent="0.25">
      <c r="A87" s="18">
        <v>46238</v>
      </c>
      <c r="B87" s="3">
        <v>11546389</v>
      </c>
      <c r="C87" s="3"/>
      <c r="D87" s="3"/>
      <c r="E87" s="3">
        <v>2399</v>
      </c>
      <c r="F87" s="25">
        <v>4500</v>
      </c>
    </row>
    <row r="88" spans="1:6" ht="15.75" x14ac:dyDescent="0.25">
      <c r="A88" s="18">
        <v>46238</v>
      </c>
      <c r="B88" s="3">
        <v>11547176</v>
      </c>
      <c r="C88" s="3"/>
      <c r="D88" s="3"/>
      <c r="E88" s="3">
        <v>783</v>
      </c>
      <c r="F88" s="25">
        <v>850</v>
      </c>
    </row>
    <row r="89" spans="1:6" ht="15.75" x14ac:dyDescent="0.25">
      <c r="A89" s="18">
        <v>46238</v>
      </c>
      <c r="B89" s="3">
        <v>11547369</v>
      </c>
      <c r="C89" s="3" t="s">
        <v>1143</v>
      </c>
      <c r="D89" s="3"/>
      <c r="E89" s="3">
        <v>162</v>
      </c>
      <c r="F89" s="25">
        <v>250</v>
      </c>
    </row>
    <row r="90" spans="1:6" ht="15.75" x14ac:dyDescent="0.25">
      <c r="A90" s="29">
        <v>46238</v>
      </c>
      <c r="B90" s="23">
        <v>11547463</v>
      </c>
      <c r="C90" s="23"/>
      <c r="D90" s="23"/>
      <c r="E90" s="23">
        <v>1327</v>
      </c>
      <c r="F90" s="28">
        <v>2000</v>
      </c>
    </row>
    <row r="91" spans="1:6" ht="15.75" x14ac:dyDescent="0.25">
      <c r="A91" s="18">
        <v>46238</v>
      </c>
      <c r="B91" s="3">
        <v>11549168</v>
      </c>
      <c r="C91" s="3"/>
      <c r="D91" s="3"/>
      <c r="E91" s="3">
        <v>975</v>
      </c>
      <c r="F91" s="25">
        <v>1000</v>
      </c>
    </row>
    <row r="92" spans="1:6" ht="15.75" x14ac:dyDescent="0.25">
      <c r="A92" s="18">
        <v>46238</v>
      </c>
      <c r="B92" s="3">
        <v>11549168</v>
      </c>
      <c r="C92" s="3" t="s">
        <v>1152</v>
      </c>
      <c r="D92" s="3"/>
      <c r="E92" s="3">
        <v>987</v>
      </c>
      <c r="F92" s="25">
        <v>1000</v>
      </c>
    </row>
    <row r="93" spans="1:6" ht="15.75" x14ac:dyDescent="0.25">
      <c r="A93" s="18">
        <v>46238</v>
      </c>
      <c r="B93" s="3">
        <v>11549170</v>
      </c>
      <c r="C93" s="3"/>
      <c r="D93" s="3"/>
      <c r="E93" s="3">
        <v>310</v>
      </c>
      <c r="F93" s="25">
        <v>400</v>
      </c>
    </row>
    <row r="94" spans="1:6" ht="15.75" x14ac:dyDescent="0.25">
      <c r="A94" s="18">
        <v>46238</v>
      </c>
      <c r="B94" s="3">
        <v>11549170</v>
      </c>
      <c r="C94" s="3"/>
      <c r="D94" s="3"/>
      <c r="E94" s="3">
        <v>353</v>
      </c>
      <c r="F94" s="25">
        <v>400</v>
      </c>
    </row>
    <row r="95" spans="1:6" ht="15.75" x14ac:dyDescent="0.25">
      <c r="A95" s="18">
        <v>46238</v>
      </c>
      <c r="B95" s="3">
        <v>11549170</v>
      </c>
      <c r="C95" s="3"/>
      <c r="D95" s="3"/>
      <c r="E95" s="3">
        <v>323</v>
      </c>
      <c r="F95" s="25">
        <v>400</v>
      </c>
    </row>
    <row r="96" spans="1:6" ht="15.75" x14ac:dyDescent="0.25">
      <c r="A96" s="18">
        <v>46238</v>
      </c>
      <c r="B96" s="3">
        <v>11588714</v>
      </c>
      <c r="C96" s="3"/>
      <c r="D96" s="3"/>
      <c r="E96" s="3">
        <v>1011</v>
      </c>
      <c r="F96" s="25">
        <v>1400</v>
      </c>
    </row>
    <row r="97" spans="1:6" ht="15.75" x14ac:dyDescent="0.25">
      <c r="A97" s="18">
        <v>46238</v>
      </c>
      <c r="B97" s="3" t="s">
        <v>12</v>
      </c>
      <c r="C97" s="3" t="s">
        <v>1146</v>
      </c>
      <c r="D97" s="3"/>
      <c r="E97" s="3">
        <v>1337</v>
      </c>
      <c r="F97" s="25">
        <v>1500</v>
      </c>
    </row>
    <row r="98" spans="1:6" ht="15.75" x14ac:dyDescent="0.25">
      <c r="A98" s="18">
        <v>46238</v>
      </c>
      <c r="B98" s="3" t="s">
        <v>92</v>
      </c>
      <c r="C98" s="3"/>
      <c r="D98" s="3"/>
      <c r="E98" s="3">
        <v>435</v>
      </c>
      <c r="F98" s="25">
        <v>1000</v>
      </c>
    </row>
    <row r="99" spans="1:6" ht="15.75" x14ac:dyDescent="0.25">
      <c r="A99" s="18">
        <v>46238</v>
      </c>
      <c r="B99" s="3" t="s">
        <v>92</v>
      </c>
      <c r="C99" s="3"/>
      <c r="D99" s="3"/>
      <c r="E99" s="3">
        <v>592</v>
      </c>
      <c r="F99" s="25">
        <v>1000</v>
      </c>
    </row>
    <row r="100" spans="1:6" ht="15.75" x14ac:dyDescent="0.25">
      <c r="A100" s="18">
        <v>46238</v>
      </c>
      <c r="B100" s="3" t="s">
        <v>52</v>
      </c>
      <c r="C100" s="3"/>
      <c r="D100" s="3"/>
      <c r="E100" s="3">
        <v>495</v>
      </c>
      <c r="F100" s="25">
        <v>660</v>
      </c>
    </row>
    <row r="101" spans="1:6" ht="15.75" x14ac:dyDescent="0.25">
      <c r="A101" s="18">
        <v>46238</v>
      </c>
      <c r="B101" s="3" t="s">
        <v>52</v>
      </c>
      <c r="C101" s="3"/>
      <c r="D101" s="3"/>
      <c r="E101" s="3">
        <v>385</v>
      </c>
      <c r="F101" s="25">
        <v>660</v>
      </c>
    </row>
    <row r="102" spans="1:6" ht="15.75" x14ac:dyDescent="0.25">
      <c r="A102" s="18">
        <v>46238</v>
      </c>
      <c r="B102" s="3" t="s">
        <v>52</v>
      </c>
      <c r="C102" s="3"/>
      <c r="D102" s="3"/>
      <c r="E102" s="3">
        <v>496</v>
      </c>
      <c r="F102" s="25">
        <v>660</v>
      </c>
    </row>
    <row r="103" spans="1:6" ht="15.75" x14ac:dyDescent="0.25">
      <c r="A103" s="18">
        <v>46238</v>
      </c>
      <c r="B103" s="3" t="s">
        <v>52</v>
      </c>
      <c r="C103" s="3"/>
      <c r="D103" s="3"/>
      <c r="E103" s="3">
        <v>571</v>
      </c>
      <c r="F103" s="25">
        <v>660</v>
      </c>
    </row>
    <row r="104" spans="1:6" ht="15.75" x14ac:dyDescent="0.25">
      <c r="A104" s="18">
        <v>46238</v>
      </c>
      <c r="B104" s="3" t="s">
        <v>1</v>
      </c>
      <c r="C104" s="3"/>
      <c r="D104" s="3"/>
      <c r="E104" s="3">
        <v>656</v>
      </c>
      <c r="F104" s="25">
        <v>670</v>
      </c>
    </row>
    <row r="105" spans="1:6" ht="15.75" x14ac:dyDescent="0.25">
      <c r="A105" s="29">
        <v>46238</v>
      </c>
      <c r="B105" s="23" t="s">
        <v>1149</v>
      </c>
      <c r="C105" s="23"/>
      <c r="D105" s="23"/>
      <c r="E105" s="23">
        <v>186</v>
      </c>
      <c r="F105" s="28">
        <v>440</v>
      </c>
    </row>
    <row r="106" spans="1:6" ht="15.75" x14ac:dyDescent="0.25">
      <c r="A106" s="18">
        <v>46238</v>
      </c>
      <c r="B106" s="3" t="s">
        <v>55</v>
      </c>
      <c r="C106" s="3"/>
      <c r="D106" s="3"/>
      <c r="E106" s="3">
        <v>245</v>
      </c>
      <c r="F106" s="25">
        <v>825</v>
      </c>
    </row>
    <row r="107" spans="1:6" ht="15.75" x14ac:dyDescent="0.25">
      <c r="A107" s="18">
        <v>46238</v>
      </c>
      <c r="B107" s="3" t="s">
        <v>46</v>
      </c>
      <c r="C107" s="3"/>
      <c r="D107" s="3"/>
      <c r="E107" s="3">
        <v>1510</v>
      </c>
      <c r="F107" s="25">
        <v>2300</v>
      </c>
    </row>
    <row r="108" spans="1:6" ht="15.75" x14ac:dyDescent="0.25">
      <c r="A108" s="18">
        <v>46238</v>
      </c>
      <c r="B108" s="3" t="s">
        <v>95</v>
      </c>
      <c r="C108" s="3" t="s">
        <v>1147</v>
      </c>
      <c r="D108" s="3"/>
      <c r="E108" s="3">
        <v>1692</v>
      </c>
      <c r="F108" s="25">
        <v>1800</v>
      </c>
    </row>
    <row r="109" spans="1:6" ht="15.75" x14ac:dyDescent="0.25">
      <c r="A109" s="18">
        <v>46238</v>
      </c>
      <c r="B109" s="3" t="s">
        <v>898</v>
      </c>
      <c r="C109" s="3"/>
      <c r="D109" s="3"/>
      <c r="E109" s="3">
        <v>64</v>
      </c>
      <c r="F109" s="25">
        <v>100</v>
      </c>
    </row>
    <row r="110" spans="1:6" ht="15.75" x14ac:dyDescent="0.25">
      <c r="A110" s="29">
        <v>46238</v>
      </c>
      <c r="B110" s="23" t="s">
        <v>57</v>
      </c>
      <c r="C110" s="23"/>
      <c r="D110" s="23"/>
      <c r="E110" s="23">
        <v>135</v>
      </c>
      <c r="F110" s="28">
        <v>200</v>
      </c>
    </row>
    <row r="111" spans="1:6" ht="15.75" x14ac:dyDescent="0.25">
      <c r="A111" s="29">
        <v>46238</v>
      </c>
      <c r="B111" s="23" t="s">
        <v>331</v>
      </c>
      <c r="C111" s="23"/>
      <c r="D111" s="23"/>
      <c r="E111" s="23">
        <v>340</v>
      </c>
      <c r="F111" s="28">
        <v>360</v>
      </c>
    </row>
    <row r="112" spans="1:6" ht="15.75" x14ac:dyDescent="0.25">
      <c r="A112" s="18">
        <v>46238</v>
      </c>
      <c r="B112" s="3" t="s">
        <v>607</v>
      </c>
      <c r="C112" s="3"/>
      <c r="D112" s="3"/>
      <c r="E112" s="3">
        <v>367</v>
      </c>
      <c r="F112" s="25">
        <v>700</v>
      </c>
    </row>
    <row r="113" spans="1:6" ht="15.75" x14ac:dyDescent="0.25">
      <c r="A113" s="18">
        <v>46238</v>
      </c>
      <c r="B113" s="3" t="s">
        <v>90</v>
      </c>
      <c r="C113" s="3" t="s">
        <v>1142</v>
      </c>
      <c r="D113" s="3"/>
      <c r="E113" s="3">
        <v>3119</v>
      </c>
      <c r="F113" s="25">
        <v>3500</v>
      </c>
    </row>
    <row r="114" spans="1:6" ht="15.75" x14ac:dyDescent="0.25">
      <c r="A114" s="18">
        <v>46238</v>
      </c>
      <c r="B114" s="3" t="s">
        <v>90</v>
      </c>
      <c r="C114" s="3"/>
      <c r="D114" s="3"/>
      <c r="E114" s="3">
        <v>2659</v>
      </c>
      <c r="F114" s="25">
        <v>3500</v>
      </c>
    </row>
    <row r="115" spans="1:6" ht="15.75" x14ac:dyDescent="0.25">
      <c r="A115" s="18">
        <v>46238</v>
      </c>
      <c r="B115" s="3" t="s">
        <v>90</v>
      </c>
      <c r="C115" s="3"/>
      <c r="D115" s="3"/>
      <c r="E115" s="3">
        <v>1495</v>
      </c>
      <c r="F115" s="25">
        <v>3500</v>
      </c>
    </row>
    <row r="116" spans="1:6" ht="15.75" x14ac:dyDescent="0.25">
      <c r="A116" s="18">
        <v>46238</v>
      </c>
      <c r="B116" s="3" t="s">
        <v>14</v>
      </c>
      <c r="C116" s="3"/>
      <c r="D116" s="3"/>
      <c r="E116" s="3">
        <v>1073</v>
      </c>
      <c r="F116" s="25">
        <v>2000</v>
      </c>
    </row>
    <row r="117" spans="1:6" ht="15.75" x14ac:dyDescent="0.25">
      <c r="A117" s="18">
        <v>46238</v>
      </c>
      <c r="B117" s="3" t="s">
        <v>459</v>
      </c>
      <c r="C117" s="3"/>
      <c r="D117" s="3"/>
      <c r="E117" s="3">
        <v>625</v>
      </c>
      <c r="F117" s="25">
        <v>1250</v>
      </c>
    </row>
    <row r="118" spans="1:6" ht="15.75" x14ac:dyDescent="0.25">
      <c r="A118" s="18">
        <v>46238</v>
      </c>
      <c r="B118" s="3" t="s">
        <v>15</v>
      </c>
      <c r="C118" s="3" t="s">
        <v>1145</v>
      </c>
      <c r="D118" s="3"/>
      <c r="E118" s="3">
        <v>600</v>
      </c>
      <c r="F118" s="25">
        <v>700</v>
      </c>
    </row>
    <row r="119" spans="1:6" ht="15.75" x14ac:dyDescent="0.25">
      <c r="A119" s="18">
        <v>46238</v>
      </c>
      <c r="B119" s="3" t="s">
        <v>15</v>
      </c>
      <c r="C119" s="3"/>
      <c r="D119" s="3"/>
      <c r="E119" s="3">
        <v>469</v>
      </c>
      <c r="F119" s="25">
        <v>700</v>
      </c>
    </row>
    <row r="120" spans="1:6" ht="15.75" x14ac:dyDescent="0.25">
      <c r="A120" s="18">
        <v>46238</v>
      </c>
      <c r="B120" s="3" t="s">
        <v>15</v>
      </c>
      <c r="C120" s="3" t="s">
        <v>1148</v>
      </c>
      <c r="D120" s="3"/>
      <c r="E120" s="3">
        <v>470</v>
      </c>
      <c r="F120" s="25">
        <v>700</v>
      </c>
    </row>
    <row r="121" spans="1:6" ht="15.75" x14ac:dyDescent="0.25">
      <c r="A121" s="18">
        <v>46238</v>
      </c>
      <c r="B121" s="3" t="s">
        <v>1141</v>
      </c>
      <c r="C121" s="3"/>
      <c r="D121" s="3"/>
      <c r="E121" s="3">
        <v>996</v>
      </c>
      <c r="F121" s="25">
        <v>1200</v>
      </c>
    </row>
    <row r="122" spans="1:6" ht="15.75" x14ac:dyDescent="0.25">
      <c r="A122" s="18">
        <v>46238</v>
      </c>
      <c r="B122" s="3" t="s">
        <v>1141</v>
      </c>
      <c r="C122" s="3"/>
      <c r="D122" s="3"/>
      <c r="E122" s="3">
        <v>1105</v>
      </c>
      <c r="F122" s="25">
        <v>1200</v>
      </c>
    </row>
    <row r="123" spans="1:6" ht="15.75" x14ac:dyDescent="0.25">
      <c r="A123" s="18">
        <v>46238</v>
      </c>
      <c r="B123" s="3" t="s">
        <v>181</v>
      </c>
      <c r="C123" s="3"/>
      <c r="D123" s="3"/>
      <c r="E123" s="3">
        <v>166</v>
      </c>
      <c r="F123" s="25">
        <v>200</v>
      </c>
    </row>
    <row r="124" spans="1:6" ht="15.75" x14ac:dyDescent="0.25">
      <c r="A124" s="18">
        <v>46238</v>
      </c>
      <c r="B124" s="3" t="s">
        <v>614</v>
      </c>
      <c r="C124" s="3" t="s">
        <v>1144</v>
      </c>
      <c r="D124" s="3"/>
      <c r="E124" s="3">
        <v>1154</v>
      </c>
      <c r="F124" s="25">
        <v>1450</v>
      </c>
    </row>
    <row r="125" spans="1:6" ht="15.75" x14ac:dyDescent="0.25">
      <c r="A125" s="18">
        <v>46238</v>
      </c>
      <c r="B125" s="3" t="s">
        <v>141</v>
      </c>
      <c r="C125" s="3" t="s">
        <v>1150</v>
      </c>
      <c r="D125" s="3"/>
      <c r="E125" s="3">
        <v>2885</v>
      </c>
      <c r="F125" s="25">
        <v>3500</v>
      </c>
    </row>
    <row r="126" spans="1:6" ht="15.75" x14ac:dyDescent="0.25">
      <c r="A126" s="18">
        <v>46238</v>
      </c>
      <c r="B126" s="3" t="s">
        <v>50</v>
      </c>
      <c r="C126" s="3"/>
      <c r="D126" s="3"/>
      <c r="E126" s="3">
        <v>754</v>
      </c>
      <c r="F126" s="25">
        <v>1050</v>
      </c>
    </row>
    <row r="127" spans="1:6" ht="15.75" x14ac:dyDescent="0.25">
      <c r="A127" s="18">
        <v>46241</v>
      </c>
      <c r="B127" s="3">
        <v>92468</v>
      </c>
      <c r="C127" s="3" t="s">
        <v>1159</v>
      </c>
      <c r="D127" s="3"/>
      <c r="E127" s="3">
        <v>578</v>
      </c>
      <c r="F127" s="25">
        <v>1000</v>
      </c>
    </row>
    <row r="128" spans="1:6" ht="15.75" x14ac:dyDescent="0.25">
      <c r="A128" s="18">
        <v>46241</v>
      </c>
      <c r="B128" s="3">
        <v>92468</v>
      </c>
      <c r="C128" s="3" t="s">
        <v>1164</v>
      </c>
      <c r="D128" s="3"/>
      <c r="E128" s="3">
        <v>384</v>
      </c>
      <c r="F128" s="25">
        <v>1000</v>
      </c>
    </row>
    <row r="129" spans="1:6" ht="15.75" x14ac:dyDescent="0.25">
      <c r="A129" s="18">
        <v>46241</v>
      </c>
      <c r="B129" s="3">
        <v>11546456</v>
      </c>
      <c r="C129" s="3"/>
      <c r="D129" s="3"/>
      <c r="E129" s="3">
        <v>1805</v>
      </c>
      <c r="F129" s="25">
        <v>2700</v>
      </c>
    </row>
    <row r="130" spans="1:6" ht="15.75" x14ac:dyDescent="0.25">
      <c r="A130" s="18">
        <v>46241</v>
      </c>
      <c r="B130" s="3">
        <v>11546456</v>
      </c>
      <c r="C130" s="3"/>
      <c r="D130" s="3"/>
      <c r="E130" s="3">
        <v>2541</v>
      </c>
      <c r="F130" s="25">
        <v>2700</v>
      </c>
    </row>
    <row r="131" spans="1:6" ht="15.75" x14ac:dyDescent="0.25">
      <c r="A131" s="18">
        <v>46241</v>
      </c>
      <c r="B131" s="3">
        <v>11546456</v>
      </c>
      <c r="C131" s="3"/>
      <c r="D131" s="3"/>
      <c r="E131" s="3">
        <v>2495</v>
      </c>
      <c r="F131" s="25">
        <v>2700</v>
      </c>
    </row>
    <row r="132" spans="1:6" ht="15.75" x14ac:dyDescent="0.25">
      <c r="A132" s="18">
        <v>46241</v>
      </c>
      <c r="B132" s="3">
        <v>11546545</v>
      </c>
      <c r="C132" s="3"/>
      <c r="D132" s="3"/>
      <c r="E132" s="3">
        <v>1425</v>
      </c>
      <c r="F132" s="25">
        <v>2500</v>
      </c>
    </row>
    <row r="133" spans="1:6" ht="15.75" x14ac:dyDescent="0.25">
      <c r="A133" s="18">
        <v>46241</v>
      </c>
      <c r="B133" s="3">
        <v>11546566</v>
      </c>
      <c r="C133" s="3" t="s">
        <v>1161</v>
      </c>
      <c r="D133" s="3"/>
      <c r="E133" s="3">
        <v>1196</v>
      </c>
      <c r="F133" s="25">
        <v>1800</v>
      </c>
    </row>
    <row r="134" spans="1:6" ht="15.75" x14ac:dyDescent="0.25">
      <c r="A134" s="18">
        <v>46241</v>
      </c>
      <c r="B134" s="3">
        <v>11546703</v>
      </c>
      <c r="C134" s="3" t="s">
        <v>1169</v>
      </c>
      <c r="D134" s="3"/>
      <c r="E134" s="3">
        <v>3129</v>
      </c>
      <c r="F134" s="25">
        <v>4000</v>
      </c>
    </row>
    <row r="135" spans="1:6" ht="15.75" x14ac:dyDescent="0.25">
      <c r="A135" s="18">
        <v>46241</v>
      </c>
      <c r="B135" s="3">
        <v>11548147</v>
      </c>
      <c r="C135" s="3"/>
      <c r="D135" s="3"/>
      <c r="E135" s="3">
        <v>187</v>
      </c>
      <c r="F135" s="25">
        <v>250</v>
      </c>
    </row>
    <row r="136" spans="1:6" ht="15.75" x14ac:dyDescent="0.25">
      <c r="A136" s="18">
        <v>46241</v>
      </c>
      <c r="B136" s="3">
        <v>11549170</v>
      </c>
      <c r="C136" s="3"/>
      <c r="D136" s="3"/>
      <c r="E136" s="3">
        <v>388</v>
      </c>
      <c r="F136" s="25">
        <v>400</v>
      </c>
    </row>
    <row r="137" spans="1:6" ht="15.75" x14ac:dyDescent="0.25">
      <c r="A137" s="18">
        <v>46241</v>
      </c>
      <c r="B137" s="3">
        <v>11549170</v>
      </c>
      <c r="C137" s="3"/>
      <c r="D137" s="3"/>
      <c r="E137" s="3">
        <v>310</v>
      </c>
      <c r="F137" s="25">
        <v>400</v>
      </c>
    </row>
    <row r="138" spans="1:6" ht="15.75" x14ac:dyDescent="0.25">
      <c r="A138" s="18">
        <v>46241</v>
      </c>
      <c r="B138" s="3">
        <v>11549170</v>
      </c>
      <c r="C138" s="3"/>
      <c r="D138" s="3"/>
      <c r="E138" s="3">
        <v>234</v>
      </c>
      <c r="F138" s="25">
        <v>400</v>
      </c>
    </row>
    <row r="139" spans="1:6" ht="15.75" x14ac:dyDescent="0.25">
      <c r="A139" s="18">
        <v>46241</v>
      </c>
      <c r="B139" s="3">
        <v>11561645</v>
      </c>
      <c r="C139" s="3" t="s">
        <v>1165</v>
      </c>
      <c r="D139" s="3"/>
      <c r="E139" s="3">
        <v>2243</v>
      </c>
      <c r="F139" s="25">
        <v>4000</v>
      </c>
    </row>
    <row r="140" spans="1:6" ht="15.75" x14ac:dyDescent="0.25">
      <c r="A140" s="18">
        <v>46241</v>
      </c>
      <c r="B140" s="3">
        <v>11602292</v>
      </c>
      <c r="C140" s="3" t="s">
        <v>1167</v>
      </c>
      <c r="D140" s="3"/>
      <c r="E140" s="3">
        <v>696</v>
      </c>
      <c r="F140" s="25">
        <v>1000</v>
      </c>
    </row>
    <row r="141" spans="1:6" ht="15.75" x14ac:dyDescent="0.25">
      <c r="A141" s="18">
        <v>46241</v>
      </c>
      <c r="B141" s="3" t="s">
        <v>341</v>
      </c>
      <c r="C141" s="3" t="s">
        <v>1156</v>
      </c>
      <c r="D141" s="3"/>
      <c r="E141" s="3">
        <v>2813</v>
      </c>
      <c r="F141" s="25">
        <v>3200</v>
      </c>
    </row>
    <row r="142" spans="1:6" ht="15.75" x14ac:dyDescent="0.25">
      <c r="A142" s="18">
        <v>46241</v>
      </c>
      <c r="B142" s="3" t="s">
        <v>92</v>
      </c>
      <c r="C142" s="3"/>
      <c r="D142" s="3"/>
      <c r="E142" s="3">
        <v>584</v>
      </c>
      <c r="F142" s="25">
        <v>1000</v>
      </c>
    </row>
    <row r="143" spans="1:6" ht="15.75" x14ac:dyDescent="0.25">
      <c r="A143" s="18">
        <v>46241</v>
      </c>
      <c r="B143" s="3" t="s">
        <v>92</v>
      </c>
      <c r="C143" s="3"/>
      <c r="D143" s="3"/>
      <c r="E143" s="3">
        <v>809</v>
      </c>
      <c r="F143" s="25">
        <v>1000</v>
      </c>
    </row>
    <row r="144" spans="1:6" ht="15.75" x14ac:dyDescent="0.25">
      <c r="A144" s="18">
        <v>46241</v>
      </c>
      <c r="B144" s="3" t="s">
        <v>98</v>
      </c>
      <c r="C144" s="3"/>
      <c r="D144" s="3"/>
      <c r="E144" s="3">
        <v>1607</v>
      </c>
      <c r="F144" s="25">
        <v>2800</v>
      </c>
    </row>
    <row r="145" spans="1:6" ht="15.75" x14ac:dyDescent="0.25">
      <c r="A145" s="18">
        <v>46241</v>
      </c>
      <c r="B145" s="3" t="s">
        <v>98</v>
      </c>
      <c r="C145" s="3"/>
      <c r="D145" s="3"/>
      <c r="E145" s="3">
        <v>1607</v>
      </c>
      <c r="F145" s="25">
        <v>2800</v>
      </c>
    </row>
    <row r="146" spans="1:6" ht="15.75" x14ac:dyDescent="0.25">
      <c r="A146" s="18">
        <v>46241</v>
      </c>
      <c r="B146" s="3" t="s">
        <v>98</v>
      </c>
      <c r="C146" s="3"/>
      <c r="D146" s="3"/>
      <c r="E146" s="3">
        <v>1380</v>
      </c>
      <c r="F146" s="25">
        <v>2800</v>
      </c>
    </row>
    <row r="147" spans="1:6" ht="15.75" x14ac:dyDescent="0.25">
      <c r="A147" s="18">
        <v>46241</v>
      </c>
      <c r="B147" s="3" t="s">
        <v>142</v>
      </c>
      <c r="C147" s="3" t="s">
        <v>1170</v>
      </c>
      <c r="D147" s="3"/>
      <c r="E147" s="3">
        <v>578</v>
      </c>
      <c r="F147" s="25">
        <v>620</v>
      </c>
    </row>
    <row r="148" spans="1:6" ht="15.75" x14ac:dyDescent="0.25">
      <c r="A148" s="18">
        <v>46241</v>
      </c>
      <c r="B148" s="3" t="s">
        <v>138</v>
      </c>
      <c r="C148" s="3"/>
      <c r="D148" s="3"/>
      <c r="E148" s="3">
        <v>1100</v>
      </c>
      <c r="F148" s="25">
        <v>1200</v>
      </c>
    </row>
    <row r="149" spans="1:6" ht="15.75" x14ac:dyDescent="0.25">
      <c r="A149" s="18">
        <v>46241</v>
      </c>
      <c r="B149" s="3" t="s">
        <v>258</v>
      </c>
      <c r="C149" s="3"/>
      <c r="D149" s="3"/>
      <c r="E149" s="3">
        <v>226</v>
      </c>
      <c r="F149" s="25">
        <v>290</v>
      </c>
    </row>
    <row r="150" spans="1:6" ht="15.75" x14ac:dyDescent="0.25">
      <c r="A150" s="18">
        <v>46241</v>
      </c>
      <c r="B150" s="3" t="s">
        <v>212</v>
      </c>
      <c r="C150" s="3" t="s">
        <v>1163</v>
      </c>
      <c r="D150" s="3"/>
      <c r="E150" s="3">
        <v>712</v>
      </c>
      <c r="F150" s="25">
        <v>1250</v>
      </c>
    </row>
    <row r="151" spans="1:6" ht="15.75" x14ac:dyDescent="0.25">
      <c r="A151" s="18">
        <v>46241</v>
      </c>
      <c r="B151" s="3" t="s">
        <v>212</v>
      </c>
      <c r="C151" s="3"/>
      <c r="D151" s="3"/>
      <c r="E151" s="3">
        <v>1070</v>
      </c>
      <c r="F151" s="25">
        <v>1250</v>
      </c>
    </row>
    <row r="152" spans="1:6" ht="15.75" x14ac:dyDescent="0.25">
      <c r="A152" s="18">
        <v>46241</v>
      </c>
      <c r="B152" s="3" t="s">
        <v>212</v>
      </c>
      <c r="C152" s="3"/>
      <c r="D152" s="3"/>
      <c r="E152" s="3">
        <v>1049</v>
      </c>
      <c r="F152" s="25">
        <v>1250</v>
      </c>
    </row>
    <row r="153" spans="1:6" ht="15.75" x14ac:dyDescent="0.25">
      <c r="A153" s="18">
        <v>46241</v>
      </c>
      <c r="B153" s="3" t="s">
        <v>607</v>
      </c>
      <c r="C153" s="3"/>
      <c r="D153" s="3"/>
      <c r="E153" s="3">
        <v>590</v>
      </c>
      <c r="F153" s="25">
        <v>700</v>
      </c>
    </row>
    <row r="154" spans="1:6" ht="15.75" x14ac:dyDescent="0.25">
      <c r="A154" s="18">
        <v>46241</v>
      </c>
      <c r="B154" s="3" t="s">
        <v>607</v>
      </c>
      <c r="C154" s="3" t="s">
        <v>1154</v>
      </c>
      <c r="D154" s="3"/>
      <c r="E154" s="3">
        <v>532</v>
      </c>
      <c r="F154" s="25">
        <v>700</v>
      </c>
    </row>
    <row r="155" spans="1:6" ht="15.75" x14ac:dyDescent="0.25">
      <c r="A155" s="18">
        <v>46241</v>
      </c>
      <c r="B155" s="3" t="s">
        <v>49</v>
      </c>
      <c r="C155" s="3"/>
      <c r="D155" s="3"/>
      <c r="E155" s="3">
        <v>585</v>
      </c>
      <c r="F155" s="25">
        <v>1000</v>
      </c>
    </row>
    <row r="156" spans="1:6" ht="15.75" x14ac:dyDescent="0.25">
      <c r="A156" s="18">
        <v>46241</v>
      </c>
      <c r="B156" s="3" t="s">
        <v>208</v>
      </c>
      <c r="C156" s="3"/>
      <c r="D156" s="3"/>
      <c r="E156" s="3">
        <v>250</v>
      </c>
      <c r="F156" s="25">
        <v>700</v>
      </c>
    </row>
    <row r="157" spans="1:6" ht="15.75" x14ac:dyDescent="0.25">
      <c r="A157" s="18">
        <v>46241</v>
      </c>
      <c r="B157" s="3" t="s">
        <v>208</v>
      </c>
      <c r="C157" s="3"/>
      <c r="D157" s="3"/>
      <c r="E157" s="3">
        <v>446</v>
      </c>
      <c r="F157" s="25">
        <v>700</v>
      </c>
    </row>
    <row r="158" spans="1:6" ht="15.75" x14ac:dyDescent="0.25">
      <c r="A158" s="29">
        <v>46241</v>
      </c>
      <c r="B158" s="23" t="s">
        <v>1157</v>
      </c>
      <c r="C158" s="23" t="s">
        <v>1158</v>
      </c>
      <c r="D158" s="23"/>
      <c r="E158" s="23">
        <v>3326</v>
      </c>
      <c r="F158" s="28">
        <v>3900</v>
      </c>
    </row>
    <row r="159" spans="1:6" ht="15.75" x14ac:dyDescent="0.25">
      <c r="A159" s="18">
        <v>46241</v>
      </c>
      <c r="B159" s="3" t="s">
        <v>531</v>
      </c>
      <c r="C159" s="3" t="s">
        <v>1153</v>
      </c>
      <c r="D159" s="3"/>
      <c r="E159" s="3">
        <v>1327</v>
      </c>
      <c r="F159" s="25">
        <v>1500</v>
      </c>
    </row>
    <row r="160" spans="1:6" ht="15.75" x14ac:dyDescent="0.25">
      <c r="A160" s="18">
        <v>46241</v>
      </c>
      <c r="B160" s="3" t="s">
        <v>531</v>
      </c>
      <c r="C160" s="3"/>
      <c r="D160" s="3"/>
      <c r="E160" s="3">
        <v>1011</v>
      </c>
      <c r="F160" s="25">
        <v>1500</v>
      </c>
    </row>
    <row r="161" spans="1:6" ht="15.75" x14ac:dyDescent="0.25">
      <c r="A161" s="18">
        <v>46241</v>
      </c>
      <c r="B161" s="3" t="s">
        <v>360</v>
      </c>
      <c r="C161" s="3" t="s">
        <v>1155</v>
      </c>
      <c r="D161" s="3"/>
      <c r="E161" s="3">
        <v>675</v>
      </c>
      <c r="F161" s="25">
        <v>1000</v>
      </c>
    </row>
    <row r="162" spans="1:6" ht="15.75" x14ac:dyDescent="0.25">
      <c r="A162" s="18">
        <v>46241</v>
      </c>
      <c r="B162" s="3" t="s">
        <v>360</v>
      </c>
      <c r="C162" s="3"/>
      <c r="D162" s="3"/>
      <c r="E162" s="3">
        <v>687</v>
      </c>
      <c r="F162" s="25">
        <v>1000</v>
      </c>
    </row>
    <row r="163" spans="1:6" ht="15.75" x14ac:dyDescent="0.25">
      <c r="A163" s="18">
        <v>46241</v>
      </c>
      <c r="B163" s="3" t="s">
        <v>1160</v>
      </c>
      <c r="C163" s="3"/>
      <c r="D163" s="3"/>
      <c r="E163" s="3">
        <v>3380</v>
      </c>
      <c r="F163" s="25">
        <v>4000</v>
      </c>
    </row>
    <row r="164" spans="1:6" ht="15.75" x14ac:dyDescent="0.25">
      <c r="A164" s="18">
        <v>46241</v>
      </c>
      <c r="B164" s="3" t="s">
        <v>833</v>
      </c>
      <c r="C164" s="3" t="s">
        <v>1166</v>
      </c>
      <c r="D164" s="3"/>
      <c r="E164" s="3">
        <v>1754</v>
      </c>
      <c r="F164" s="25">
        <v>2500</v>
      </c>
    </row>
    <row r="165" spans="1:6" ht="15.75" x14ac:dyDescent="0.25">
      <c r="A165" s="18">
        <v>46241</v>
      </c>
      <c r="B165" s="3" t="s">
        <v>505</v>
      </c>
      <c r="C165" s="3" t="s">
        <v>1168</v>
      </c>
      <c r="D165" s="3"/>
      <c r="E165" s="3">
        <v>644</v>
      </c>
      <c r="F165" s="25">
        <v>900</v>
      </c>
    </row>
    <row r="166" spans="1:6" ht="15.75" x14ac:dyDescent="0.25">
      <c r="A166" s="18">
        <v>46241</v>
      </c>
      <c r="B166" s="3" t="s">
        <v>435</v>
      </c>
      <c r="C166" s="3" t="s">
        <v>1162</v>
      </c>
      <c r="D166" s="3"/>
      <c r="E166" s="3">
        <v>462</v>
      </c>
      <c r="F166" s="25">
        <v>520</v>
      </c>
    </row>
    <row r="167" spans="1:6" ht="15.75" x14ac:dyDescent="0.25">
      <c r="A167" s="18">
        <v>46244</v>
      </c>
      <c r="B167" s="3">
        <v>91058</v>
      </c>
      <c r="C167" s="3"/>
      <c r="D167" s="3"/>
      <c r="E167" s="3">
        <v>1131</v>
      </c>
      <c r="F167" s="25">
        <v>1200</v>
      </c>
    </row>
    <row r="168" spans="1:6" ht="15.75" x14ac:dyDescent="0.25">
      <c r="A168" s="18">
        <v>46244</v>
      </c>
      <c r="B168" s="3">
        <v>10083390</v>
      </c>
      <c r="C168" s="3"/>
      <c r="D168" s="3"/>
      <c r="E168" s="3">
        <v>875</v>
      </c>
      <c r="F168" s="25">
        <v>875</v>
      </c>
    </row>
    <row r="169" spans="1:6" ht="15.75" x14ac:dyDescent="0.25">
      <c r="A169" s="18">
        <v>46244</v>
      </c>
      <c r="B169" s="3">
        <v>11516076</v>
      </c>
      <c r="C169" s="3"/>
      <c r="D169" s="3"/>
      <c r="E169" s="3">
        <v>2017</v>
      </c>
      <c r="F169" s="25">
        <v>2200</v>
      </c>
    </row>
    <row r="170" spans="1:6" ht="15.75" x14ac:dyDescent="0.25">
      <c r="A170" s="18">
        <v>46244</v>
      </c>
      <c r="B170" s="3">
        <v>11546377</v>
      </c>
      <c r="C170" s="3"/>
      <c r="D170" s="3"/>
      <c r="E170" s="3">
        <v>1355</v>
      </c>
      <c r="F170" s="25">
        <v>2150</v>
      </c>
    </row>
    <row r="171" spans="1:6" ht="15.75" x14ac:dyDescent="0.25">
      <c r="A171" s="18">
        <v>46244</v>
      </c>
      <c r="B171" s="3">
        <v>11546449</v>
      </c>
      <c r="C171" s="3"/>
      <c r="D171" s="3"/>
      <c r="E171" s="3">
        <v>1961</v>
      </c>
      <c r="F171" s="25">
        <v>2500</v>
      </c>
    </row>
    <row r="172" spans="1:6" ht="15.75" x14ac:dyDescent="0.25">
      <c r="A172" s="18">
        <v>46244</v>
      </c>
      <c r="B172" s="3">
        <v>11546571</v>
      </c>
      <c r="C172" s="3" t="s">
        <v>1138</v>
      </c>
      <c r="D172" s="3"/>
      <c r="E172" s="3">
        <v>845</v>
      </c>
      <c r="F172" s="25">
        <v>1550</v>
      </c>
    </row>
    <row r="173" spans="1:6" ht="15.75" x14ac:dyDescent="0.25">
      <c r="A173" s="18">
        <v>46244</v>
      </c>
      <c r="B173" s="3">
        <v>11546703</v>
      </c>
      <c r="C173" s="3"/>
      <c r="D173" s="3"/>
      <c r="E173" s="3">
        <v>2278</v>
      </c>
      <c r="F173" s="25">
        <v>4000</v>
      </c>
    </row>
    <row r="174" spans="1:6" ht="15.75" x14ac:dyDescent="0.25">
      <c r="A174" s="18">
        <v>46244</v>
      </c>
      <c r="B174" s="3">
        <v>11546703</v>
      </c>
      <c r="C174" s="3"/>
      <c r="D174" s="3"/>
      <c r="E174" s="3">
        <v>3398</v>
      </c>
      <c r="F174" s="25">
        <v>4000</v>
      </c>
    </row>
    <row r="175" spans="1:6" ht="15.75" x14ac:dyDescent="0.25">
      <c r="A175" s="29">
        <v>46244</v>
      </c>
      <c r="B175" s="23">
        <v>11546774</v>
      </c>
      <c r="C175" s="23"/>
      <c r="D175" s="23"/>
      <c r="E175" s="23">
        <v>367</v>
      </c>
      <c r="F175" s="28">
        <v>450</v>
      </c>
    </row>
    <row r="176" spans="1:6" ht="15.75" x14ac:dyDescent="0.25">
      <c r="A176" s="18">
        <v>46244</v>
      </c>
      <c r="B176" s="3">
        <v>11548535</v>
      </c>
      <c r="C176" s="3" t="s">
        <v>1175</v>
      </c>
      <c r="D176" s="3"/>
      <c r="E176" s="3">
        <v>125</v>
      </c>
      <c r="F176" s="25">
        <v>150</v>
      </c>
    </row>
    <row r="177" spans="1:6" ht="15.75" x14ac:dyDescent="0.25">
      <c r="A177" s="18">
        <v>46244</v>
      </c>
      <c r="B177" s="3">
        <v>11549168</v>
      </c>
      <c r="C177" s="3"/>
      <c r="D177" s="3"/>
      <c r="E177" s="3">
        <v>877</v>
      </c>
      <c r="F177" s="25">
        <v>1000</v>
      </c>
    </row>
    <row r="178" spans="1:6" ht="15.75" x14ac:dyDescent="0.25">
      <c r="A178" s="18">
        <v>46244</v>
      </c>
      <c r="B178" s="3">
        <v>11549170</v>
      </c>
      <c r="C178" s="3"/>
      <c r="D178" s="3"/>
      <c r="E178" s="3">
        <v>353</v>
      </c>
      <c r="F178" s="25">
        <v>400</v>
      </c>
    </row>
    <row r="179" spans="1:6" ht="15.75" x14ac:dyDescent="0.25">
      <c r="A179" s="18">
        <v>46244</v>
      </c>
      <c r="B179" s="3">
        <v>11549170</v>
      </c>
      <c r="C179" s="3"/>
      <c r="D179" s="3"/>
      <c r="E179" s="3">
        <v>338</v>
      </c>
      <c r="F179" s="25">
        <v>400</v>
      </c>
    </row>
    <row r="180" spans="1:6" ht="15.75" x14ac:dyDescent="0.25">
      <c r="A180" s="18">
        <v>46244</v>
      </c>
      <c r="B180" s="3">
        <v>11549204</v>
      </c>
      <c r="C180" s="3"/>
      <c r="D180" s="3"/>
      <c r="E180" s="3">
        <v>191</v>
      </c>
      <c r="F180" s="25">
        <v>210</v>
      </c>
    </row>
    <row r="181" spans="1:6" ht="15.75" x14ac:dyDescent="0.25">
      <c r="A181" s="18">
        <v>46244</v>
      </c>
      <c r="B181" s="3">
        <v>11549204</v>
      </c>
      <c r="C181" s="3"/>
      <c r="D181" s="3"/>
      <c r="E181" s="3">
        <v>197</v>
      </c>
      <c r="F181" s="25">
        <v>210</v>
      </c>
    </row>
    <row r="182" spans="1:6" ht="15.75" x14ac:dyDescent="0.25">
      <c r="A182" s="18">
        <v>46244</v>
      </c>
      <c r="B182" s="3">
        <v>11561645</v>
      </c>
      <c r="C182" s="3"/>
      <c r="D182" s="3"/>
      <c r="E182" s="3">
        <v>3536</v>
      </c>
      <c r="F182" s="25">
        <v>4000</v>
      </c>
    </row>
    <row r="183" spans="1:6" ht="15.75" x14ac:dyDescent="0.25">
      <c r="A183" s="18">
        <v>46244</v>
      </c>
      <c r="B183" s="3">
        <v>40161567</v>
      </c>
      <c r="C183" s="3" t="s">
        <v>1178</v>
      </c>
      <c r="D183" s="3"/>
      <c r="E183" s="3">
        <v>96</v>
      </c>
      <c r="F183" s="25">
        <v>175</v>
      </c>
    </row>
    <row r="184" spans="1:6" ht="15.75" x14ac:dyDescent="0.25">
      <c r="A184" s="18">
        <v>46244</v>
      </c>
      <c r="B184" s="3">
        <v>42068967</v>
      </c>
      <c r="C184" s="3"/>
      <c r="D184" s="3"/>
      <c r="E184" s="3">
        <v>180</v>
      </c>
      <c r="F184" s="25">
        <v>320</v>
      </c>
    </row>
    <row r="185" spans="1:6" ht="15.75" x14ac:dyDescent="0.25">
      <c r="A185" s="18">
        <v>46244</v>
      </c>
      <c r="B185" s="19" t="s">
        <v>92</v>
      </c>
      <c r="C185" s="3"/>
      <c r="D185" s="3"/>
      <c r="E185" s="19">
        <v>975</v>
      </c>
      <c r="F185" s="25">
        <v>1000</v>
      </c>
    </row>
    <row r="186" spans="1:6" ht="15.75" x14ac:dyDescent="0.25">
      <c r="A186" s="18">
        <v>46244</v>
      </c>
      <c r="B186" s="3" t="s">
        <v>142</v>
      </c>
      <c r="C186" s="3" t="s">
        <v>1176</v>
      </c>
      <c r="D186" s="3"/>
      <c r="E186" s="3">
        <v>574</v>
      </c>
      <c r="F186" s="25">
        <v>620</v>
      </c>
    </row>
    <row r="187" spans="1:6" ht="15.75" x14ac:dyDescent="0.25">
      <c r="A187" s="18">
        <v>46244</v>
      </c>
      <c r="B187" s="3" t="s">
        <v>286</v>
      </c>
      <c r="C187" s="3"/>
      <c r="D187" s="3"/>
      <c r="E187" s="3">
        <v>750</v>
      </c>
      <c r="F187" s="25">
        <v>750</v>
      </c>
    </row>
    <row r="188" spans="1:6" ht="15.75" x14ac:dyDescent="0.25">
      <c r="A188" s="18">
        <v>46244</v>
      </c>
      <c r="B188" s="3" t="s">
        <v>286</v>
      </c>
      <c r="C188" s="3" t="s">
        <v>1177</v>
      </c>
      <c r="D188" s="3"/>
      <c r="E188" s="3">
        <v>215</v>
      </c>
      <c r="F188" s="25">
        <v>750</v>
      </c>
    </row>
    <row r="189" spans="1:6" ht="15.75" x14ac:dyDescent="0.25">
      <c r="A189" s="18">
        <v>46244</v>
      </c>
      <c r="B189" s="3" t="s">
        <v>1043</v>
      </c>
      <c r="C189" s="3"/>
      <c r="D189" s="3"/>
      <c r="E189" s="3">
        <v>71</v>
      </c>
      <c r="F189" s="25">
        <v>75</v>
      </c>
    </row>
    <row r="190" spans="1:6" ht="15.75" x14ac:dyDescent="0.25">
      <c r="A190" s="18">
        <v>46244</v>
      </c>
      <c r="B190" s="3" t="s">
        <v>1043</v>
      </c>
      <c r="C190" s="3"/>
      <c r="D190" s="3"/>
      <c r="E190" s="3">
        <v>50</v>
      </c>
      <c r="F190" s="25">
        <v>75</v>
      </c>
    </row>
    <row r="191" spans="1:6" ht="15.75" x14ac:dyDescent="0.25">
      <c r="A191" s="18">
        <v>46244</v>
      </c>
      <c r="B191" s="3" t="s">
        <v>209</v>
      </c>
      <c r="C191" s="3" t="s">
        <v>1173</v>
      </c>
      <c r="D191" s="3"/>
      <c r="E191" s="3">
        <v>357</v>
      </c>
      <c r="F191" s="25">
        <v>400</v>
      </c>
    </row>
    <row r="192" spans="1:6" ht="15.75" x14ac:dyDescent="0.25">
      <c r="A192" s="18">
        <v>46244</v>
      </c>
      <c r="B192" s="3" t="s">
        <v>459</v>
      </c>
      <c r="C192" s="3"/>
      <c r="D192" s="3"/>
      <c r="E192" s="3">
        <v>1124</v>
      </c>
      <c r="F192" s="25">
        <v>1250</v>
      </c>
    </row>
    <row r="193" spans="1:6" ht="15.75" x14ac:dyDescent="0.25">
      <c r="A193" s="18">
        <v>46244</v>
      </c>
      <c r="B193" s="3" t="s">
        <v>287</v>
      </c>
      <c r="C193" s="3"/>
      <c r="D193" s="3"/>
      <c r="E193" s="3">
        <v>325</v>
      </c>
      <c r="F193" s="25">
        <v>485</v>
      </c>
    </row>
    <row r="194" spans="1:6" ht="15.75" x14ac:dyDescent="0.25">
      <c r="A194" s="18">
        <v>46244</v>
      </c>
      <c r="B194" s="3" t="s">
        <v>287</v>
      </c>
      <c r="C194" s="3"/>
      <c r="D194" s="3"/>
      <c r="E194" s="3">
        <v>416</v>
      </c>
      <c r="F194" s="25">
        <v>485</v>
      </c>
    </row>
    <row r="195" spans="1:6" ht="15.75" x14ac:dyDescent="0.25">
      <c r="A195" s="18">
        <v>46244</v>
      </c>
      <c r="B195" s="3" t="s">
        <v>287</v>
      </c>
      <c r="C195" s="3"/>
      <c r="D195" s="3"/>
      <c r="E195" s="3">
        <v>325</v>
      </c>
      <c r="F195" s="25">
        <v>485</v>
      </c>
    </row>
    <row r="196" spans="1:6" ht="15.75" x14ac:dyDescent="0.25">
      <c r="A196" s="18">
        <v>46244</v>
      </c>
      <c r="B196" s="3" t="s">
        <v>389</v>
      </c>
      <c r="C196" s="3"/>
      <c r="D196" s="3"/>
      <c r="E196" s="3">
        <v>270</v>
      </c>
      <c r="F196" s="25">
        <v>280</v>
      </c>
    </row>
    <row r="197" spans="1:6" ht="15.75" x14ac:dyDescent="0.25">
      <c r="A197" s="18">
        <v>46244</v>
      </c>
      <c r="B197" s="3" t="s">
        <v>389</v>
      </c>
      <c r="C197" s="3"/>
      <c r="D197" s="3"/>
      <c r="E197" s="3">
        <v>280</v>
      </c>
      <c r="F197" s="25">
        <v>280</v>
      </c>
    </row>
    <row r="198" spans="1:6" ht="15.75" x14ac:dyDescent="0.25">
      <c r="A198" s="29">
        <v>46244</v>
      </c>
      <c r="B198" s="23" t="s">
        <v>1172</v>
      </c>
      <c r="C198" s="23"/>
      <c r="D198" s="23"/>
      <c r="E198" s="23">
        <v>2039</v>
      </c>
      <c r="F198" s="28">
        <v>3000</v>
      </c>
    </row>
    <row r="199" spans="1:6" ht="15.75" x14ac:dyDescent="0.25">
      <c r="A199" s="18">
        <v>46244</v>
      </c>
      <c r="B199" s="3" t="s">
        <v>505</v>
      </c>
      <c r="C199" s="3"/>
      <c r="D199" s="3"/>
      <c r="E199" s="3">
        <v>714</v>
      </c>
      <c r="F199" s="25">
        <v>900</v>
      </c>
    </row>
    <row r="200" spans="1:6" ht="15.75" x14ac:dyDescent="0.25">
      <c r="A200" s="18">
        <v>46244</v>
      </c>
      <c r="B200" s="3" t="s">
        <v>505</v>
      </c>
      <c r="C200" s="3"/>
      <c r="D200" s="3"/>
      <c r="E200" s="3">
        <v>615</v>
      </c>
      <c r="F200" s="25">
        <v>900</v>
      </c>
    </row>
    <row r="201" spans="1:6" ht="15.75" x14ac:dyDescent="0.25">
      <c r="A201" s="18">
        <v>46244</v>
      </c>
      <c r="B201" s="3" t="s">
        <v>435</v>
      </c>
      <c r="C201" s="3" t="s">
        <v>1171</v>
      </c>
      <c r="D201" s="3"/>
      <c r="E201" s="3">
        <v>383</v>
      </c>
      <c r="F201" s="25">
        <v>520</v>
      </c>
    </row>
    <row r="202" spans="1:6" ht="15.75" x14ac:dyDescent="0.25">
      <c r="A202" s="18">
        <v>46244</v>
      </c>
      <c r="B202" s="3" t="s">
        <v>15</v>
      </c>
      <c r="C202" s="3"/>
      <c r="D202" s="3"/>
      <c r="E202" s="3">
        <v>505</v>
      </c>
      <c r="F202" s="25">
        <v>700</v>
      </c>
    </row>
    <row r="203" spans="1:6" ht="15.75" x14ac:dyDescent="0.25">
      <c r="A203" s="18">
        <v>46244</v>
      </c>
      <c r="B203" s="3" t="s">
        <v>15</v>
      </c>
      <c r="C203" s="3" t="s">
        <v>1174</v>
      </c>
      <c r="D203" s="3"/>
      <c r="E203" s="3">
        <v>602</v>
      </c>
      <c r="F203" s="25">
        <v>700</v>
      </c>
    </row>
    <row r="204" spans="1:6" ht="15.75" x14ac:dyDescent="0.25">
      <c r="A204" s="18">
        <v>46246</v>
      </c>
      <c r="B204" s="3">
        <v>61525</v>
      </c>
      <c r="C204" s="3"/>
      <c r="D204" s="3"/>
      <c r="E204" s="3">
        <v>2243</v>
      </c>
      <c r="F204" s="25">
        <v>3000</v>
      </c>
    </row>
    <row r="205" spans="1:6" ht="15.75" x14ac:dyDescent="0.25">
      <c r="A205" s="18">
        <v>46246</v>
      </c>
      <c r="B205" s="3">
        <v>10083390</v>
      </c>
      <c r="C205" s="3"/>
      <c r="D205" s="3"/>
      <c r="E205" s="3">
        <v>875</v>
      </c>
      <c r="F205" s="25">
        <v>875</v>
      </c>
    </row>
    <row r="206" spans="1:6" ht="15.75" x14ac:dyDescent="0.25">
      <c r="A206" s="29">
        <v>46246</v>
      </c>
      <c r="B206" s="23">
        <v>11516133</v>
      </c>
      <c r="C206" s="23"/>
      <c r="D206" s="23"/>
      <c r="E206" s="23">
        <v>324</v>
      </c>
      <c r="F206" s="28">
        <v>500</v>
      </c>
    </row>
    <row r="207" spans="1:6" ht="15.75" x14ac:dyDescent="0.25">
      <c r="A207" s="18">
        <v>46246</v>
      </c>
      <c r="B207" s="3">
        <v>11546377</v>
      </c>
      <c r="C207" s="3"/>
      <c r="D207" s="3"/>
      <c r="E207" s="3">
        <v>709</v>
      </c>
      <c r="F207" s="25">
        <v>2150</v>
      </c>
    </row>
    <row r="208" spans="1:6" ht="15.75" x14ac:dyDescent="0.25">
      <c r="A208" s="18">
        <v>46246</v>
      </c>
      <c r="B208" s="3">
        <v>11546463</v>
      </c>
      <c r="C208" s="3"/>
      <c r="D208" s="3"/>
      <c r="E208" s="3">
        <v>142</v>
      </c>
      <c r="F208" s="25">
        <v>450</v>
      </c>
    </row>
    <row r="209" spans="1:6" ht="15.75" x14ac:dyDescent="0.25">
      <c r="A209" s="18">
        <v>46246</v>
      </c>
      <c r="B209" s="3">
        <v>11546703</v>
      </c>
      <c r="C209" s="3"/>
      <c r="D209" s="3"/>
      <c r="E209" s="3">
        <v>3800</v>
      </c>
      <c r="F209" s="25">
        <v>4000</v>
      </c>
    </row>
    <row r="210" spans="1:6" ht="15.75" x14ac:dyDescent="0.25">
      <c r="A210" s="18">
        <v>46246</v>
      </c>
      <c r="B210" s="3">
        <v>11546703</v>
      </c>
      <c r="C210" s="3"/>
      <c r="D210" s="3"/>
      <c r="E210" s="3">
        <v>2289</v>
      </c>
      <c r="F210" s="25">
        <v>4000</v>
      </c>
    </row>
    <row r="211" spans="1:6" ht="15.75" x14ac:dyDescent="0.25">
      <c r="A211" s="18">
        <v>46246</v>
      </c>
      <c r="B211" s="3">
        <v>11546703</v>
      </c>
      <c r="C211" s="3"/>
      <c r="D211" s="3"/>
      <c r="E211" s="3">
        <v>1798</v>
      </c>
      <c r="F211" s="25">
        <v>4000</v>
      </c>
    </row>
    <row r="212" spans="1:6" ht="15.75" x14ac:dyDescent="0.25">
      <c r="A212" s="18">
        <v>46246</v>
      </c>
      <c r="B212" s="3">
        <v>11546703</v>
      </c>
      <c r="C212" s="3"/>
      <c r="D212" s="3"/>
      <c r="E212" s="3">
        <v>3794</v>
      </c>
      <c r="F212" s="25">
        <v>4000</v>
      </c>
    </row>
    <row r="213" spans="1:6" ht="15.75" x14ac:dyDescent="0.25">
      <c r="A213" s="18">
        <v>46246</v>
      </c>
      <c r="B213" s="3">
        <v>11549168</v>
      </c>
      <c r="C213" s="3"/>
      <c r="D213" s="3"/>
      <c r="E213" s="3">
        <v>442</v>
      </c>
      <c r="F213" s="25">
        <v>1000</v>
      </c>
    </row>
    <row r="214" spans="1:6" ht="15.75" x14ac:dyDescent="0.25">
      <c r="A214" s="29">
        <v>46246</v>
      </c>
      <c r="B214" s="23">
        <v>11549169</v>
      </c>
      <c r="C214" s="23"/>
      <c r="D214" s="23"/>
      <c r="E214" s="23">
        <v>501</v>
      </c>
      <c r="F214" s="28">
        <v>660</v>
      </c>
    </row>
    <row r="215" spans="1:6" ht="15.75" x14ac:dyDescent="0.25">
      <c r="A215" s="18">
        <v>46246</v>
      </c>
      <c r="B215" s="3">
        <v>11549170</v>
      </c>
      <c r="C215" s="3"/>
      <c r="D215" s="3"/>
      <c r="E215" s="3">
        <v>340</v>
      </c>
      <c r="F215" s="25">
        <v>400</v>
      </c>
    </row>
    <row r="216" spans="1:6" ht="15.75" x14ac:dyDescent="0.25">
      <c r="A216" s="18">
        <v>46246</v>
      </c>
      <c r="B216" s="3">
        <v>11549170</v>
      </c>
      <c r="C216" s="3"/>
      <c r="D216" s="3"/>
      <c r="E216" s="3">
        <v>323</v>
      </c>
      <c r="F216" s="25">
        <v>400</v>
      </c>
    </row>
    <row r="217" spans="1:6" ht="15.75" x14ac:dyDescent="0.25">
      <c r="A217" s="18">
        <v>46246</v>
      </c>
      <c r="B217" s="3">
        <v>11549204</v>
      </c>
      <c r="C217" s="3"/>
      <c r="D217" s="3"/>
      <c r="E217" s="3">
        <v>112</v>
      </c>
      <c r="F217" s="25">
        <v>210</v>
      </c>
    </row>
    <row r="218" spans="1:6" ht="15.75" x14ac:dyDescent="0.25">
      <c r="A218" s="18">
        <v>46246</v>
      </c>
      <c r="B218" s="3">
        <v>11561645</v>
      </c>
      <c r="C218" s="3"/>
      <c r="D218" s="3"/>
      <c r="E218" s="3">
        <v>2293</v>
      </c>
      <c r="F218" s="25">
        <v>4000</v>
      </c>
    </row>
    <row r="219" spans="1:6" ht="15.75" x14ac:dyDescent="0.25">
      <c r="A219" s="18">
        <v>46246</v>
      </c>
      <c r="B219" s="3">
        <v>40109770</v>
      </c>
      <c r="C219" s="3"/>
      <c r="D219" s="3"/>
      <c r="E219" s="3">
        <v>136</v>
      </c>
      <c r="F219" s="25">
        <v>250</v>
      </c>
    </row>
    <row r="220" spans="1:6" ht="15.75" x14ac:dyDescent="0.25">
      <c r="A220" s="18">
        <v>46246</v>
      </c>
      <c r="B220" s="3">
        <v>94012078</v>
      </c>
      <c r="C220" s="3"/>
      <c r="D220" s="3"/>
      <c r="E220" s="3">
        <v>20</v>
      </c>
      <c r="F220" s="25">
        <v>100</v>
      </c>
    </row>
    <row r="221" spans="1:6" ht="15.75" x14ac:dyDescent="0.25">
      <c r="A221" s="18">
        <v>46246</v>
      </c>
      <c r="B221" s="3" t="s">
        <v>98</v>
      </c>
      <c r="C221" s="3"/>
      <c r="D221" s="3"/>
      <c r="E221" s="3">
        <v>1350</v>
      </c>
      <c r="F221" s="25">
        <v>2800</v>
      </c>
    </row>
    <row r="222" spans="1:6" ht="15.75" x14ac:dyDescent="0.25">
      <c r="A222" s="18">
        <v>46246</v>
      </c>
      <c r="B222" s="3" t="s">
        <v>1</v>
      </c>
      <c r="C222" s="3"/>
      <c r="D222" s="3"/>
      <c r="E222" s="3">
        <v>504</v>
      </c>
      <c r="F222" s="25">
        <v>670</v>
      </c>
    </row>
    <row r="223" spans="1:6" ht="15.75" x14ac:dyDescent="0.25">
      <c r="A223" s="29">
        <v>46246</v>
      </c>
      <c r="B223" s="23" t="s">
        <v>1179</v>
      </c>
      <c r="C223" s="23"/>
      <c r="D223" s="23"/>
      <c r="E223" s="23">
        <v>1141</v>
      </c>
      <c r="F223" s="28">
        <v>1400</v>
      </c>
    </row>
    <row r="224" spans="1:6" ht="15.75" x14ac:dyDescent="0.25">
      <c r="A224" s="18">
        <v>46246</v>
      </c>
      <c r="B224" s="3" t="s">
        <v>95</v>
      </c>
      <c r="C224" s="3"/>
      <c r="D224" s="3"/>
      <c r="E224" s="3">
        <v>1148</v>
      </c>
      <c r="F224" s="25">
        <v>1800</v>
      </c>
    </row>
    <row r="225" spans="1:6" ht="15.75" x14ac:dyDescent="0.25">
      <c r="A225" s="18">
        <v>46246</v>
      </c>
      <c r="B225" s="3" t="s">
        <v>1180</v>
      </c>
      <c r="C225" s="3"/>
      <c r="D225" s="3"/>
      <c r="E225" s="3">
        <v>459</v>
      </c>
      <c r="F225" s="25">
        <v>950</v>
      </c>
    </row>
    <row r="226" spans="1:6" ht="15.75" x14ac:dyDescent="0.25">
      <c r="A226" s="18">
        <v>46246</v>
      </c>
      <c r="B226" s="3" t="s">
        <v>145</v>
      </c>
      <c r="C226" s="3"/>
      <c r="D226" s="3"/>
      <c r="E226" s="3">
        <v>402</v>
      </c>
      <c r="F226" s="25">
        <v>450</v>
      </c>
    </row>
    <row r="227" spans="1:6" ht="15.75" x14ac:dyDescent="0.25">
      <c r="A227" s="18">
        <v>46246</v>
      </c>
      <c r="B227" s="3">
        <v>11546462</v>
      </c>
      <c r="C227" s="3"/>
      <c r="D227" s="3"/>
      <c r="E227" s="3">
        <v>320</v>
      </c>
      <c r="F227" s="25">
        <v>650</v>
      </c>
    </row>
    <row r="228" spans="1:6" ht="15.75" x14ac:dyDescent="0.25">
      <c r="A228" s="18">
        <v>46246</v>
      </c>
      <c r="B228" s="3">
        <v>11546462</v>
      </c>
      <c r="C228" s="3"/>
      <c r="D228" s="3"/>
      <c r="E228" s="3">
        <v>650</v>
      </c>
      <c r="F228" s="25">
        <v>650</v>
      </c>
    </row>
    <row r="229" spans="1:6" ht="15.75" x14ac:dyDescent="0.25">
      <c r="A229" s="18">
        <v>46246</v>
      </c>
      <c r="B229" s="3" t="s">
        <v>333</v>
      </c>
      <c r="C229" s="3"/>
      <c r="D229" s="3"/>
      <c r="E229" s="3">
        <v>312</v>
      </c>
      <c r="F229" s="25">
        <v>450</v>
      </c>
    </row>
    <row r="230" spans="1:6" ht="15.75" x14ac:dyDescent="0.25">
      <c r="A230" s="18">
        <v>46246</v>
      </c>
      <c r="B230" s="3" t="s">
        <v>333</v>
      </c>
      <c r="C230" s="3"/>
      <c r="D230" s="3"/>
      <c r="E230" s="3">
        <v>393</v>
      </c>
      <c r="F230" s="25">
        <v>450</v>
      </c>
    </row>
    <row r="231" spans="1:6" ht="15.75" x14ac:dyDescent="0.25">
      <c r="A231" s="18">
        <v>46246</v>
      </c>
      <c r="B231" s="3" t="s">
        <v>436</v>
      </c>
      <c r="C231" s="3"/>
      <c r="D231" s="3"/>
      <c r="E231" s="3">
        <v>424</v>
      </c>
      <c r="F231" s="25">
        <v>450</v>
      </c>
    </row>
    <row r="232" spans="1:6" ht="15.75" x14ac:dyDescent="0.25">
      <c r="A232" s="29">
        <v>46246</v>
      </c>
      <c r="B232" s="23" t="s">
        <v>335</v>
      </c>
      <c r="C232" s="23"/>
      <c r="D232" s="23"/>
      <c r="E232" s="23">
        <v>169</v>
      </c>
      <c r="F232" s="28">
        <v>250</v>
      </c>
    </row>
    <row r="233" spans="1:6" ht="15.75" x14ac:dyDescent="0.25">
      <c r="A233" s="18">
        <v>46246</v>
      </c>
      <c r="B233" s="3" t="s">
        <v>603</v>
      </c>
      <c r="C233" s="3"/>
      <c r="D233" s="3"/>
      <c r="E233" s="3">
        <v>1115</v>
      </c>
      <c r="F233" s="25">
        <v>2500</v>
      </c>
    </row>
    <row r="234" spans="1:6" ht="15.75" x14ac:dyDescent="0.25">
      <c r="A234" s="18">
        <v>46246</v>
      </c>
      <c r="B234" s="3" t="s">
        <v>505</v>
      </c>
      <c r="C234" s="3"/>
      <c r="D234" s="3"/>
      <c r="E234" s="3">
        <v>579</v>
      </c>
      <c r="F234" s="25">
        <v>900</v>
      </c>
    </row>
    <row r="235" spans="1:6" ht="15.75" x14ac:dyDescent="0.25">
      <c r="A235" s="29">
        <v>46246</v>
      </c>
      <c r="B235" s="23" t="s">
        <v>86</v>
      </c>
      <c r="C235" s="23"/>
      <c r="D235" s="23"/>
      <c r="E235" s="23">
        <v>405</v>
      </c>
      <c r="F235" s="28">
        <v>525</v>
      </c>
    </row>
    <row r="236" spans="1:6" ht="15.75" x14ac:dyDescent="0.25">
      <c r="A236" s="18">
        <v>46246</v>
      </c>
      <c r="B236" s="3" t="s">
        <v>181</v>
      </c>
      <c r="C236" s="3"/>
      <c r="D236" s="3"/>
      <c r="E236" s="3">
        <v>90</v>
      </c>
      <c r="F236" s="25">
        <v>200</v>
      </c>
    </row>
    <row r="237" spans="1:6" ht="15.75" x14ac:dyDescent="0.25">
      <c r="A237" s="29">
        <v>46246</v>
      </c>
      <c r="B237" s="23" t="s">
        <v>480</v>
      </c>
      <c r="C237" s="23"/>
      <c r="D237" s="23"/>
      <c r="E237" s="23">
        <v>1139</v>
      </c>
      <c r="F237" s="28">
        <v>1600</v>
      </c>
    </row>
    <row r="238" spans="1:6" ht="15.75" x14ac:dyDescent="0.25">
      <c r="A238" s="18">
        <v>46246</v>
      </c>
      <c r="B238" s="3" t="s">
        <v>96</v>
      </c>
      <c r="C238" s="3"/>
      <c r="D238" s="3"/>
      <c r="E238" s="3">
        <v>450</v>
      </c>
      <c r="F238" s="25">
        <v>600</v>
      </c>
    </row>
    <row r="239" spans="1:6" ht="15.75" x14ac:dyDescent="0.25">
      <c r="A239" s="18">
        <v>46246</v>
      </c>
      <c r="B239" s="3" t="s">
        <v>91</v>
      </c>
      <c r="C239" s="3"/>
      <c r="D239" s="3"/>
      <c r="E239" s="3">
        <v>726</v>
      </c>
      <c r="F239" s="25">
        <v>1120</v>
      </c>
    </row>
    <row r="240" spans="1:6" ht="15.75" x14ac:dyDescent="0.25">
      <c r="A240" s="18">
        <v>46246</v>
      </c>
      <c r="B240" s="3" t="s">
        <v>100</v>
      </c>
      <c r="C240" s="3"/>
      <c r="D240" s="3"/>
      <c r="E240" s="3">
        <v>517</v>
      </c>
      <c r="F240" s="25">
        <v>580</v>
      </c>
    </row>
    <row r="241" spans="1:6" ht="15.75" x14ac:dyDescent="0.25">
      <c r="A241" s="18">
        <v>46246</v>
      </c>
      <c r="B241" s="3" t="s">
        <v>213</v>
      </c>
      <c r="C241" s="3"/>
      <c r="D241" s="3"/>
      <c r="E241" s="3">
        <v>800</v>
      </c>
      <c r="F241" s="25">
        <v>1750</v>
      </c>
    </row>
    <row r="242" spans="1:6" ht="15.75" x14ac:dyDescent="0.25">
      <c r="A242" s="18">
        <v>46251</v>
      </c>
      <c r="B242" s="3">
        <v>11546449</v>
      </c>
      <c r="C242" s="3"/>
      <c r="D242" s="3"/>
      <c r="E242" s="3">
        <v>1985</v>
      </c>
      <c r="F242" s="25">
        <v>2500</v>
      </c>
    </row>
    <row r="243" spans="1:6" ht="15.75" x14ac:dyDescent="0.25">
      <c r="A243" s="18">
        <v>46251</v>
      </c>
      <c r="B243" s="3">
        <v>11546449</v>
      </c>
      <c r="C243" s="3"/>
      <c r="D243" s="3"/>
      <c r="E243" s="3">
        <v>1900</v>
      </c>
      <c r="F243" s="25">
        <v>2500</v>
      </c>
    </row>
    <row r="244" spans="1:6" ht="15.75" x14ac:dyDescent="0.25">
      <c r="A244" s="18">
        <v>46251</v>
      </c>
      <c r="B244" s="3">
        <v>11546449</v>
      </c>
      <c r="C244" s="3"/>
      <c r="D244" s="3"/>
      <c r="E244" s="3">
        <v>2277</v>
      </c>
      <c r="F244" s="25">
        <v>2500</v>
      </c>
    </row>
    <row r="245" spans="1:6" ht="15.75" x14ac:dyDescent="0.25">
      <c r="A245" s="18">
        <v>46251</v>
      </c>
      <c r="B245" s="3">
        <v>11546449</v>
      </c>
      <c r="C245" s="3"/>
      <c r="D245" s="3"/>
      <c r="E245" s="3">
        <v>2380</v>
      </c>
      <c r="F245" s="25">
        <v>2500</v>
      </c>
    </row>
    <row r="246" spans="1:6" ht="15.75" x14ac:dyDescent="0.25">
      <c r="A246" s="18">
        <v>46251</v>
      </c>
      <c r="B246" s="19">
        <v>11546566</v>
      </c>
      <c r="C246" s="3"/>
      <c r="D246" s="3"/>
      <c r="E246" s="19">
        <v>1490</v>
      </c>
      <c r="F246" s="25">
        <v>1800</v>
      </c>
    </row>
    <row r="247" spans="1:6" ht="15.75" x14ac:dyDescent="0.25">
      <c r="A247" s="18">
        <v>46251</v>
      </c>
      <c r="B247" s="19">
        <v>11546571</v>
      </c>
      <c r="C247" s="3"/>
      <c r="D247" s="3"/>
      <c r="E247" s="19">
        <v>1035</v>
      </c>
      <c r="F247" s="25">
        <v>1550</v>
      </c>
    </row>
    <row r="248" spans="1:6" ht="15.75" x14ac:dyDescent="0.25">
      <c r="A248" s="18">
        <v>46251</v>
      </c>
      <c r="B248" s="3">
        <v>11546571</v>
      </c>
      <c r="C248" s="3" t="s">
        <v>1185</v>
      </c>
      <c r="D248" s="3"/>
      <c r="E248" s="3">
        <v>1230</v>
      </c>
      <c r="F248" s="25">
        <v>1550</v>
      </c>
    </row>
    <row r="249" spans="1:6" ht="15.75" x14ac:dyDescent="0.25">
      <c r="A249" s="18">
        <v>46251</v>
      </c>
      <c r="B249" s="3">
        <v>11546571</v>
      </c>
      <c r="C249" s="3" t="s">
        <v>1186</v>
      </c>
      <c r="D249" s="3"/>
      <c r="E249" s="3">
        <v>462</v>
      </c>
      <c r="F249" s="25">
        <v>1550</v>
      </c>
    </row>
    <row r="250" spans="1:6" ht="15.75" x14ac:dyDescent="0.25">
      <c r="A250" s="18">
        <v>46251</v>
      </c>
      <c r="B250" s="3">
        <v>11547369</v>
      </c>
      <c r="C250" s="3"/>
      <c r="D250" s="3"/>
      <c r="E250" s="3">
        <v>168</v>
      </c>
      <c r="F250" s="25">
        <v>250</v>
      </c>
    </row>
    <row r="251" spans="1:6" ht="15.75" x14ac:dyDescent="0.25">
      <c r="A251" s="18">
        <v>46251</v>
      </c>
      <c r="B251" s="3">
        <v>11547369</v>
      </c>
      <c r="C251" s="3" t="s">
        <v>1184</v>
      </c>
      <c r="D251" s="3"/>
      <c r="E251" s="3">
        <v>133</v>
      </c>
      <c r="F251" s="25">
        <v>250</v>
      </c>
    </row>
    <row r="252" spans="1:6" ht="15.75" x14ac:dyDescent="0.25">
      <c r="A252" s="18">
        <v>46251</v>
      </c>
      <c r="B252" s="3">
        <v>11549168</v>
      </c>
      <c r="C252" s="3"/>
      <c r="D252" s="3"/>
      <c r="E252" s="3">
        <v>696</v>
      </c>
      <c r="F252" s="25">
        <v>1000</v>
      </c>
    </row>
    <row r="253" spans="1:6" ht="15.75" x14ac:dyDescent="0.25">
      <c r="A253" s="18">
        <v>46251</v>
      </c>
      <c r="B253" s="3">
        <v>11549170</v>
      </c>
      <c r="C253" s="3"/>
      <c r="D253" s="3"/>
      <c r="E253" s="3">
        <v>379</v>
      </c>
      <c r="F253" s="25">
        <v>400</v>
      </c>
    </row>
    <row r="254" spans="1:6" ht="15.75" x14ac:dyDescent="0.25">
      <c r="A254" s="18">
        <v>46251</v>
      </c>
      <c r="B254" s="3">
        <v>11549170</v>
      </c>
      <c r="C254" s="3" t="s">
        <v>1188</v>
      </c>
      <c r="D254" s="3"/>
      <c r="E254" s="3">
        <v>337</v>
      </c>
      <c r="F254" s="25">
        <v>400</v>
      </c>
    </row>
    <row r="255" spans="1:6" ht="15.75" x14ac:dyDescent="0.25">
      <c r="A255" s="18">
        <v>46251</v>
      </c>
      <c r="B255" s="3">
        <v>11549170</v>
      </c>
      <c r="C255" s="3"/>
      <c r="D255" s="3"/>
      <c r="E255" s="3">
        <v>340</v>
      </c>
      <c r="F255" s="25">
        <v>400</v>
      </c>
    </row>
    <row r="256" spans="1:6" ht="15.75" x14ac:dyDescent="0.25">
      <c r="A256" s="29">
        <v>46251</v>
      </c>
      <c r="B256" s="23">
        <v>11609746</v>
      </c>
      <c r="C256" s="23" t="s">
        <v>1190</v>
      </c>
      <c r="D256" s="23"/>
      <c r="E256" s="23">
        <v>1800</v>
      </c>
      <c r="F256" s="28">
        <v>2200</v>
      </c>
    </row>
    <row r="257" spans="1:6" ht="15.75" x14ac:dyDescent="0.25">
      <c r="A257" s="18">
        <v>46251</v>
      </c>
      <c r="B257" s="3">
        <v>11610126</v>
      </c>
      <c r="C257" s="3"/>
      <c r="D257" s="3"/>
      <c r="E257" s="3">
        <v>1000</v>
      </c>
      <c r="F257" s="25">
        <v>1200</v>
      </c>
    </row>
    <row r="258" spans="1:6" ht="15.75" x14ac:dyDescent="0.25">
      <c r="A258" s="29">
        <v>46251</v>
      </c>
      <c r="B258" s="23">
        <v>15047463</v>
      </c>
      <c r="C258" s="23"/>
      <c r="D258" s="23"/>
      <c r="E258" s="23">
        <v>1600</v>
      </c>
      <c r="F258" s="28">
        <v>2000</v>
      </c>
    </row>
    <row r="259" spans="1:6" ht="15.75" x14ac:dyDescent="0.25">
      <c r="A259" s="18">
        <v>46251</v>
      </c>
      <c r="B259" s="3">
        <v>94012078</v>
      </c>
      <c r="C259" s="3"/>
      <c r="D259" s="3"/>
      <c r="E259" s="3">
        <v>90</v>
      </c>
      <c r="F259" s="25">
        <v>100</v>
      </c>
    </row>
    <row r="260" spans="1:6" ht="15.75" x14ac:dyDescent="0.25">
      <c r="A260" s="18">
        <v>46251</v>
      </c>
      <c r="B260" s="3">
        <v>94012078</v>
      </c>
      <c r="C260" s="3" t="s">
        <v>1183</v>
      </c>
      <c r="D260" s="3"/>
      <c r="E260" s="3">
        <v>95</v>
      </c>
      <c r="F260" s="25">
        <v>100</v>
      </c>
    </row>
    <row r="261" spans="1:6" ht="15.75" x14ac:dyDescent="0.25">
      <c r="A261" s="18">
        <v>46251</v>
      </c>
      <c r="B261" s="3" t="s">
        <v>1181</v>
      </c>
      <c r="C261" s="3"/>
      <c r="D261" s="3"/>
      <c r="E261" s="3">
        <v>607</v>
      </c>
      <c r="F261" s="25">
        <v>1000</v>
      </c>
    </row>
    <row r="262" spans="1:6" ht="15.75" x14ac:dyDescent="0.25">
      <c r="A262" s="18">
        <v>46251</v>
      </c>
      <c r="B262" s="3" t="s">
        <v>1182</v>
      </c>
      <c r="C262" s="3"/>
      <c r="D262" s="3"/>
      <c r="E262" s="3">
        <v>391</v>
      </c>
      <c r="F262" s="25">
        <v>450</v>
      </c>
    </row>
    <row r="263" spans="1:6" ht="15.75" x14ac:dyDescent="0.25">
      <c r="A263" s="18">
        <v>46251</v>
      </c>
      <c r="B263" s="3" t="s">
        <v>1182</v>
      </c>
      <c r="C263" s="3"/>
      <c r="D263" s="3"/>
      <c r="E263" s="3">
        <v>314</v>
      </c>
      <c r="F263" s="25">
        <v>450</v>
      </c>
    </row>
    <row r="264" spans="1:6" ht="15.75" x14ac:dyDescent="0.25">
      <c r="A264" s="18">
        <v>46251</v>
      </c>
      <c r="B264" s="3" t="s">
        <v>1182</v>
      </c>
      <c r="C264" s="3"/>
      <c r="D264" s="3"/>
      <c r="E264" s="3">
        <v>252</v>
      </c>
      <c r="F264" s="25">
        <v>450</v>
      </c>
    </row>
    <row r="265" spans="1:6" ht="15.75" x14ac:dyDescent="0.25">
      <c r="A265" s="18">
        <v>46251</v>
      </c>
      <c r="B265" s="3" t="s">
        <v>386</v>
      </c>
      <c r="C265" s="3"/>
      <c r="D265" s="3"/>
      <c r="E265" s="3">
        <v>167</v>
      </c>
      <c r="F265" s="25">
        <v>220</v>
      </c>
    </row>
    <row r="266" spans="1:6" ht="15.75" x14ac:dyDescent="0.25">
      <c r="A266" s="18">
        <v>46251</v>
      </c>
      <c r="B266" s="3" t="s">
        <v>386</v>
      </c>
      <c r="C266" s="3"/>
      <c r="D266" s="3"/>
      <c r="E266" s="3">
        <v>153</v>
      </c>
      <c r="F266" s="25">
        <v>220</v>
      </c>
    </row>
    <row r="267" spans="1:6" ht="15.75" x14ac:dyDescent="0.25">
      <c r="A267" s="18">
        <v>46251</v>
      </c>
      <c r="B267" s="3" t="s">
        <v>14</v>
      </c>
      <c r="C267" s="3"/>
      <c r="D267" s="3"/>
      <c r="E267" s="3">
        <v>1073</v>
      </c>
      <c r="F267" s="25">
        <v>2000</v>
      </c>
    </row>
    <row r="268" spans="1:6" ht="15.75" x14ac:dyDescent="0.25">
      <c r="A268" s="18">
        <v>46251</v>
      </c>
      <c r="B268" s="3" t="s">
        <v>459</v>
      </c>
      <c r="C268" s="3"/>
      <c r="D268" s="3"/>
      <c r="E268" s="3">
        <v>625</v>
      </c>
      <c r="F268" s="25">
        <v>1250</v>
      </c>
    </row>
    <row r="269" spans="1:6" ht="15.75" x14ac:dyDescent="0.25">
      <c r="A269" s="29">
        <v>46251</v>
      </c>
      <c r="B269" s="23" t="s">
        <v>1191</v>
      </c>
      <c r="C269" s="23"/>
      <c r="D269" s="23"/>
      <c r="E269" s="23">
        <v>1945</v>
      </c>
      <c r="F269" s="28">
        <v>2500</v>
      </c>
    </row>
    <row r="270" spans="1:6" ht="15.75" x14ac:dyDescent="0.25">
      <c r="A270" s="29">
        <v>46251</v>
      </c>
      <c r="B270" s="23" t="s">
        <v>1000</v>
      </c>
      <c r="C270" s="23"/>
      <c r="D270" s="23"/>
      <c r="E270" s="23">
        <v>554</v>
      </c>
      <c r="F270" s="28">
        <v>660</v>
      </c>
    </row>
    <row r="271" spans="1:6" ht="15.75" x14ac:dyDescent="0.25">
      <c r="A271" s="18">
        <v>46251</v>
      </c>
      <c r="B271" s="3" t="s">
        <v>603</v>
      </c>
      <c r="C271" s="3"/>
      <c r="D271" s="3"/>
      <c r="E271" s="3">
        <v>1730</v>
      </c>
      <c r="F271" s="25">
        <v>2500</v>
      </c>
    </row>
    <row r="272" spans="1:6" ht="15.75" x14ac:dyDescent="0.25">
      <c r="A272" s="18">
        <v>46251</v>
      </c>
      <c r="B272" s="3" t="s">
        <v>603</v>
      </c>
      <c r="C272" s="3" t="s">
        <v>1187</v>
      </c>
      <c r="D272" s="3"/>
      <c r="E272" s="3">
        <v>2383</v>
      </c>
      <c r="F272" s="25">
        <v>2500</v>
      </c>
    </row>
    <row r="273" spans="1:6" ht="15.75" x14ac:dyDescent="0.25">
      <c r="A273" s="29">
        <v>46251</v>
      </c>
      <c r="B273" s="23" t="s">
        <v>265</v>
      </c>
      <c r="C273" s="23"/>
      <c r="D273" s="23"/>
      <c r="E273" s="23">
        <v>1771</v>
      </c>
      <c r="F273" s="28">
        <v>4500</v>
      </c>
    </row>
    <row r="274" spans="1:6" ht="15.75" x14ac:dyDescent="0.25">
      <c r="A274" s="18">
        <v>46251</v>
      </c>
      <c r="B274" s="3">
        <v>82246</v>
      </c>
      <c r="C274" s="3"/>
      <c r="D274" s="3"/>
      <c r="E274" s="3">
        <v>130</v>
      </c>
      <c r="F274" s="25">
        <v>250</v>
      </c>
    </row>
    <row r="275" spans="1:6" ht="15.75" x14ac:dyDescent="0.25">
      <c r="A275" s="18">
        <v>46251</v>
      </c>
      <c r="B275" s="3">
        <v>82246</v>
      </c>
      <c r="C275" s="3"/>
      <c r="D275" s="3"/>
      <c r="E275" s="3">
        <v>111</v>
      </c>
      <c r="F275" s="25">
        <v>250</v>
      </c>
    </row>
    <row r="276" spans="1:6" ht="15.75" x14ac:dyDescent="0.25">
      <c r="A276" s="18">
        <v>46251</v>
      </c>
      <c r="B276" s="3" t="s">
        <v>13</v>
      </c>
      <c r="C276" s="3"/>
      <c r="D276" s="3"/>
      <c r="E276" s="3">
        <v>1455</v>
      </c>
      <c r="F276" s="25">
        <v>1600</v>
      </c>
    </row>
    <row r="277" spans="1:6" ht="15.75" x14ac:dyDescent="0.25">
      <c r="A277" s="18">
        <v>46251</v>
      </c>
      <c r="B277" s="3" t="s">
        <v>213</v>
      </c>
      <c r="C277" s="3" t="s">
        <v>1189</v>
      </c>
      <c r="D277" s="3"/>
      <c r="E277" s="3">
        <v>1604</v>
      </c>
      <c r="F277" s="25">
        <v>1750</v>
      </c>
    </row>
    <row r="278" spans="1:6" ht="15.75" x14ac:dyDescent="0.25">
      <c r="A278" s="18">
        <v>46253</v>
      </c>
      <c r="B278" s="3">
        <v>61525</v>
      </c>
      <c r="C278" s="3" t="s">
        <v>1192</v>
      </c>
      <c r="D278" s="3"/>
      <c r="E278" s="3">
        <v>2682</v>
      </c>
      <c r="F278" s="25">
        <v>3000</v>
      </c>
    </row>
    <row r="279" spans="1:6" ht="15.75" x14ac:dyDescent="0.25">
      <c r="A279" s="29">
        <v>46253</v>
      </c>
      <c r="B279" s="23">
        <v>11517665</v>
      </c>
      <c r="C279" s="23"/>
      <c r="D279" s="23"/>
      <c r="E279" s="23">
        <v>1983</v>
      </c>
      <c r="F279" s="28">
        <v>3000</v>
      </c>
    </row>
    <row r="280" spans="1:6" ht="15.75" x14ac:dyDescent="0.25">
      <c r="A280" s="18">
        <v>46253</v>
      </c>
      <c r="B280" s="3">
        <v>11546377</v>
      </c>
      <c r="C280" s="3"/>
      <c r="D280" s="3"/>
      <c r="E280" s="3">
        <v>613</v>
      </c>
      <c r="F280" s="25">
        <v>2150</v>
      </c>
    </row>
    <row r="281" spans="1:6" ht="15.75" x14ac:dyDescent="0.25">
      <c r="A281" s="18">
        <v>46253</v>
      </c>
      <c r="B281" s="3">
        <v>11546377</v>
      </c>
      <c r="C281" s="3"/>
      <c r="D281" s="3"/>
      <c r="E281" s="3">
        <v>1710</v>
      </c>
      <c r="F281" s="25">
        <v>2150</v>
      </c>
    </row>
    <row r="282" spans="1:6" ht="15.75" x14ac:dyDescent="0.25">
      <c r="A282" s="18">
        <v>46253</v>
      </c>
      <c r="B282" s="3">
        <v>11546703</v>
      </c>
      <c r="C282" s="3"/>
      <c r="D282" s="3"/>
      <c r="E282" s="3">
        <v>2475</v>
      </c>
      <c r="F282" s="25">
        <v>4000</v>
      </c>
    </row>
    <row r="283" spans="1:6" ht="15.75" x14ac:dyDescent="0.25">
      <c r="A283" s="18">
        <v>46253</v>
      </c>
      <c r="B283" s="3">
        <v>11547369</v>
      </c>
      <c r="C283" s="3"/>
      <c r="D283" s="3"/>
      <c r="E283" s="3">
        <v>227</v>
      </c>
      <c r="F283" s="25">
        <v>250</v>
      </c>
    </row>
    <row r="284" spans="1:6" ht="15.75" x14ac:dyDescent="0.25">
      <c r="A284" s="18">
        <v>46253</v>
      </c>
      <c r="B284" s="3">
        <v>11549170</v>
      </c>
      <c r="C284" s="3"/>
      <c r="D284" s="3"/>
      <c r="E284" s="3">
        <v>224</v>
      </c>
      <c r="F284" s="25">
        <v>400</v>
      </c>
    </row>
    <row r="285" spans="1:6" ht="15.75" x14ac:dyDescent="0.25">
      <c r="A285" s="18">
        <v>46253</v>
      </c>
      <c r="B285" s="3">
        <v>11549170</v>
      </c>
      <c r="C285" s="3" t="s">
        <v>1196</v>
      </c>
      <c r="D285" s="3"/>
      <c r="E285" s="3">
        <v>241</v>
      </c>
      <c r="F285" s="25">
        <v>400</v>
      </c>
    </row>
    <row r="286" spans="1:6" ht="15.75" x14ac:dyDescent="0.25">
      <c r="A286" s="18">
        <v>46253</v>
      </c>
      <c r="B286" s="3">
        <v>11602659</v>
      </c>
      <c r="C286" s="3" t="s">
        <v>1198</v>
      </c>
      <c r="D286" s="3"/>
      <c r="E286" s="3">
        <v>310</v>
      </c>
      <c r="F286" s="25">
        <v>550</v>
      </c>
    </row>
    <row r="287" spans="1:6" ht="15.75" x14ac:dyDescent="0.25">
      <c r="A287" s="18">
        <v>46253</v>
      </c>
      <c r="B287" s="3" t="s">
        <v>339</v>
      </c>
      <c r="C287" s="3"/>
      <c r="D287" s="3"/>
      <c r="E287" s="3">
        <v>1318</v>
      </c>
      <c r="F287" s="25">
        <v>2200</v>
      </c>
    </row>
    <row r="288" spans="1:6" ht="15.75" x14ac:dyDescent="0.25">
      <c r="A288" s="18">
        <v>46253</v>
      </c>
      <c r="B288" s="3" t="s">
        <v>52</v>
      </c>
      <c r="C288" s="3"/>
      <c r="D288" s="3"/>
      <c r="E288" s="3">
        <v>353</v>
      </c>
      <c r="F288" s="25">
        <v>660</v>
      </c>
    </row>
    <row r="289" spans="1:6" ht="15.75" x14ac:dyDescent="0.25">
      <c r="A289" s="18">
        <v>46253</v>
      </c>
      <c r="B289" s="3" t="s">
        <v>53</v>
      </c>
      <c r="C289" s="3"/>
      <c r="D289" s="3"/>
      <c r="E289" s="3">
        <v>578</v>
      </c>
      <c r="F289" s="25">
        <v>800</v>
      </c>
    </row>
    <row r="290" spans="1:6" ht="15.75" x14ac:dyDescent="0.25">
      <c r="A290" s="18">
        <v>46253</v>
      </c>
      <c r="B290" s="3" t="s">
        <v>53</v>
      </c>
      <c r="C290" s="3" t="s">
        <v>1195</v>
      </c>
      <c r="D290" s="3"/>
      <c r="E290" s="3">
        <v>560</v>
      </c>
      <c r="F290" s="25">
        <v>800</v>
      </c>
    </row>
    <row r="291" spans="1:6" ht="15.75" x14ac:dyDescent="0.25">
      <c r="A291" s="18">
        <v>46253</v>
      </c>
      <c r="B291" s="3" t="s">
        <v>1</v>
      </c>
      <c r="C291" s="3"/>
      <c r="D291" s="3"/>
      <c r="E291" s="3">
        <v>613</v>
      </c>
      <c r="F291" s="25">
        <v>670</v>
      </c>
    </row>
    <row r="292" spans="1:6" ht="15.75" x14ac:dyDescent="0.25">
      <c r="A292" s="18">
        <v>46253</v>
      </c>
      <c r="B292" s="3" t="s">
        <v>1</v>
      </c>
      <c r="C292" s="3"/>
      <c r="D292" s="3"/>
      <c r="E292" s="3">
        <v>559</v>
      </c>
      <c r="F292" s="25">
        <v>670</v>
      </c>
    </row>
    <row r="293" spans="1:6" ht="15.75" x14ac:dyDescent="0.25">
      <c r="A293" s="18">
        <v>46253</v>
      </c>
      <c r="B293" s="3" t="s">
        <v>94</v>
      </c>
      <c r="C293" s="3" t="s">
        <v>1197</v>
      </c>
      <c r="D293" s="3"/>
      <c r="E293" s="3">
        <v>280</v>
      </c>
      <c r="F293" s="25">
        <v>410</v>
      </c>
    </row>
    <row r="294" spans="1:6" ht="15.75" x14ac:dyDescent="0.25">
      <c r="A294" s="18">
        <v>46253</v>
      </c>
      <c r="B294" s="3" t="s">
        <v>94</v>
      </c>
      <c r="C294" s="3"/>
      <c r="D294" s="3"/>
      <c r="E294" s="3">
        <v>260</v>
      </c>
      <c r="F294" s="25">
        <v>410</v>
      </c>
    </row>
    <row r="295" spans="1:6" ht="15.75" x14ac:dyDescent="0.25">
      <c r="A295" s="18">
        <v>46253</v>
      </c>
      <c r="B295" s="3" t="s">
        <v>95</v>
      </c>
      <c r="C295" s="3"/>
      <c r="D295" s="3"/>
      <c r="E295" s="3">
        <v>1574</v>
      </c>
      <c r="F295" s="25">
        <v>1800</v>
      </c>
    </row>
    <row r="296" spans="1:6" ht="15.75" x14ac:dyDescent="0.25">
      <c r="A296" s="18">
        <v>46253</v>
      </c>
      <c r="B296" s="3" t="s">
        <v>898</v>
      </c>
      <c r="C296" s="3"/>
      <c r="D296" s="3"/>
      <c r="E296" s="3">
        <v>48</v>
      </c>
      <c r="F296" s="25">
        <v>100</v>
      </c>
    </row>
    <row r="297" spans="1:6" ht="15.75" x14ac:dyDescent="0.25">
      <c r="A297" s="18">
        <v>46253</v>
      </c>
      <c r="B297" s="3" t="s">
        <v>49</v>
      </c>
      <c r="C297" s="3"/>
      <c r="D297" s="3"/>
      <c r="E297" s="3">
        <v>748</v>
      </c>
      <c r="F297" s="25">
        <v>1000</v>
      </c>
    </row>
    <row r="298" spans="1:6" ht="15.75" x14ac:dyDescent="0.25">
      <c r="A298" s="18">
        <v>46253</v>
      </c>
      <c r="B298" s="3" t="s">
        <v>1182</v>
      </c>
      <c r="C298" s="3"/>
      <c r="D298" s="3"/>
      <c r="E298" s="3">
        <v>349</v>
      </c>
      <c r="F298" s="25">
        <v>450</v>
      </c>
    </row>
    <row r="299" spans="1:6" ht="15.75" x14ac:dyDescent="0.25">
      <c r="A299" s="18">
        <v>46253</v>
      </c>
      <c r="B299" s="3" t="s">
        <v>1182</v>
      </c>
      <c r="C299" s="3" t="s">
        <v>1193</v>
      </c>
      <c r="D299" s="3"/>
      <c r="E299" s="3">
        <v>375</v>
      </c>
      <c r="F299" s="25">
        <v>450</v>
      </c>
    </row>
    <row r="300" spans="1:6" ht="15.75" x14ac:dyDescent="0.25">
      <c r="A300" s="18">
        <v>46253</v>
      </c>
      <c r="B300" s="3" t="s">
        <v>1182</v>
      </c>
      <c r="C300" s="3" t="s">
        <v>1194</v>
      </c>
      <c r="D300" s="3"/>
      <c r="E300" s="3">
        <v>338</v>
      </c>
      <c r="F300" s="25">
        <v>450</v>
      </c>
    </row>
    <row r="301" spans="1:6" ht="15.75" x14ac:dyDescent="0.25">
      <c r="A301" s="18">
        <v>46253</v>
      </c>
      <c r="B301" s="3" t="s">
        <v>102</v>
      </c>
      <c r="C301" s="3"/>
      <c r="D301" s="3"/>
      <c r="E301" s="3">
        <v>316</v>
      </c>
      <c r="F301" s="25">
        <v>450</v>
      </c>
    </row>
    <row r="302" spans="1:6" ht="15.75" x14ac:dyDescent="0.25">
      <c r="A302" s="18">
        <v>46253</v>
      </c>
      <c r="B302" s="3" t="s">
        <v>102</v>
      </c>
      <c r="C302" s="3"/>
      <c r="D302" s="3"/>
      <c r="E302" s="3">
        <v>450</v>
      </c>
      <c r="F302" s="25">
        <v>450</v>
      </c>
    </row>
    <row r="303" spans="1:6" ht="15.75" x14ac:dyDescent="0.25">
      <c r="A303" s="18">
        <v>46253</v>
      </c>
      <c r="B303" s="3" t="s">
        <v>789</v>
      </c>
      <c r="C303" s="3"/>
      <c r="D303" s="3"/>
      <c r="E303" s="3">
        <v>252</v>
      </c>
      <c r="F303" s="25">
        <v>300</v>
      </c>
    </row>
    <row r="304" spans="1:6" ht="15.75" x14ac:dyDescent="0.25">
      <c r="A304" s="18">
        <v>46253</v>
      </c>
      <c r="B304" s="3" t="s">
        <v>360</v>
      </c>
      <c r="C304" s="3"/>
      <c r="D304" s="3"/>
      <c r="E304" s="3">
        <v>785</v>
      </c>
      <c r="F304" s="25">
        <v>1000</v>
      </c>
    </row>
    <row r="305" spans="1:6" ht="15.75" x14ac:dyDescent="0.25">
      <c r="A305" s="29">
        <v>46253</v>
      </c>
      <c r="B305" s="23" t="s">
        <v>1199</v>
      </c>
      <c r="C305" s="23" t="s">
        <v>1200</v>
      </c>
      <c r="D305" s="23"/>
      <c r="E305" s="23">
        <v>1572</v>
      </c>
      <c r="F305" s="28">
        <v>1700</v>
      </c>
    </row>
    <row r="306" spans="1:6" ht="15.75" x14ac:dyDescent="0.25">
      <c r="A306" s="29">
        <v>46253</v>
      </c>
      <c r="B306" s="23" t="s">
        <v>1201</v>
      </c>
      <c r="C306" s="23" t="s">
        <v>1202</v>
      </c>
      <c r="D306" s="23"/>
      <c r="E306" s="23">
        <v>765</v>
      </c>
      <c r="F306" s="28">
        <v>900</v>
      </c>
    </row>
    <row r="307" spans="1:6" ht="15.75" x14ac:dyDescent="0.25">
      <c r="A307" s="18">
        <v>46253</v>
      </c>
      <c r="B307" s="3" t="s">
        <v>337</v>
      </c>
      <c r="C307" s="3"/>
      <c r="D307" s="3"/>
      <c r="E307" s="3">
        <v>1866</v>
      </c>
      <c r="F307" s="25">
        <v>3000</v>
      </c>
    </row>
    <row r="308" spans="1:6" ht="15.75" x14ac:dyDescent="0.25">
      <c r="A308" s="18">
        <v>46253</v>
      </c>
      <c r="B308" s="3" t="s">
        <v>337</v>
      </c>
      <c r="C308" s="3"/>
      <c r="D308" s="3"/>
      <c r="E308" s="3">
        <v>1294</v>
      </c>
      <c r="F308" s="25">
        <v>3000</v>
      </c>
    </row>
    <row r="309" spans="1:6" ht="15.75" x14ac:dyDescent="0.25">
      <c r="A309" s="18">
        <v>46253</v>
      </c>
      <c r="B309" s="3" t="s">
        <v>359</v>
      </c>
      <c r="C309" s="3"/>
      <c r="D309" s="3"/>
      <c r="E309" s="3">
        <v>965</v>
      </c>
      <c r="F309" s="25">
        <v>1050</v>
      </c>
    </row>
    <row r="310" spans="1:6" ht="15.75" x14ac:dyDescent="0.25">
      <c r="A310" s="29">
        <v>46253</v>
      </c>
      <c r="B310" s="23" t="s">
        <v>242</v>
      </c>
      <c r="C310" s="23"/>
      <c r="D310" s="23"/>
      <c r="E310" s="23">
        <v>1108</v>
      </c>
      <c r="F310" s="28">
        <v>1900</v>
      </c>
    </row>
    <row r="311" spans="1:6" ht="15.75" x14ac:dyDescent="0.25">
      <c r="A311" s="18">
        <v>46255</v>
      </c>
      <c r="B311" s="3">
        <v>11546703</v>
      </c>
      <c r="C311" s="3" t="s">
        <v>1210</v>
      </c>
      <c r="D311" s="3"/>
      <c r="E311" s="3">
        <v>2566</v>
      </c>
      <c r="F311" s="25">
        <v>4000</v>
      </c>
    </row>
    <row r="312" spans="1:6" ht="15.75" x14ac:dyDescent="0.25">
      <c r="A312" s="18">
        <v>46255</v>
      </c>
      <c r="B312" s="3">
        <v>11546703</v>
      </c>
      <c r="C312" s="3"/>
      <c r="D312" s="3"/>
      <c r="E312" s="3">
        <v>3977</v>
      </c>
      <c r="F312" s="25">
        <v>4000</v>
      </c>
    </row>
    <row r="313" spans="1:6" ht="15.75" x14ac:dyDescent="0.25">
      <c r="A313" s="18">
        <v>46255</v>
      </c>
      <c r="B313" s="3">
        <v>11549168</v>
      </c>
      <c r="C313" s="3" t="s">
        <v>1209</v>
      </c>
      <c r="D313" s="3"/>
      <c r="E313" s="3">
        <v>568</v>
      </c>
      <c r="F313" s="25">
        <v>1000</v>
      </c>
    </row>
    <row r="314" spans="1:6" ht="15.75" x14ac:dyDescent="0.25">
      <c r="A314" s="18">
        <v>46255</v>
      </c>
      <c r="B314" s="3">
        <v>11562515</v>
      </c>
      <c r="C314" s="3"/>
      <c r="D314" s="3"/>
      <c r="E314" s="3">
        <v>1665</v>
      </c>
      <c r="F314" s="25">
        <v>1900</v>
      </c>
    </row>
    <row r="315" spans="1:6" ht="15.75" x14ac:dyDescent="0.25">
      <c r="A315" s="18">
        <v>46255</v>
      </c>
      <c r="B315" s="3">
        <v>11562515</v>
      </c>
      <c r="C315" s="3"/>
      <c r="D315" s="3"/>
      <c r="E315" s="3">
        <v>1080</v>
      </c>
      <c r="F315" s="25">
        <v>1900</v>
      </c>
    </row>
    <row r="316" spans="1:6" ht="15.75" x14ac:dyDescent="0.25">
      <c r="A316" s="18">
        <v>46255</v>
      </c>
      <c r="B316" s="3">
        <v>11588293</v>
      </c>
      <c r="C316" s="3"/>
      <c r="D316" s="3"/>
      <c r="E316" s="3">
        <v>585</v>
      </c>
      <c r="F316" s="25">
        <v>1150</v>
      </c>
    </row>
    <row r="317" spans="1:6" ht="15.75" x14ac:dyDescent="0.25">
      <c r="A317" s="18">
        <v>46255</v>
      </c>
      <c r="B317" s="3">
        <v>11588293</v>
      </c>
      <c r="C317" s="3" t="s">
        <v>1214</v>
      </c>
      <c r="D317" s="3"/>
      <c r="E317" s="3">
        <v>722</v>
      </c>
      <c r="F317" s="25">
        <v>1150</v>
      </c>
    </row>
    <row r="318" spans="1:6" ht="15.75" x14ac:dyDescent="0.25">
      <c r="A318" s="18">
        <v>46255</v>
      </c>
      <c r="B318" s="3">
        <v>11588714</v>
      </c>
      <c r="C318" s="3"/>
      <c r="D318" s="3"/>
      <c r="E318" s="3">
        <v>1302</v>
      </c>
      <c r="F318" s="25">
        <v>1400</v>
      </c>
    </row>
    <row r="319" spans="1:6" ht="15.75" x14ac:dyDescent="0.25">
      <c r="A319" s="18">
        <v>46255</v>
      </c>
      <c r="B319" s="3">
        <v>11602031</v>
      </c>
      <c r="C319" s="3"/>
      <c r="D319" s="3"/>
      <c r="E319" s="3">
        <v>82</v>
      </c>
      <c r="F319" s="25">
        <v>145</v>
      </c>
    </row>
    <row r="320" spans="1:6" ht="15.75" x14ac:dyDescent="0.25">
      <c r="A320" s="18">
        <v>46255</v>
      </c>
      <c r="B320" s="3">
        <v>11602659</v>
      </c>
      <c r="C320" s="3"/>
      <c r="D320" s="3"/>
      <c r="E320" s="3">
        <v>482</v>
      </c>
      <c r="F320" s="25">
        <v>550</v>
      </c>
    </row>
    <row r="321" spans="1:6" ht="15.75" x14ac:dyDescent="0.25">
      <c r="A321" s="18">
        <v>46255</v>
      </c>
      <c r="B321" s="3">
        <v>11610128</v>
      </c>
      <c r="C321" s="3"/>
      <c r="D321" s="3"/>
      <c r="E321" s="3">
        <v>990</v>
      </c>
      <c r="F321" s="25">
        <v>1125</v>
      </c>
    </row>
    <row r="322" spans="1:6" ht="15.75" x14ac:dyDescent="0.25">
      <c r="A322" s="18">
        <v>46255</v>
      </c>
      <c r="B322" s="3">
        <v>94012039</v>
      </c>
      <c r="C322" s="3"/>
      <c r="D322" s="3"/>
      <c r="E322" s="3">
        <v>1803</v>
      </c>
      <c r="F322" s="25">
        <v>2000</v>
      </c>
    </row>
    <row r="323" spans="1:6" ht="15.75" x14ac:dyDescent="0.25">
      <c r="A323" s="18">
        <v>46255</v>
      </c>
      <c r="B323" s="3" t="s">
        <v>92</v>
      </c>
      <c r="C323" s="3"/>
      <c r="D323" s="3"/>
      <c r="E323" s="3">
        <v>590</v>
      </c>
      <c r="F323" s="25">
        <v>1000</v>
      </c>
    </row>
    <row r="324" spans="1:6" ht="15.75" x14ac:dyDescent="0.25">
      <c r="A324" s="18">
        <v>46255</v>
      </c>
      <c r="B324" s="3" t="s">
        <v>1</v>
      </c>
      <c r="C324" s="3"/>
      <c r="D324" s="3"/>
      <c r="E324" s="3">
        <v>648</v>
      </c>
      <c r="F324" s="25">
        <v>670</v>
      </c>
    </row>
    <row r="325" spans="1:6" ht="15.75" x14ac:dyDescent="0.25">
      <c r="A325" s="29">
        <v>46255</v>
      </c>
      <c r="B325" s="23" t="s">
        <v>579</v>
      </c>
      <c r="C325" s="23"/>
      <c r="D325" s="23"/>
      <c r="E325" s="23">
        <v>1142</v>
      </c>
      <c r="F325" s="28">
        <v>1500</v>
      </c>
    </row>
    <row r="326" spans="1:6" ht="15.75" x14ac:dyDescent="0.25">
      <c r="A326" s="18">
        <v>46255</v>
      </c>
      <c r="B326" s="3" t="s">
        <v>624</v>
      </c>
      <c r="C326" s="3"/>
      <c r="D326" s="3"/>
      <c r="E326" s="3">
        <v>458</v>
      </c>
      <c r="F326" s="25">
        <v>750</v>
      </c>
    </row>
    <row r="327" spans="1:6" ht="15.75" x14ac:dyDescent="0.25">
      <c r="A327" s="18">
        <v>46255</v>
      </c>
      <c r="B327" s="3" t="s">
        <v>258</v>
      </c>
      <c r="C327" s="3" t="s">
        <v>1212</v>
      </c>
      <c r="D327" s="3"/>
      <c r="E327" s="3">
        <v>236</v>
      </c>
      <c r="F327" s="25">
        <v>290</v>
      </c>
    </row>
    <row r="328" spans="1:6" ht="15.75" x14ac:dyDescent="0.25">
      <c r="A328" s="29">
        <v>46255</v>
      </c>
      <c r="B328" s="23" t="s">
        <v>1208</v>
      </c>
      <c r="C328" s="23"/>
      <c r="D328" s="23"/>
      <c r="E328" s="23">
        <v>202</v>
      </c>
      <c r="F328" s="28">
        <v>230</v>
      </c>
    </row>
    <row r="329" spans="1:6" ht="15.75" x14ac:dyDescent="0.25">
      <c r="A329" s="18">
        <v>46255</v>
      </c>
      <c r="B329" s="3" t="s">
        <v>212</v>
      </c>
      <c r="C329" s="3"/>
      <c r="D329" s="3"/>
      <c r="E329" s="3">
        <v>771</v>
      </c>
      <c r="F329" s="25">
        <v>1250</v>
      </c>
    </row>
    <row r="330" spans="1:6" ht="15.75" x14ac:dyDescent="0.25">
      <c r="A330" s="18">
        <v>46255</v>
      </c>
      <c r="B330" s="3" t="s">
        <v>212</v>
      </c>
      <c r="C330" s="3" t="s">
        <v>1216</v>
      </c>
      <c r="D330" s="3"/>
      <c r="E330" s="3">
        <v>624</v>
      </c>
      <c r="F330" s="25">
        <v>1250</v>
      </c>
    </row>
    <row r="331" spans="1:6" ht="15.75" x14ac:dyDescent="0.25">
      <c r="A331" s="18">
        <v>46255</v>
      </c>
      <c r="B331" s="3" t="s">
        <v>90</v>
      </c>
      <c r="C331" s="3"/>
      <c r="D331" s="3"/>
      <c r="E331" s="3">
        <v>3045</v>
      </c>
      <c r="F331" s="25">
        <v>3500</v>
      </c>
    </row>
    <row r="332" spans="1:6" ht="15.75" x14ac:dyDescent="0.25">
      <c r="A332" s="18">
        <v>46255</v>
      </c>
      <c r="B332" s="3" t="s">
        <v>47</v>
      </c>
      <c r="C332" s="3" t="s">
        <v>1206</v>
      </c>
      <c r="D332" s="3"/>
      <c r="E332" s="3">
        <v>1769</v>
      </c>
      <c r="F332" s="25">
        <v>1900</v>
      </c>
    </row>
    <row r="333" spans="1:6" ht="15.75" x14ac:dyDescent="0.25">
      <c r="A333" s="18">
        <v>46255</v>
      </c>
      <c r="B333" s="3" t="s">
        <v>49</v>
      </c>
      <c r="C333" s="3"/>
      <c r="D333" s="3"/>
      <c r="E333" s="3">
        <v>1190</v>
      </c>
      <c r="F333" s="25">
        <v>1600</v>
      </c>
    </row>
    <row r="334" spans="1:6" ht="15.75" x14ac:dyDescent="0.25">
      <c r="A334" s="18">
        <v>46255</v>
      </c>
      <c r="B334" s="3" t="s">
        <v>208</v>
      </c>
      <c r="C334" s="3"/>
      <c r="D334" s="3"/>
      <c r="E334" s="3">
        <v>687</v>
      </c>
      <c r="F334" s="25">
        <v>700</v>
      </c>
    </row>
    <row r="335" spans="1:6" ht="15.75" x14ac:dyDescent="0.25">
      <c r="A335" s="18">
        <v>46255</v>
      </c>
      <c r="B335" s="3" t="s">
        <v>208</v>
      </c>
      <c r="C335" s="3" t="s">
        <v>1207</v>
      </c>
      <c r="D335" s="3"/>
      <c r="E335" s="3">
        <v>700</v>
      </c>
      <c r="F335" s="25">
        <v>700</v>
      </c>
    </row>
    <row r="336" spans="1:6" ht="15.75" x14ac:dyDescent="0.25">
      <c r="A336" s="18">
        <v>46255</v>
      </c>
      <c r="B336" s="3" t="s">
        <v>208</v>
      </c>
      <c r="C336" s="3" t="s">
        <v>1207</v>
      </c>
      <c r="D336" s="3"/>
      <c r="E336" s="3">
        <v>647</v>
      </c>
      <c r="F336" s="25">
        <v>700</v>
      </c>
    </row>
    <row r="337" spans="1:6" ht="15.75" x14ac:dyDescent="0.25">
      <c r="A337" s="18">
        <v>46255</v>
      </c>
      <c r="B337" s="3" t="s">
        <v>102</v>
      </c>
      <c r="C337" s="3" t="s">
        <v>1211</v>
      </c>
      <c r="D337" s="3"/>
      <c r="E337" s="3">
        <v>351</v>
      </c>
      <c r="F337" s="25">
        <v>450</v>
      </c>
    </row>
    <row r="338" spans="1:6" ht="15.75" x14ac:dyDescent="0.25">
      <c r="A338" s="18">
        <v>46255</v>
      </c>
      <c r="B338" s="3" t="s">
        <v>436</v>
      </c>
      <c r="C338" s="3" t="s">
        <v>1205</v>
      </c>
      <c r="D338" s="3"/>
      <c r="E338" s="3">
        <v>385</v>
      </c>
      <c r="F338" s="25">
        <v>450</v>
      </c>
    </row>
    <row r="339" spans="1:6" ht="15.75" x14ac:dyDescent="0.25">
      <c r="A339" s="18">
        <v>46255</v>
      </c>
      <c r="B339" s="3" t="s">
        <v>436</v>
      </c>
      <c r="C339" s="3"/>
      <c r="D339" s="3"/>
      <c r="E339" s="3">
        <v>271</v>
      </c>
      <c r="F339" s="25">
        <v>450</v>
      </c>
    </row>
    <row r="340" spans="1:6" ht="15.75" x14ac:dyDescent="0.25">
      <c r="A340" s="18">
        <v>46255</v>
      </c>
      <c r="B340" s="3" t="s">
        <v>1213</v>
      </c>
      <c r="C340" s="3"/>
      <c r="D340" s="3"/>
      <c r="E340" s="3">
        <v>247</v>
      </c>
      <c r="F340" s="25">
        <v>450</v>
      </c>
    </row>
    <row r="341" spans="1:6" ht="15.75" x14ac:dyDescent="0.25">
      <c r="A341" s="18">
        <v>46255</v>
      </c>
      <c r="B341" s="3" t="s">
        <v>359</v>
      </c>
      <c r="C341" s="3" t="s">
        <v>1204</v>
      </c>
      <c r="D341" s="3"/>
      <c r="E341" s="3">
        <v>994</v>
      </c>
      <c r="F341" s="25">
        <v>1050</v>
      </c>
    </row>
    <row r="342" spans="1:6" ht="15.75" x14ac:dyDescent="0.25">
      <c r="A342" s="18">
        <v>46255</v>
      </c>
      <c r="B342" s="3" t="s">
        <v>13</v>
      </c>
      <c r="C342" s="3"/>
      <c r="D342" s="3"/>
      <c r="E342" s="3">
        <v>878</v>
      </c>
      <c r="F342" s="25">
        <v>1000</v>
      </c>
    </row>
    <row r="343" spans="1:6" ht="15.75" x14ac:dyDescent="0.25">
      <c r="A343" s="18">
        <v>46255</v>
      </c>
      <c r="B343" s="3" t="s">
        <v>13</v>
      </c>
      <c r="C343" s="3" t="s">
        <v>1215</v>
      </c>
      <c r="D343" s="3"/>
      <c r="E343" s="3">
        <v>914</v>
      </c>
      <c r="F343" s="25">
        <v>1600</v>
      </c>
    </row>
    <row r="344" spans="1:6" ht="15.75" x14ac:dyDescent="0.25">
      <c r="A344" s="29">
        <v>46255</v>
      </c>
      <c r="B344" s="23" t="s">
        <v>625</v>
      </c>
      <c r="C344" s="23" t="s">
        <v>1203</v>
      </c>
      <c r="D344" s="23"/>
      <c r="E344" s="23">
        <v>524</v>
      </c>
      <c r="F344" s="28">
        <v>3500</v>
      </c>
    </row>
    <row r="345" spans="1:6" ht="15.75" x14ac:dyDescent="0.25">
      <c r="A345" s="27" t="s">
        <v>1033</v>
      </c>
      <c r="B345" s="23">
        <v>82218</v>
      </c>
      <c r="C345" s="23"/>
      <c r="D345" s="23"/>
      <c r="E345" s="23">
        <v>226</v>
      </c>
      <c r="F345" s="28">
        <v>370</v>
      </c>
    </row>
    <row r="346" spans="1:6" ht="15.75" x14ac:dyDescent="0.25">
      <c r="A346" s="27" t="s">
        <v>1033</v>
      </c>
      <c r="B346" s="23">
        <v>11516172</v>
      </c>
      <c r="C346" s="23"/>
      <c r="D346" s="23"/>
      <c r="E346" s="23">
        <v>488</v>
      </c>
      <c r="F346" s="28">
        <v>2200</v>
      </c>
    </row>
    <row r="347" spans="1:6" ht="15.75" x14ac:dyDescent="0.25">
      <c r="A347" s="27" t="s">
        <v>1033</v>
      </c>
      <c r="B347" s="23">
        <v>11546448</v>
      </c>
      <c r="C347" s="23"/>
      <c r="D347" s="23"/>
      <c r="E347" s="23">
        <v>186</v>
      </c>
      <c r="F347" s="28">
        <v>3300</v>
      </c>
    </row>
    <row r="348" spans="1:6" ht="15.75" x14ac:dyDescent="0.25">
      <c r="A348" s="15" t="s">
        <v>1033</v>
      </c>
      <c r="B348" s="3">
        <v>11546463</v>
      </c>
      <c r="C348" s="3"/>
      <c r="D348" s="3"/>
      <c r="E348" s="3">
        <v>440</v>
      </c>
      <c r="F348" s="25">
        <v>450</v>
      </c>
    </row>
    <row r="349" spans="1:6" ht="15.75" x14ac:dyDescent="0.25">
      <c r="A349" s="15" t="s">
        <v>1033</v>
      </c>
      <c r="B349" s="3">
        <v>11546571</v>
      </c>
      <c r="C349" s="3"/>
      <c r="D349" s="3"/>
      <c r="E349" s="3">
        <v>900</v>
      </c>
      <c r="F349" s="25">
        <v>1550</v>
      </c>
    </row>
    <row r="350" spans="1:6" ht="15.75" x14ac:dyDescent="0.25">
      <c r="A350" s="27" t="s">
        <v>1033</v>
      </c>
      <c r="B350" s="23">
        <v>11547059</v>
      </c>
      <c r="C350" s="23"/>
      <c r="D350" s="23"/>
      <c r="E350" s="23">
        <v>239</v>
      </c>
      <c r="F350" s="28">
        <v>550</v>
      </c>
    </row>
    <row r="351" spans="1:6" ht="15.75" x14ac:dyDescent="0.25">
      <c r="A351" s="15" t="s">
        <v>1033</v>
      </c>
      <c r="B351" s="3">
        <v>11548147</v>
      </c>
      <c r="C351" s="3"/>
      <c r="D351" s="3"/>
      <c r="E351" s="3">
        <v>250</v>
      </c>
      <c r="F351" s="25"/>
    </row>
    <row r="352" spans="1:6" ht="15.75" x14ac:dyDescent="0.25">
      <c r="A352" s="15" t="s">
        <v>1033</v>
      </c>
      <c r="B352" s="3">
        <v>11549168</v>
      </c>
      <c r="C352" s="3"/>
      <c r="D352" s="3"/>
      <c r="E352" s="3">
        <v>735</v>
      </c>
      <c r="F352" s="25">
        <v>1000</v>
      </c>
    </row>
    <row r="353" spans="1:6" ht="15.75" x14ac:dyDescent="0.25">
      <c r="A353" s="27" t="s">
        <v>1033</v>
      </c>
      <c r="B353" s="23">
        <v>11561114</v>
      </c>
      <c r="C353" s="23"/>
      <c r="D353" s="23"/>
      <c r="E353" s="23">
        <v>252</v>
      </c>
      <c r="F353" s="28">
        <v>400</v>
      </c>
    </row>
    <row r="354" spans="1:6" ht="15.75" x14ac:dyDescent="0.25">
      <c r="A354" s="15" t="s">
        <v>1033</v>
      </c>
      <c r="B354" s="3">
        <v>11604852</v>
      </c>
      <c r="C354" s="3"/>
      <c r="D354" s="3"/>
      <c r="E354" s="3">
        <v>375</v>
      </c>
      <c r="F354" s="25">
        <v>550</v>
      </c>
    </row>
    <row r="355" spans="1:6" ht="15.75" x14ac:dyDescent="0.25">
      <c r="A355" s="27" t="s">
        <v>1033</v>
      </c>
      <c r="B355" s="23">
        <v>11611121</v>
      </c>
      <c r="C355" s="23"/>
      <c r="D355" s="23"/>
      <c r="E355" s="23">
        <v>612</v>
      </c>
      <c r="F355" s="28">
        <v>900</v>
      </c>
    </row>
    <row r="356" spans="1:6" ht="15.75" x14ac:dyDescent="0.25">
      <c r="A356" s="27" t="s">
        <v>1033</v>
      </c>
      <c r="B356" s="23">
        <v>11611122</v>
      </c>
      <c r="C356" s="23"/>
      <c r="D356" s="23"/>
      <c r="E356" s="23">
        <v>1489</v>
      </c>
      <c r="F356" s="28">
        <v>1850</v>
      </c>
    </row>
    <row r="357" spans="1:6" ht="15.75" x14ac:dyDescent="0.25">
      <c r="A357" s="27" t="s">
        <v>1033</v>
      </c>
      <c r="B357" s="23">
        <v>30769388</v>
      </c>
      <c r="C357" s="23"/>
      <c r="D357" s="23"/>
      <c r="E357" s="23">
        <v>2430</v>
      </c>
      <c r="F357" s="28">
        <v>3000</v>
      </c>
    </row>
    <row r="358" spans="1:6" ht="15.75" x14ac:dyDescent="0.25">
      <c r="A358" s="27" t="s">
        <v>1033</v>
      </c>
      <c r="B358" s="23">
        <v>40173371</v>
      </c>
      <c r="C358" s="23"/>
      <c r="D358" s="23"/>
      <c r="E358" s="23">
        <v>1043</v>
      </c>
      <c r="F358" s="28">
        <v>1750</v>
      </c>
    </row>
    <row r="359" spans="1:6" ht="15.75" x14ac:dyDescent="0.25">
      <c r="A359" s="27" t="s">
        <v>1033</v>
      </c>
      <c r="B359" s="23">
        <v>94012038</v>
      </c>
      <c r="C359" s="23"/>
      <c r="D359" s="23"/>
      <c r="E359" s="23">
        <v>3768</v>
      </c>
      <c r="F359" s="28">
        <v>4000</v>
      </c>
    </row>
    <row r="360" spans="1:6" ht="15.75" x14ac:dyDescent="0.25">
      <c r="A360" s="15" t="s">
        <v>1033</v>
      </c>
      <c r="B360" s="3">
        <v>500009297</v>
      </c>
      <c r="C360" s="3"/>
      <c r="D360" s="3"/>
      <c r="E360" s="3">
        <v>1040</v>
      </c>
      <c r="F360" s="25">
        <v>1200</v>
      </c>
    </row>
    <row r="361" spans="1:6" ht="15.75" x14ac:dyDescent="0.25">
      <c r="A361" s="27" t="s">
        <v>1033</v>
      </c>
      <c r="B361" s="23" t="s">
        <v>1028</v>
      </c>
      <c r="C361" s="23"/>
      <c r="D361" s="23"/>
      <c r="E361" s="23">
        <v>1134</v>
      </c>
      <c r="F361" s="28"/>
    </row>
    <row r="362" spans="1:6" ht="15.75" x14ac:dyDescent="0.25">
      <c r="A362" s="15" t="s">
        <v>1033</v>
      </c>
      <c r="B362" s="3" t="s">
        <v>341</v>
      </c>
      <c r="C362" s="3"/>
      <c r="D362" s="3"/>
      <c r="E362" s="3">
        <v>2246</v>
      </c>
      <c r="F362" s="25">
        <v>3200</v>
      </c>
    </row>
    <row r="363" spans="1:6" ht="15.75" x14ac:dyDescent="0.25">
      <c r="A363" s="15" t="s">
        <v>1033</v>
      </c>
      <c r="B363" s="3" t="s">
        <v>393</v>
      </c>
      <c r="C363" s="3"/>
      <c r="D363" s="3"/>
      <c r="E363" s="3">
        <v>682</v>
      </c>
      <c r="F363" s="25">
        <v>960</v>
      </c>
    </row>
    <row r="364" spans="1:6" ht="15.75" x14ac:dyDescent="0.25">
      <c r="A364" s="15" t="s">
        <v>1033</v>
      </c>
      <c r="B364" s="3" t="s">
        <v>46</v>
      </c>
      <c r="C364" s="3"/>
      <c r="D364" s="3"/>
      <c r="E364" s="3">
        <v>15177</v>
      </c>
      <c r="F364" s="25">
        <v>2300</v>
      </c>
    </row>
    <row r="365" spans="1:6" ht="15.75" x14ac:dyDescent="0.25">
      <c r="A365" s="15" t="s">
        <v>1033</v>
      </c>
      <c r="B365" s="3" t="s">
        <v>102</v>
      </c>
      <c r="C365" s="3"/>
      <c r="D365" s="3"/>
      <c r="E365" s="3">
        <v>250</v>
      </c>
      <c r="F365" s="25"/>
    </row>
    <row r="366" spans="1:6" ht="15.75" x14ac:dyDescent="0.25">
      <c r="A366" s="27" t="s">
        <v>1033</v>
      </c>
      <c r="B366" s="23" t="s">
        <v>1030</v>
      </c>
      <c r="C366" s="23"/>
      <c r="D366" s="23"/>
      <c r="E366" s="23">
        <v>478</v>
      </c>
      <c r="F366" s="28">
        <v>485</v>
      </c>
    </row>
    <row r="367" spans="1:6" ht="15.75" x14ac:dyDescent="0.25">
      <c r="A367" s="27" t="s">
        <v>1033</v>
      </c>
      <c r="B367" s="23" t="s">
        <v>1031</v>
      </c>
      <c r="C367" s="23"/>
      <c r="D367" s="23"/>
      <c r="E367" s="23">
        <v>1078</v>
      </c>
      <c r="F367" s="28">
        <v>3800</v>
      </c>
    </row>
    <row r="368" spans="1:6" ht="15.75" x14ac:dyDescent="0.25">
      <c r="A368" s="27" t="s">
        <v>1033</v>
      </c>
      <c r="B368" s="23" t="s">
        <v>176</v>
      </c>
      <c r="C368" s="23"/>
      <c r="D368" s="23"/>
      <c r="E368" s="23">
        <v>750</v>
      </c>
      <c r="F368" s="28">
        <v>1500</v>
      </c>
    </row>
    <row r="369" spans="1:6" ht="15.75" x14ac:dyDescent="0.25">
      <c r="A369" s="27" t="s">
        <v>1033</v>
      </c>
      <c r="B369" s="23" t="s">
        <v>1032</v>
      </c>
      <c r="C369" s="23"/>
      <c r="D369" s="23"/>
      <c r="E369" s="23">
        <v>338</v>
      </c>
      <c r="F369" s="28">
        <v>800</v>
      </c>
    </row>
    <row r="370" spans="1:6" ht="15.75" x14ac:dyDescent="0.25">
      <c r="A370" s="15" t="s">
        <v>1033</v>
      </c>
      <c r="B370" s="3" t="s">
        <v>614</v>
      </c>
      <c r="C370" s="3"/>
      <c r="D370" s="3"/>
      <c r="E370" s="3">
        <v>943</v>
      </c>
      <c r="F370" s="25">
        <v>1450</v>
      </c>
    </row>
    <row r="371" spans="1:6" ht="15.75" x14ac:dyDescent="0.25">
      <c r="A371" s="15" t="s">
        <v>1033</v>
      </c>
      <c r="B371" s="3" t="s">
        <v>216</v>
      </c>
      <c r="C371" s="3"/>
      <c r="D371" s="3"/>
      <c r="E371" s="3">
        <v>2870</v>
      </c>
      <c r="F371" s="25">
        <v>3000</v>
      </c>
    </row>
    <row r="372" spans="1:6" ht="15.75" x14ac:dyDescent="0.25">
      <c r="A372" s="27" t="s">
        <v>1036</v>
      </c>
      <c r="B372" s="23">
        <v>82248</v>
      </c>
      <c r="C372" s="23"/>
      <c r="D372" s="23"/>
      <c r="E372" s="23">
        <v>644</v>
      </c>
      <c r="F372" s="28">
        <v>1050</v>
      </c>
    </row>
    <row r="373" spans="1:6" ht="15.75" x14ac:dyDescent="0.25">
      <c r="A373" s="15" t="s">
        <v>1036</v>
      </c>
      <c r="B373" s="3">
        <v>6504080</v>
      </c>
      <c r="C373" s="3"/>
      <c r="D373" s="3"/>
      <c r="E373" s="3"/>
      <c r="F373" s="25"/>
    </row>
    <row r="374" spans="1:6" ht="15.75" x14ac:dyDescent="0.25">
      <c r="A374" s="15" t="s">
        <v>1036</v>
      </c>
      <c r="B374" s="3">
        <v>7320491</v>
      </c>
      <c r="C374" s="3"/>
      <c r="D374" s="3"/>
      <c r="E374" s="3">
        <v>1639</v>
      </c>
      <c r="F374" s="25">
        <v>1900</v>
      </c>
    </row>
    <row r="375" spans="1:6" ht="15.75" x14ac:dyDescent="0.25">
      <c r="A375" s="15" t="s">
        <v>1036</v>
      </c>
      <c r="B375" s="3">
        <v>11516076</v>
      </c>
      <c r="C375" s="3"/>
      <c r="D375" s="3"/>
      <c r="E375" s="3">
        <v>1440</v>
      </c>
      <c r="F375" s="25">
        <v>2200</v>
      </c>
    </row>
    <row r="376" spans="1:6" ht="15.75" x14ac:dyDescent="0.25">
      <c r="A376" s="27" t="s">
        <v>1036</v>
      </c>
      <c r="B376" s="23">
        <v>11546391</v>
      </c>
      <c r="C376" s="23"/>
      <c r="D376" s="23"/>
      <c r="E376" s="23" t="s">
        <v>1087</v>
      </c>
      <c r="F376" s="28">
        <v>4500</v>
      </c>
    </row>
    <row r="377" spans="1:6" ht="15.75" x14ac:dyDescent="0.25">
      <c r="A377" s="15" t="s">
        <v>1036</v>
      </c>
      <c r="B377" s="3">
        <v>11548414</v>
      </c>
      <c r="C377" s="3"/>
      <c r="D377" s="3"/>
      <c r="E377" s="3">
        <v>314</v>
      </c>
      <c r="F377" s="25">
        <v>485</v>
      </c>
    </row>
    <row r="378" spans="1:6" ht="15.75" x14ac:dyDescent="0.25">
      <c r="A378" s="15" t="s">
        <v>1036</v>
      </c>
      <c r="B378" s="3">
        <v>11588714</v>
      </c>
      <c r="C378" s="3"/>
      <c r="D378" s="3"/>
      <c r="E378" s="3">
        <v>1273</v>
      </c>
      <c r="F378" s="25">
        <v>1400</v>
      </c>
    </row>
    <row r="379" spans="1:6" ht="15.75" x14ac:dyDescent="0.25">
      <c r="A379" s="15" t="s">
        <v>1036</v>
      </c>
      <c r="B379" s="3">
        <v>11602292</v>
      </c>
      <c r="C379" s="3"/>
      <c r="D379" s="3"/>
      <c r="E379" s="3">
        <v>255</v>
      </c>
      <c r="F379" s="25">
        <v>1000</v>
      </c>
    </row>
    <row r="380" spans="1:6" ht="15.75" x14ac:dyDescent="0.25">
      <c r="A380" s="27" t="s">
        <v>1036</v>
      </c>
      <c r="B380" s="23">
        <v>11602904</v>
      </c>
      <c r="C380" s="23"/>
      <c r="D380" s="23"/>
      <c r="E380" s="23">
        <v>867</v>
      </c>
      <c r="F380" s="28"/>
    </row>
    <row r="381" spans="1:6" ht="15.75" x14ac:dyDescent="0.25">
      <c r="A381" s="27" t="s">
        <v>1036</v>
      </c>
      <c r="B381" s="23">
        <v>11604000</v>
      </c>
      <c r="C381" s="23"/>
      <c r="D381" s="23"/>
      <c r="E381" s="23">
        <v>513</v>
      </c>
      <c r="F381" s="28">
        <v>585</v>
      </c>
    </row>
    <row r="382" spans="1:6" ht="15.75" x14ac:dyDescent="0.25">
      <c r="A382" s="15" t="s">
        <v>1036</v>
      </c>
      <c r="B382" s="3">
        <v>11611548</v>
      </c>
      <c r="C382" s="3"/>
      <c r="D382" s="3"/>
      <c r="E382" s="3">
        <v>89</v>
      </c>
      <c r="F382" s="25">
        <v>100</v>
      </c>
    </row>
    <row r="383" spans="1:6" ht="15.75" x14ac:dyDescent="0.25">
      <c r="A383" s="27" t="s">
        <v>1036</v>
      </c>
      <c r="B383" s="23">
        <v>11612078</v>
      </c>
      <c r="C383" s="23"/>
      <c r="D383" s="23"/>
      <c r="E383" s="23">
        <v>1586</v>
      </c>
      <c r="F383" s="28">
        <v>1850</v>
      </c>
    </row>
    <row r="384" spans="1:6" ht="15.75" x14ac:dyDescent="0.25">
      <c r="A384" s="27" t="s">
        <v>1036</v>
      </c>
      <c r="B384" s="23">
        <v>11612261</v>
      </c>
      <c r="C384" s="23"/>
      <c r="D384" s="23"/>
      <c r="E384" s="23">
        <v>159</v>
      </c>
      <c r="F384" s="28">
        <v>300</v>
      </c>
    </row>
    <row r="385" spans="1:6" ht="15.75" x14ac:dyDescent="0.25">
      <c r="A385" s="15" t="s">
        <v>1036</v>
      </c>
      <c r="B385" s="3">
        <v>40073474</v>
      </c>
      <c r="C385" s="3"/>
      <c r="D385" s="3"/>
      <c r="E385" s="3">
        <v>49</v>
      </c>
      <c r="F385" s="25">
        <v>150</v>
      </c>
    </row>
    <row r="386" spans="1:6" ht="15.75" x14ac:dyDescent="0.25">
      <c r="A386" s="27" t="s">
        <v>1036</v>
      </c>
      <c r="B386" s="23">
        <v>54041001</v>
      </c>
      <c r="C386" s="23"/>
      <c r="D386" s="23"/>
      <c r="E386" s="23">
        <v>222</v>
      </c>
      <c r="F386" s="28">
        <v>225</v>
      </c>
    </row>
    <row r="387" spans="1:6" ht="15.75" x14ac:dyDescent="0.25">
      <c r="A387" s="27" t="s">
        <v>1036</v>
      </c>
      <c r="B387" s="23">
        <v>1420503001</v>
      </c>
      <c r="C387" s="23"/>
      <c r="D387" s="23"/>
      <c r="E387" s="23">
        <v>782</v>
      </c>
      <c r="F387" s="28">
        <v>1500</v>
      </c>
    </row>
    <row r="388" spans="1:6" ht="15.75" x14ac:dyDescent="0.25">
      <c r="A388" s="15" t="s">
        <v>1036</v>
      </c>
      <c r="B388" s="3" t="s">
        <v>332</v>
      </c>
      <c r="C388" s="3"/>
      <c r="D388" s="3"/>
      <c r="E388" s="3">
        <v>558</v>
      </c>
      <c r="F388" s="25">
        <v>800</v>
      </c>
    </row>
    <row r="389" spans="1:6" ht="15.75" x14ac:dyDescent="0.25">
      <c r="A389" s="27" t="s">
        <v>1036</v>
      </c>
      <c r="B389" s="23" t="s">
        <v>175</v>
      </c>
      <c r="C389" s="23"/>
      <c r="D389" s="23"/>
      <c r="E389" s="23" t="s">
        <v>1087</v>
      </c>
      <c r="F389" s="28">
        <v>750</v>
      </c>
    </row>
    <row r="390" spans="1:6" ht="15.75" x14ac:dyDescent="0.25">
      <c r="A390" s="15" t="s">
        <v>1036</v>
      </c>
      <c r="B390" s="3" t="s">
        <v>209</v>
      </c>
      <c r="C390" s="3"/>
      <c r="D390" s="3"/>
      <c r="E390" s="3">
        <v>332</v>
      </c>
      <c r="F390" s="25">
        <v>400</v>
      </c>
    </row>
    <row r="391" spans="1:6" ht="15.75" x14ac:dyDescent="0.25">
      <c r="A391" s="15" t="s">
        <v>1036</v>
      </c>
      <c r="B391" s="3" t="s">
        <v>832</v>
      </c>
      <c r="C391" s="3"/>
      <c r="D391" s="3"/>
      <c r="E391" s="3">
        <v>666</v>
      </c>
      <c r="F391" s="25">
        <v>750</v>
      </c>
    </row>
    <row r="392" spans="1:6" ht="15.75" x14ac:dyDescent="0.25">
      <c r="A392" s="15" t="s">
        <v>1036</v>
      </c>
      <c r="B392" s="3" t="s">
        <v>258</v>
      </c>
      <c r="C392" s="3"/>
      <c r="D392" s="3"/>
      <c r="E392" s="3">
        <v>208</v>
      </c>
      <c r="F392" s="25">
        <v>290</v>
      </c>
    </row>
    <row r="393" spans="1:6" ht="15.75" x14ac:dyDescent="0.25">
      <c r="A393" s="15" t="s">
        <v>1036</v>
      </c>
      <c r="B393" s="3" t="s">
        <v>607</v>
      </c>
      <c r="C393" s="3"/>
      <c r="D393" s="3"/>
      <c r="E393" s="3">
        <v>406</v>
      </c>
      <c r="F393" s="25">
        <v>700</v>
      </c>
    </row>
    <row r="394" spans="1:6" ht="15.75" x14ac:dyDescent="0.25">
      <c r="A394" s="15" t="s">
        <v>1036</v>
      </c>
      <c r="B394" s="3" t="s">
        <v>208</v>
      </c>
      <c r="C394" s="3"/>
      <c r="D394" s="3"/>
      <c r="E394" s="3" t="s">
        <v>1087</v>
      </c>
      <c r="F394" s="25"/>
    </row>
    <row r="395" spans="1:6" ht="15.75" x14ac:dyDescent="0.25">
      <c r="A395" s="15" t="s">
        <v>1036</v>
      </c>
      <c r="B395" s="3" t="s">
        <v>459</v>
      </c>
      <c r="C395" s="3"/>
      <c r="D395" s="3"/>
      <c r="E395" s="3">
        <v>1084</v>
      </c>
      <c r="F395" s="25">
        <v>1250</v>
      </c>
    </row>
    <row r="396" spans="1:6" ht="15.75" x14ac:dyDescent="0.25">
      <c r="A396" s="15" t="s">
        <v>1036</v>
      </c>
      <c r="B396" s="3" t="s">
        <v>391</v>
      </c>
      <c r="C396" s="3"/>
      <c r="D396" s="3"/>
      <c r="E396" s="3">
        <v>1695</v>
      </c>
      <c r="F396" s="25"/>
    </row>
    <row r="397" spans="1:6" ht="15.75" x14ac:dyDescent="0.25">
      <c r="A397" s="27" t="s">
        <v>1036</v>
      </c>
      <c r="B397" s="23" t="s">
        <v>365</v>
      </c>
      <c r="C397" s="23"/>
      <c r="D397" s="23"/>
      <c r="E397" s="23">
        <v>538</v>
      </c>
      <c r="F397" s="28">
        <v>1000</v>
      </c>
    </row>
    <row r="398" spans="1:6" ht="15.75" x14ac:dyDescent="0.25">
      <c r="A398" s="15" t="s">
        <v>1036</v>
      </c>
      <c r="B398" s="3" t="s">
        <v>89</v>
      </c>
      <c r="C398" s="3"/>
      <c r="D398" s="3"/>
      <c r="E398" s="3">
        <v>188</v>
      </c>
      <c r="F398" s="25">
        <v>280</v>
      </c>
    </row>
    <row r="399" spans="1:6" ht="15.75" x14ac:dyDescent="0.25">
      <c r="A399" s="27" t="s">
        <v>1036</v>
      </c>
      <c r="B399" s="23" t="s">
        <v>1038</v>
      </c>
      <c r="C399" s="23"/>
      <c r="D399" s="23"/>
      <c r="E399" s="23">
        <v>1611</v>
      </c>
      <c r="F399" s="28">
        <v>1850</v>
      </c>
    </row>
    <row r="400" spans="1:6" ht="15.75" x14ac:dyDescent="0.25">
      <c r="A400" s="27" t="s">
        <v>1036</v>
      </c>
      <c r="B400" s="23" t="s">
        <v>867</v>
      </c>
      <c r="C400" s="23"/>
      <c r="D400" s="23"/>
      <c r="E400" s="23">
        <v>568</v>
      </c>
      <c r="F400" s="28"/>
    </row>
    <row r="401" spans="1:6" ht="15.75" x14ac:dyDescent="0.25">
      <c r="A401" s="27" t="s">
        <v>1036</v>
      </c>
      <c r="B401" s="23" t="s">
        <v>16</v>
      </c>
      <c r="C401" s="23"/>
      <c r="D401" s="23"/>
      <c r="E401" s="23">
        <v>2713</v>
      </c>
      <c r="F401" s="28">
        <v>4000</v>
      </c>
    </row>
    <row r="402" spans="1:6" ht="15.75" x14ac:dyDescent="0.25">
      <c r="A402" s="27" t="s">
        <v>1036</v>
      </c>
      <c r="B402" s="23" t="s">
        <v>136</v>
      </c>
      <c r="C402" s="23"/>
      <c r="D402" s="23"/>
      <c r="E402" s="23">
        <v>105</v>
      </c>
      <c r="F402" s="28">
        <v>135</v>
      </c>
    </row>
    <row r="403" spans="1:6" ht="15.75" x14ac:dyDescent="0.25">
      <c r="A403" s="15" t="s">
        <v>1036</v>
      </c>
      <c r="B403" s="3" t="s">
        <v>100</v>
      </c>
      <c r="C403" s="3"/>
      <c r="D403" s="3"/>
      <c r="E403" s="3">
        <v>282</v>
      </c>
      <c r="F403" s="25">
        <v>585</v>
      </c>
    </row>
    <row r="404" spans="1:6" ht="15.75" x14ac:dyDescent="0.25">
      <c r="A404" s="27" t="s">
        <v>1036</v>
      </c>
      <c r="B404" s="23" t="s">
        <v>1037</v>
      </c>
      <c r="C404" s="23"/>
      <c r="D404" s="23"/>
      <c r="E404" s="23">
        <v>423</v>
      </c>
      <c r="F404" s="28"/>
    </row>
    <row r="405" spans="1:6" ht="15.75" x14ac:dyDescent="0.25">
      <c r="A405" s="27" t="s">
        <v>1035</v>
      </c>
      <c r="B405" s="23">
        <v>82244</v>
      </c>
      <c r="C405" s="23"/>
      <c r="D405" s="23"/>
      <c r="E405" s="23">
        <v>471</v>
      </c>
      <c r="F405" s="28">
        <v>600</v>
      </c>
    </row>
    <row r="406" spans="1:6" ht="15.75" x14ac:dyDescent="0.25">
      <c r="A406" s="15" t="s">
        <v>1035</v>
      </c>
      <c r="B406" s="3">
        <v>91058</v>
      </c>
      <c r="C406" s="3"/>
      <c r="D406" s="3"/>
      <c r="E406" s="3">
        <v>1050</v>
      </c>
      <c r="F406" s="25">
        <v>1200</v>
      </c>
    </row>
    <row r="407" spans="1:6" ht="15.75" x14ac:dyDescent="0.25">
      <c r="A407" s="15" t="s">
        <v>1035</v>
      </c>
      <c r="B407" s="3">
        <v>92468</v>
      </c>
      <c r="C407" s="3"/>
      <c r="D407" s="3"/>
      <c r="E407" s="3">
        <v>342</v>
      </c>
      <c r="F407" s="25">
        <v>1000</v>
      </c>
    </row>
    <row r="408" spans="1:6" ht="15.75" x14ac:dyDescent="0.25">
      <c r="A408" s="27" t="s">
        <v>1035</v>
      </c>
      <c r="B408" s="23">
        <v>11514597</v>
      </c>
      <c r="C408" s="23"/>
      <c r="D408" s="23"/>
      <c r="E408" s="23"/>
      <c r="F408" s="28"/>
    </row>
    <row r="409" spans="1:6" ht="15.75" x14ac:dyDescent="0.25">
      <c r="A409" s="27" t="s">
        <v>1035</v>
      </c>
      <c r="B409" s="23">
        <v>11518428</v>
      </c>
      <c r="C409" s="23"/>
      <c r="D409" s="23"/>
      <c r="E409" s="23">
        <v>692</v>
      </c>
      <c r="F409" s="28">
        <v>1200</v>
      </c>
    </row>
    <row r="410" spans="1:6" ht="15.75" x14ac:dyDescent="0.25">
      <c r="A410" s="27" t="s">
        <v>1035</v>
      </c>
      <c r="B410" s="23">
        <v>11546366</v>
      </c>
      <c r="C410" s="23"/>
      <c r="D410" s="23"/>
      <c r="E410" s="23"/>
      <c r="F410" s="28">
        <v>1000</v>
      </c>
    </row>
    <row r="411" spans="1:6" ht="15.75" x14ac:dyDescent="0.25">
      <c r="A411" s="27" t="s">
        <v>1035</v>
      </c>
      <c r="B411" s="23">
        <v>11546368</v>
      </c>
      <c r="C411" s="23"/>
      <c r="D411" s="23"/>
      <c r="E411" s="23">
        <v>404</v>
      </c>
      <c r="F411" s="28">
        <v>450</v>
      </c>
    </row>
    <row r="412" spans="1:6" ht="15.75" x14ac:dyDescent="0.25">
      <c r="A412" s="15" t="s">
        <v>1035</v>
      </c>
      <c r="B412" s="3">
        <v>11546566</v>
      </c>
      <c r="C412" s="3"/>
      <c r="D412" s="3"/>
      <c r="E412" s="3">
        <v>1413</v>
      </c>
      <c r="F412" s="25">
        <v>1800</v>
      </c>
    </row>
    <row r="413" spans="1:6" ht="15.75" x14ac:dyDescent="0.25">
      <c r="A413" s="15" t="s">
        <v>1035</v>
      </c>
      <c r="B413" s="3">
        <v>11547369</v>
      </c>
      <c r="C413" s="3"/>
      <c r="D413" s="3"/>
      <c r="E413" s="3">
        <v>232</v>
      </c>
      <c r="F413" s="25">
        <v>250</v>
      </c>
    </row>
    <row r="414" spans="1:6" ht="15.75" x14ac:dyDescent="0.25">
      <c r="A414" s="15" t="s">
        <v>1035</v>
      </c>
      <c r="B414" s="3">
        <v>11548414</v>
      </c>
      <c r="C414" s="3"/>
      <c r="D414" s="3"/>
      <c r="E414" s="3">
        <v>454</v>
      </c>
      <c r="F414" s="26">
        <v>485</v>
      </c>
    </row>
    <row r="415" spans="1:6" ht="15.75" x14ac:dyDescent="0.25">
      <c r="A415" s="27" t="s">
        <v>1035</v>
      </c>
      <c r="B415" s="23">
        <v>11569637</v>
      </c>
      <c r="C415" s="23"/>
      <c r="D415" s="23"/>
      <c r="E415" s="23">
        <v>584</v>
      </c>
      <c r="F415" s="28">
        <v>900</v>
      </c>
    </row>
    <row r="416" spans="1:6" ht="15.75" x14ac:dyDescent="0.25">
      <c r="A416" s="15" t="s">
        <v>1035</v>
      </c>
      <c r="B416" s="3">
        <v>11602326</v>
      </c>
      <c r="C416" s="3"/>
      <c r="D416" s="3"/>
      <c r="E416" s="3" t="s">
        <v>1087</v>
      </c>
      <c r="F416" s="25"/>
    </row>
    <row r="417" spans="1:6" ht="15.75" x14ac:dyDescent="0.25">
      <c r="A417" s="15" t="s">
        <v>1035</v>
      </c>
      <c r="B417" s="3">
        <v>11604852</v>
      </c>
      <c r="C417" s="3"/>
      <c r="D417" s="3"/>
      <c r="E417" s="3" t="s">
        <v>1087</v>
      </c>
      <c r="F417" s="25"/>
    </row>
    <row r="418" spans="1:6" ht="15.75" x14ac:dyDescent="0.25">
      <c r="A418" s="27" t="s">
        <v>1035</v>
      </c>
      <c r="B418" s="23">
        <v>11609826</v>
      </c>
      <c r="C418" s="23"/>
      <c r="D418" s="23"/>
      <c r="E418" s="23">
        <v>120</v>
      </c>
      <c r="F418" s="28">
        <v>175</v>
      </c>
    </row>
    <row r="419" spans="1:6" ht="15.75" x14ac:dyDescent="0.25">
      <c r="A419" s="15" t="s">
        <v>1035</v>
      </c>
      <c r="B419" s="3">
        <v>11611883</v>
      </c>
      <c r="C419" s="3"/>
      <c r="D419" s="3"/>
      <c r="E419" s="3" t="s">
        <v>1087</v>
      </c>
      <c r="F419" s="25">
        <v>5500</v>
      </c>
    </row>
    <row r="420" spans="1:6" ht="15.75" x14ac:dyDescent="0.25">
      <c r="A420" s="27" t="s">
        <v>1035</v>
      </c>
      <c r="B420" s="23">
        <v>11611990</v>
      </c>
      <c r="C420" s="23"/>
      <c r="D420" s="23"/>
      <c r="E420" s="23">
        <v>591</v>
      </c>
      <c r="F420" s="28">
        <v>800</v>
      </c>
    </row>
    <row r="421" spans="1:6" ht="15.75" x14ac:dyDescent="0.25">
      <c r="A421" s="15" t="s">
        <v>1035</v>
      </c>
      <c r="B421" s="3">
        <v>40109770</v>
      </c>
      <c r="C421" s="3"/>
      <c r="D421" s="3"/>
      <c r="E421" s="3">
        <v>229</v>
      </c>
      <c r="F421" s="25">
        <v>250</v>
      </c>
    </row>
    <row r="422" spans="1:6" ht="15.75" x14ac:dyDescent="0.25">
      <c r="A422" s="27" t="s">
        <v>1035</v>
      </c>
      <c r="B422" s="23">
        <v>500009196</v>
      </c>
      <c r="C422" s="23"/>
      <c r="D422" s="23"/>
      <c r="E422" s="23">
        <v>380</v>
      </c>
      <c r="F422" s="28">
        <v>1200</v>
      </c>
    </row>
    <row r="423" spans="1:6" ht="15.75" x14ac:dyDescent="0.25">
      <c r="A423" s="15" t="s">
        <v>1035</v>
      </c>
      <c r="B423" s="3" t="s">
        <v>615</v>
      </c>
      <c r="C423" s="3"/>
      <c r="D423" s="3"/>
      <c r="E423" s="3">
        <v>1093</v>
      </c>
      <c r="F423" s="25">
        <v>3000</v>
      </c>
    </row>
    <row r="424" spans="1:6" ht="15.75" x14ac:dyDescent="0.25">
      <c r="A424" s="15" t="s">
        <v>1035</v>
      </c>
      <c r="B424" s="3" t="s">
        <v>393</v>
      </c>
      <c r="C424" s="3">
        <v>560</v>
      </c>
      <c r="D424" s="3"/>
      <c r="E424" s="3">
        <v>960</v>
      </c>
      <c r="F424" s="25"/>
    </row>
    <row r="425" spans="1:6" ht="15.75" x14ac:dyDescent="0.25">
      <c r="A425" s="27" t="s">
        <v>1035</v>
      </c>
      <c r="B425" s="23" t="s">
        <v>1040</v>
      </c>
      <c r="C425" s="23"/>
      <c r="D425" s="23"/>
      <c r="E425" s="23">
        <v>166</v>
      </c>
      <c r="F425" s="28">
        <v>170</v>
      </c>
    </row>
    <row r="426" spans="1:6" ht="15.75" x14ac:dyDescent="0.25">
      <c r="A426" s="27" t="s">
        <v>1035</v>
      </c>
      <c r="B426" s="23" t="s">
        <v>437</v>
      </c>
      <c r="C426" s="23"/>
      <c r="D426" s="23"/>
      <c r="E426" s="23">
        <v>254</v>
      </c>
      <c r="F426" s="28">
        <v>670</v>
      </c>
    </row>
    <row r="427" spans="1:6" ht="15.75" x14ac:dyDescent="0.25">
      <c r="A427" s="15" t="s">
        <v>1035</v>
      </c>
      <c r="B427" s="3" t="s">
        <v>1043</v>
      </c>
      <c r="C427" s="3"/>
      <c r="D427" s="3"/>
      <c r="E427" s="3" t="s">
        <v>1087</v>
      </c>
      <c r="F427" s="25"/>
    </row>
    <row r="428" spans="1:6" ht="15.75" x14ac:dyDescent="0.25">
      <c r="A428" s="27" t="s">
        <v>1035</v>
      </c>
      <c r="B428" s="23" t="s">
        <v>398</v>
      </c>
      <c r="C428" s="23"/>
      <c r="D428" s="23"/>
      <c r="E428" s="23">
        <v>1700</v>
      </c>
      <c r="F428" s="28">
        <v>1950</v>
      </c>
    </row>
    <row r="429" spans="1:6" ht="15.75" x14ac:dyDescent="0.25">
      <c r="A429" s="27" t="s">
        <v>1035</v>
      </c>
      <c r="B429" s="23" t="s">
        <v>1039</v>
      </c>
      <c r="C429" s="23"/>
      <c r="D429" s="23"/>
      <c r="E429" s="23">
        <v>1060</v>
      </c>
      <c r="F429" s="28"/>
    </row>
    <row r="430" spans="1:6" ht="15.75" x14ac:dyDescent="0.25">
      <c r="A430" s="27" t="s">
        <v>1035</v>
      </c>
      <c r="B430" s="23" t="s">
        <v>143</v>
      </c>
      <c r="C430" s="23"/>
      <c r="D430" s="23"/>
      <c r="E430" s="23" t="s">
        <v>1087</v>
      </c>
      <c r="F430" s="28"/>
    </row>
    <row r="431" spans="1:6" ht="15.75" x14ac:dyDescent="0.25">
      <c r="A431" s="15" t="s">
        <v>1035</v>
      </c>
      <c r="B431" s="3" t="s">
        <v>212</v>
      </c>
      <c r="C431" s="3"/>
      <c r="D431" s="3"/>
      <c r="E431" s="3"/>
      <c r="F431" s="25"/>
    </row>
    <row r="432" spans="1:6" ht="15.75" x14ac:dyDescent="0.25">
      <c r="A432" s="27" t="s">
        <v>1035</v>
      </c>
      <c r="B432" s="23" t="s">
        <v>1042</v>
      </c>
      <c r="C432" s="23"/>
      <c r="D432" s="23"/>
      <c r="E432" s="23">
        <v>233</v>
      </c>
      <c r="F432" s="28">
        <v>300</v>
      </c>
    </row>
    <row r="433" spans="1:6" ht="15.75" x14ac:dyDescent="0.25">
      <c r="A433" s="15" t="s">
        <v>1035</v>
      </c>
      <c r="B433" s="3" t="s">
        <v>89</v>
      </c>
      <c r="C433" s="3"/>
      <c r="D433" s="3"/>
      <c r="E433" s="3">
        <v>239</v>
      </c>
      <c r="F433" s="25">
        <v>400</v>
      </c>
    </row>
    <row r="434" spans="1:6" ht="15.75" x14ac:dyDescent="0.25">
      <c r="A434" s="27" t="s">
        <v>1035</v>
      </c>
      <c r="B434" s="23" t="s">
        <v>1044</v>
      </c>
      <c r="C434" s="23"/>
      <c r="D434" s="23"/>
      <c r="E434" s="23">
        <v>270</v>
      </c>
      <c r="F434" s="28"/>
    </row>
    <row r="435" spans="1:6" ht="15.75" x14ac:dyDescent="0.25">
      <c r="A435" s="27" t="s">
        <v>1035</v>
      </c>
      <c r="B435" s="23" t="s">
        <v>1041</v>
      </c>
      <c r="C435" s="23"/>
      <c r="D435" s="23"/>
      <c r="E435" s="23" t="s">
        <v>1087</v>
      </c>
      <c r="F435" s="28"/>
    </row>
    <row r="436" spans="1:6" ht="15.75" x14ac:dyDescent="0.25">
      <c r="A436" s="15" t="s">
        <v>1034</v>
      </c>
      <c r="B436" s="3">
        <v>82253</v>
      </c>
      <c r="C436" s="3"/>
      <c r="D436" s="3"/>
      <c r="E436" s="3">
        <v>1265</v>
      </c>
      <c r="F436" s="25">
        <v>1350</v>
      </c>
    </row>
    <row r="437" spans="1:6" ht="15.75" x14ac:dyDescent="0.25">
      <c r="A437" s="15" t="s">
        <v>1034</v>
      </c>
      <c r="B437" s="3">
        <v>11546377</v>
      </c>
      <c r="C437" s="3"/>
      <c r="D437" s="3"/>
      <c r="E437" s="3">
        <v>202</v>
      </c>
      <c r="F437" s="25">
        <v>2150</v>
      </c>
    </row>
    <row r="438" spans="1:6" ht="15.75" x14ac:dyDescent="0.25">
      <c r="A438" s="15" t="s">
        <v>1034</v>
      </c>
      <c r="B438" s="3">
        <v>11546449</v>
      </c>
      <c r="C438" s="3"/>
      <c r="D438" s="3"/>
      <c r="E438" s="3">
        <v>860</v>
      </c>
      <c r="F438" s="25">
        <v>2500</v>
      </c>
    </row>
    <row r="439" spans="1:6" ht="15.75" x14ac:dyDescent="0.25">
      <c r="A439" s="15" t="s">
        <v>1034</v>
      </c>
      <c r="B439" s="3">
        <v>11546545</v>
      </c>
      <c r="C439" s="3"/>
      <c r="D439" s="3"/>
      <c r="E439" s="3">
        <v>2035</v>
      </c>
      <c r="F439" s="25">
        <v>2500</v>
      </c>
    </row>
    <row r="440" spans="1:6" ht="15.75" x14ac:dyDescent="0.25">
      <c r="A440" s="15" t="s">
        <v>1034</v>
      </c>
      <c r="B440" s="3">
        <v>11546703</v>
      </c>
      <c r="C440" s="3"/>
      <c r="D440" s="3"/>
      <c r="E440" s="3">
        <v>1678</v>
      </c>
      <c r="F440" s="25">
        <v>4000</v>
      </c>
    </row>
    <row r="441" spans="1:6" ht="15.75" x14ac:dyDescent="0.25">
      <c r="A441" s="27" t="s">
        <v>1034</v>
      </c>
      <c r="B441" s="23">
        <v>11547830</v>
      </c>
      <c r="C441" s="23"/>
      <c r="D441" s="23"/>
      <c r="E441" s="23">
        <v>127</v>
      </c>
      <c r="F441" s="28">
        <v>275</v>
      </c>
    </row>
    <row r="442" spans="1:6" ht="15.75" x14ac:dyDescent="0.25">
      <c r="A442" s="15" t="s">
        <v>1034</v>
      </c>
      <c r="B442" s="3">
        <v>11548535</v>
      </c>
      <c r="C442" s="3"/>
      <c r="D442" s="3"/>
      <c r="E442" s="3">
        <v>118</v>
      </c>
      <c r="F442" s="25">
        <v>150</v>
      </c>
    </row>
    <row r="443" spans="1:6" ht="15.75" x14ac:dyDescent="0.25">
      <c r="A443" s="15" t="s">
        <v>1034</v>
      </c>
      <c r="B443" s="3">
        <v>11588293</v>
      </c>
      <c r="C443" s="3"/>
      <c r="D443" s="3"/>
      <c r="E443" s="3" t="s">
        <v>1087</v>
      </c>
      <c r="F443" s="25">
        <v>1150</v>
      </c>
    </row>
    <row r="444" spans="1:6" ht="15.75" x14ac:dyDescent="0.25">
      <c r="A444" s="15" t="s">
        <v>1034</v>
      </c>
      <c r="B444" s="3">
        <v>11588714</v>
      </c>
      <c r="C444" s="3"/>
      <c r="D444" s="3"/>
      <c r="E444" s="3">
        <v>848</v>
      </c>
      <c r="F444" s="25">
        <v>1400</v>
      </c>
    </row>
    <row r="445" spans="1:6" ht="15.75" x14ac:dyDescent="0.25">
      <c r="A445" s="15" t="s">
        <v>1034</v>
      </c>
      <c r="B445" s="3">
        <v>11602031</v>
      </c>
      <c r="C445" s="3"/>
      <c r="D445" s="3"/>
      <c r="E445" s="3">
        <v>93</v>
      </c>
      <c r="F445" s="25">
        <v>145</v>
      </c>
    </row>
    <row r="446" spans="1:6" ht="15.75" x14ac:dyDescent="0.25">
      <c r="A446" s="27" t="s">
        <v>1034</v>
      </c>
      <c r="B446" s="23">
        <v>11604183</v>
      </c>
      <c r="C446" s="23"/>
      <c r="D446" s="23"/>
      <c r="E446" s="23">
        <v>272</v>
      </c>
      <c r="F446" s="28">
        <v>370</v>
      </c>
    </row>
    <row r="447" spans="1:6" ht="15.75" x14ac:dyDescent="0.25">
      <c r="A447" s="15" t="s">
        <v>1034</v>
      </c>
      <c r="B447" s="3">
        <v>11610126</v>
      </c>
      <c r="C447" s="3"/>
      <c r="D447" s="3"/>
      <c r="E447" s="3">
        <v>610</v>
      </c>
      <c r="F447" s="25">
        <v>1200</v>
      </c>
    </row>
    <row r="448" spans="1:6" ht="15.75" x14ac:dyDescent="0.25">
      <c r="A448" s="15" t="s">
        <v>1034</v>
      </c>
      <c r="B448" s="3">
        <v>11610128</v>
      </c>
      <c r="C448" s="3"/>
      <c r="D448" s="3"/>
      <c r="E448" s="3">
        <v>898</v>
      </c>
      <c r="F448" s="25">
        <v>1125</v>
      </c>
    </row>
    <row r="449" spans="1:6" ht="15.75" x14ac:dyDescent="0.25">
      <c r="A449" s="15" t="s">
        <v>1034</v>
      </c>
      <c r="B449" s="3">
        <v>40161567</v>
      </c>
      <c r="C449" s="3"/>
      <c r="D449" s="3"/>
      <c r="E449" s="3">
        <v>172</v>
      </c>
      <c r="F449" s="25">
        <v>175</v>
      </c>
    </row>
    <row r="450" spans="1:6" ht="15.75" x14ac:dyDescent="0.25">
      <c r="A450" s="15" t="s">
        <v>1034</v>
      </c>
      <c r="B450" s="3">
        <v>94012039</v>
      </c>
      <c r="C450" s="3"/>
      <c r="D450" s="3"/>
      <c r="E450" s="3">
        <v>1092</v>
      </c>
      <c r="F450" s="25">
        <v>2000</v>
      </c>
    </row>
    <row r="451" spans="1:6" ht="15.75" x14ac:dyDescent="0.25">
      <c r="A451" s="15" t="s">
        <v>1034</v>
      </c>
      <c r="B451" s="3" t="s">
        <v>615</v>
      </c>
      <c r="C451" s="3"/>
      <c r="D451" s="3"/>
      <c r="E451" s="3">
        <v>1778</v>
      </c>
      <c r="F451" s="25">
        <v>3000</v>
      </c>
    </row>
    <row r="452" spans="1:6" ht="15.75" x14ac:dyDescent="0.25">
      <c r="A452" s="15" t="s">
        <v>1034</v>
      </c>
      <c r="B452" s="3" t="s">
        <v>92</v>
      </c>
      <c r="C452" s="3"/>
      <c r="D452" s="3"/>
      <c r="E452" s="3">
        <v>605</v>
      </c>
      <c r="F452" s="25">
        <v>1000</v>
      </c>
    </row>
    <row r="453" spans="1:6" ht="15.75" x14ac:dyDescent="0.25">
      <c r="A453" s="15" t="s">
        <v>1034</v>
      </c>
      <c r="B453" s="3" t="s">
        <v>142</v>
      </c>
      <c r="C453" s="3"/>
      <c r="D453" s="3"/>
      <c r="E453" s="3">
        <v>514</v>
      </c>
      <c r="F453" s="25">
        <v>620</v>
      </c>
    </row>
    <row r="454" spans="1:6" ht="15.75" x14ac:dyDescent="0.25">
      <c r="A454" s="15" t="s">
        <v>1034</v>
      </c>
      <c r="B454" s="3" t="s">
        <v>55</v>
      </c>
      <c r="C454" s="3"/>
      <c r="D454" s="3"/>
      <c r="E454" s="3">
        <v>339</v>
      </c>
      <c r="F454" s="25"/>
    </row>
    <row r="455" spans="1:6" ht="15.75" x14ac:dyDescent="0.25">
      <c r="A455" s="15" t="s">
        <v>1034</v>
      </c>
      <c r="B455" s="3" t="s">
        <v>94</v>
      </c>
      <c r="C455" s="3"/>
      <c r="D455" s="3"/>
      <c r="E455" s="3">
        <v>336</v>
      </c>
      <c r="F455" s="25">
        <v>410</v>
      </c>
    </row>
    <row r="456" spans="1:6" ht="15.75" x14ac:dyDescent="0.25">
      <c r="A456" s="15" t="s">
        <v>1034</v>
      </c>
      <c r="B456" s="3" t="s">
        <v>624</v>
      </c>
      <c r="C456" s="3"/>
      <c r="D456" s="3"/>
      <c r="E456" s="3">
        <v>587</v>
      </c>
      <c r="F456" s="25">
        <v>750</v>
      </c>
    </row>
    <row r="457" spans="1:6" ht="15.75" x14ac:dyDescent="0.25">
      <c r="A457" s="27" t="s">
        <v>1034</v>
      </c>
      <c r="B457" s="23" t="s">
        <v>362</v>
      </c>
      <c r="C457" s="23"/>
      <c r="D457" s="23"/>
      <c r="E457" s="23">
        <v>370</v>
      </c>
      <c r="F457" s="28">
        <v>440</v>
      </c>
    </row>
    <row r="458" spans="1:6" ht="15.75" x14ac:dyDescent="0.25">
      <c r="A458" s="27" t="s">
        <v>1034</v>
      </c>
      <c r="B458" s="23" t="s">
        <v>809</v>
      </c>
      <c r="C458" s="23"/>
      <c r="D458" s="23"/>
      <c r="E458" s="23" t="s">
        <v>1087</v>
      </c>
      <c r="F458" s="28"/>
    </row>
    <row r="459" spans="1:6" ht="15.75" x14ac:dyDescent="0.25">
      <c r="A459" s="15" t="s">
        <v>1034</v>
      </c>
      <c r="B459" s="3" t="s">
        <v>90</v>
      </c>
      <c r="C459" s="3"/>
      <c r="D459" s="3"/>
      <c r="E459" s="3">
        <v>1780</v>
      </c>
      <c r="F459" s="25">
        <v>3500</v>
      </c>
    </row>
    <row r="460" spans="1:6" ht="15.75" x14ac:dyDescent="0.25">
      <c r="A460" s="15" t="s">
        <v>1034</v>
      </c>
      <c r="B460" s="3" t="s">
        <v>90</v>
      </c>
      <c r="C460" s="3"/>
      <c r="D460" s="3"/>
      <c r="E460" s="3" t="s">
        <v>1087</v>
      </c>
      <c r="F460" s="25"/>
    </row>
    <row r="461" spans="1:6" ht="15.75" x14ac:dyDescent="0.25">
      <c r="A461" s="15" t="s">
        <v>1034</v>
      </c>
      <c r="B461" s="3" t="s">
        <v>48</v>
      </c>
      <c r="C461" s="3"/>
      <c r="D461" s="3"/>
      <c r="E461" s="3">
        <v>679</v>
      </c>
      <c r="F461" s="25">
        <v>700</v>
      </c>
    </row>
    <row r="462" spans="1:6" ht="15.75" x14ac:dyDescent="0.25">
      <c r="A462" s="15" t="s">
        <v>1034</v>
      </c>
      <c r="B462" s="3" t="s">
        <v>145</v>
      </c>
      <c r="C462" s="3"/>
      <c r="D462" s="3"/>
      <c r="E462" s="3">
        <v>290</v>
      </c>
      <c r="F462" s="25">
        <v>450</v>
      </c>
    </row>
    <row r="463" spans="1:6" ht="15.75" x14ac:dyDescent="0.25">
      <c r="A463" s="27" t="s">
        <v>1034</v>
      </c>
      <c r="B463" s="23" t="s">
        <v>1045</v>
      </c>
      <c r="C463" s="23"/>
      <c r="D463" s="23"/>
      <c r="E463" s="23">
        <v>447</v>
      </c>
      <c r="F463" s="28">
        <v>725</v>
      </c>
    </row>
    <row r="464" spans="1:6" ht="15.75" x14ac:dyDescent="0.25">
      <c r="A464" s="27" t="s">
        <v>1034</v>
      </c>
      <c r="B464" s="23" t="s">
        <v>727</v>
      </c>
      <c r="C464" s="23"/>
      <c r="D464" s="23"/>
      <c r="E464" s="23">
        <v>398</v>
      </c>
      <c r="F464" s="28">
        <v>600</v>
      </c>
    </row>
    <row r="465" spans="1:6" ht="15.75" x14ac:dyDescent="0.25">
      <c r="A465" s="15" t="s">
        <v>1034</v>
      </c>
      <c r="B465" s="3" t="s">
        <v>15</v>
      </c>
      <c r="C465" s="3"/>
      <c r="D465" s="3"/>
      <c r="E465" s="3">
        <v>459</v>
      </c>
      <c r="F465" s="25">
        <v>700</v>
      </c>
    </row>
    <row r="466" spans="1:6" ht="15.75" x14ac:dyDescent="0.25">
      <c r="A466" s="15" t="s">
        <v>1034</v>
      </c>
      <c r="B466" s="3" t="s">
        <v>337</v>
      </c>
      <c r="C466" s="3"/>
      <c r="D466" s="3"/>
      <c r="E466" s="3" t="s">
        <v>1087</v>
      </c>
      <c r="F466" s="25"/>
    </row>
    <row r="467" spans="1:6" ht="15.75" x14ac:dyDescent="0.25">
      <c r="A467" s="27" t="s">
        <v>1034</v>
      </c>
      <c r="B467" s="23" t="s">
        <v>17</v>
      </c>
      <c r="C467" s="23"/>
      <c r="D467" s="23"/>
      <c r="E467" s="23">
        <v>2612</v>
      </c>
      <c r="F467" s="28">
        <v>3000</v>
      </c>
    </row>
    <row r="468" spans="1:6" ht="15.75" x14ac:dyDescent="0.25">
      <c r="A468" s="15" t="s">
        <v>1034</v>
      </c>
      <c r="B468" s="3" t="s">
        <v>359</v>
      </c>
      <c r="C468" s="3"/>
      <c r="D468" s="3"/>
      <c r="E468" s="3">
        <v>926</v>
      </c>
      <c r="F468" s="25">
        <v>1050</v>
      </c>
    </row>
    <row r="469" spans="1:6" ht="15.75" x14ac:dyDescent="0.25">
      <c r="A469" s="27" t="s">
        <v>1034</v>
      </c>
      <c r="B469" s="23" t="s">
        <v>1076</v>
      </c>
      <c r="C469" s="23"/>
      <c r="D469" s="23"/>
      <c r="E469" s="23" t="s">
        <v>1087</v>
      </c>
      <c r="F469" s="28">
        <v>3800</v>
      </c>
    </row>
    <row r="470" spans="1:6" ht="15.75" x14ac:dyDescent="0.25">
      <c r="A470" s="15" t="s">
        <v>1034</v>
      </c>
      <c r="B470" s="3" t="s">
        <v>91</v>
      </c>
      <c r="C470" s="3"/>
      <c r="D470" s="3"/>
      <c r="E470" s="3">
        <v>1000</v>
      </c>
      <c r="F470" s="25">
        <v>1120</v>
      </c>
    </row>
    <row r="471" spans="1:6" ht="15.75" x14ac:dyDescent="0.25">
      <c r="A471" s="15" t="s">
        <v>1034</v>
      </c>
      <c r="B471" s="3" t="s">
        <v>91</v>
      </c>
      <c r="C471" s="3"/>
      <c r="D471" s="3"/>
      <c r="E471" s="3">
        <v>978</v>
      </c>
      <c r="F471" s="25">
        <v>1120</v>
      </c>
    </row>
    <row r="472" spans="1:6" ht="15.75" x14ac:dyDescent="0.25">
      <c r="A472" s="15" t="s">
        <v>1034</v>
      </c>
      <c r="B472" s="3" t="s">
        <v>213</v>
      </c>
      <c r="C472" s="3"/>
      <c r="D472" s="3"/>
      <c r="E472" s="3">
        <v>1483</v>
      </c>
      <c r="F472" s="25">
        <v>1750</v>
      </c>
    </row>
    <row r="473" spans="1:6" ht="15.75" x14ac:dyDescent="0.25">
      <c r="A473" s="15" t="s">
        <v>1077</v>
      </c>
      <c r="B473" s="3">
        <v>3001150</v>
      </c>
      <c r="C473" s="3"/>
      <c r="D473" s="3"/>
      <c r="E473" s="3">
        <v>1152</v>
      </c>
      <c r="F473" s="25">
        <v>1575</v>
      </c>
    </row>
    <row r="474" spans="1:6" ht="15.75" x14ac:dyDescent="0.25">
      <c r="A474" s="15" t="s">
        <v>1077</v>
      </c>
      <c r="B474" s="3">
        <v>7320491</v>
      </c>
      <c r="C474" s="3"/>
      <c r="D474" s="3"/>
      <c r="E474" s="3">
        <v>1770</v>
      </c>
      <c r="F474" s="25">
        <v>1900</v>
      </c>
    </row>
    <row r="475" spans="1:6" ht="15.75" x14ac:dyDescent="0.25">
      <c r="A475" s="27" t="s">
        <v>1077</v>
      </c>
      <c r="B475" s="23">
        <v>11514598</v>
      </c>
      <c r="C475" s="23"/>
      <c r="D475" s="23"/>
      <c r="E475" s="23">
        <v>520</v>
      </c>
      <c r="F475" s="28">
        <v>700</v>
      </c>
    </row>
    <row r="476" spans="1:6" ht="15.75" x14ac:dyDescent="0.25">
      <c r="A476" s="27" t="s">
        <v>1077</v>
      </c>
      <c r="B476" s="23">
        <v>11516074</v>
      </c>
      <c r="C476" s="23"/>
      <c r="D476" s="23"/>
      <c r="E476" s="23">
        <v>435</v>
      </c>
      <c r="F476" s="28">
        <v>700</v>
      </c>
    </row>
    <row r="477" spans="1:6" ht="15.75" x14ac:dyDescent="0.25">
      <c r="A477" s="27" t="s">
        <v>1077</v>
      </c>
      <c r="B477" s="23">
        <v>11517996</v>
      </c>
      <c r="C477" s="23"/>
      <c r="D477" s="23"/>
      <c r="E477" s="23">
        <v>1131</v>
      </c>
      <c r="F477" s="28">
        <v>1200</v>
      </c>
    </row>
    <row r="478" spans="1:6" ht="15.75" x14ac:dyDescent="0.25">
      <c r="A478" s="27" t="s">
        <v>1077</v>
      </c>
      <c r="B478" s="23">
        <v>11518532</v>
      </c>
      <c r="C478" s="23"/>
      <c r="D478" s="23"/>
      <c r="E478" s="23">
        <v>1282</v>
      </c>
      <c r="F478" s="28">
        <v>1400</v>
      </c>
    </row>
    <row r="479" spans="1:6" ht="15.75" x14ac:dyDescent="0.25">
      <c r="A479" s="15" t="s">
        <v>1077</v>
      </c>
      <c r="B479" s="3">
        <v>11546389</v>
      </c>
      <c r="C479" s="3"/>
      <c r="D479" s="3"/>
      <c r="E479" s="3">
        <v>3340</v>
      </c>
      <c r="F479" s="25">
        <v>3900</v>
      </c>
    </row>
    <row r="480" spans="1:6" ht="15.75" x14ac:dyDescent="0.25">
      <c r="A480" s="27" t="s">
        <v>1077</v>
      </c>
      <c r="B480" s="23">
        <v>11546593</v>
      </c>
      <c r="C480" s="23"/>
      <c r="D480" s="23"/>
      <c r="E480" s="23">
        <v>607</v>
      </c>
      <c r="F480" s="28">
        <v>700</v>
      </c>
    </row>
    <row r="481" spans="1:6" ht="15.75" x14ac:dyDescent="0.25">
      <c r="A481" s="27" t="s">
        <v>1077</v>
      </c>
      <c r="B481" s="23">
        <v>11549171</v>
      </c>
      <c r="C481" s="23"/>
      <c r="D481" s="23"/>
      <c r="E481" s="23">
        <v>212</v>
      </c>
      <c r="F481" s="28">
        <v>280</v>
      </c>
    </row>
    <row r="482" spans="1:6" ht="15.75" x14ac:dyDescent="0.25">
      <c r="A482" s="27" t="s">
        <v>1077</v>
      </c>
      <c r="B482" s="23">
        <v>11588325</v>
      </c>
      <c r="C482" s="23"/>
      <c r="D482" s="23"/>
      <c r="E482" s="23">
        <v>450</v>
      </c>
      <c r="F482" s="28">
        <v>500</v>
      </c>
    </row>
    <row r="483" spans="1:6" ht="15.75" x14ac:dyDescent="0.25">
      <c r="A483" s="15" t="s">
        <v>1077</v>
      </c>
      <c r="B483" s="3">
        <v>11602031</v>
      </c>
      <c r="C483" s="3"/>
      <c r="D483" s="3"/>
      <c r="E483" s="3">
        <v>103</v>
      </c>
      <c r="F483" s="25">
        <v>145</v>
      </c>
    </row>
    <row r="484" spans="1:6" ht="15.75" x14ac:dyDescent="0.25">
      <c r="A484" s="15" t="s">
        <v>1077</v>
      </c>
      <c r="B484" s="3">
        <v>11611548</v>
      </c>
      <c r="C484" s="3"/>
      <c r="D484" s="3"/>
      <c r="E484" s="3">
        <v>81</v>
      </c>
      <c r="F484" s="25">
        <v>100</v>
      </c>
    </row>
    <row r="485" spans="1:6" ht="15.75" x14ac:dyDescent="0.25">
      <c r="A485" s="27" t="s">
        <v>1077</v>
      </c>
      <c r="B485" s="23">
        <v>11611960</v>
      </c>
      <c r="C485" s="23"/>
      <c r="D485" s="23"/>
      <c r="E485" s="23">
        <v>775</v>
      </c>
      <c r="F485" s="28">
        <v>800</v>
      </c>
    </row>
    <row r="486" spans="1:6" ht="15.75" x14ac:dyDescent="0.25">
      <c r="A486" s="27" t="s">
        <v>1077</v>
      </c>
      <c r="B486" s="23">
        <v>40179995</v>
      </c>
      <c r="C486" s="23"/>
      <c r="D486" s="23"/>
      <c r="E486" s="23">
        <v>245</v>
      </c>
      <c r="F486" s="28">
        <v>270</v>
      </c>
    </row>
    <row r="487" spans="1:6" ht="15.75" x14ac:dyDescent="0.25">
      <c r="A487" s="15" t="s">
        <v>1077</v>
      </c>
      <c r="B487" s="3">
        <v>94012078</v>
      </c>
      <c r="C487" s="3"/>
      <c r="D487" s="3"/>
      <c r="E487" s="3">
        <v>61</v>
      </c>
      <c r="F487" s="25">
        <v>100</v>
      </c>
    </row>
    <row r="488" spans="1:6" ht="15.75" x14ac:dyDescent="0.25">
      <c r="A488" s="15" t="s">
        <v>1077</v>
      </c>
      <c r="B488" s="3">
        <v>500009297</v>
      </c>
      <c r="C488" s="3"/>
      <c r="D488" s="3"/>
      <c r="E488" s="3">
        <v>1175</v>
      </c>
      <c r="F488" s="25">
        <v>1200</v>
      </c>
    </row>
    <row r="489" spans="1:6" ht="15.75" x14ac:dyDescent="0.25">
      <c r="A489" s="27" t="s">
        <v>1077</v>
      </c>
      <c r="B489" s="23">
        <v>7151127803</v>
      </c>
      <c r="C489" s="23"/>
      <c r="D489" s="23"/>
      <c r="E489" s="23">
        <v>2843</v>
      </c>
      <c r="F489" s="28">
        <v>3800</v>
      </c>
    </row>
    <row r="490" spans="1:6" ht="15.75" x14ac:dyDescent="0.25">
      <c r="A490" s="27" t="s">
        <v>1077</v>
      </c>
      <c r="B490" s="23" t="s">
        <v>730</v>
      </c>
      <c r="C490" s="23"/>
      <c r="D490" s="23"/>
      <c r="E490" s="23">
        <v>1300</v>
      </c>
      <c r="F490" s="28">
        <v>1800</v>
      </c>
    </row>
    <row r="491" spans="1:6" ht="15.75" x14ac:dyDescent="0.25">
      <c r="A491" s="15" t="s">
        <v>1077</v>
      </c>
      <c r="B491" s="3" t="s">
        <v>138</v>
      </c>
      <c r="C491" s="3"/>
      <c r="D491" s="3"/>
      <c r="E491" s="3">
        <v>989</v>
      </c>
      <c r="F491" s="25">
        <v>1200</v>
      </c>
    </row>
    <row r="492" spans="1:6" ht="15.75" x14ac:dyDescent="0.25">
      <c r="A492" s="27" t="s">
        <v>1077</v>
      </c>
      <c r="B492" s="23" t="s">
        <v>1083</v>
      </c>
      <c r="C492" s="23"/>
      <c r="D492" s="23"/>
      <c r="E492" s="23">
        <v>620</v>
      </c>
      <c r="F492" s="28"/>
    </row>
    <row r="493" spans="1:6" ht="15.75" x14ac:dyDescent="0.25">
      <c r="A493" s="27" t="s">
        <v>1077</v>
      </c>
      <c r="B493" s="23" t="s">
        <v>1085</v>
      </c>
      <c r="C493" s="23"/>
      <c r="D493" s="23"/>
      <c r="E493" s="23">
        <v>120</v>
      </c>
      <c r="F493" s="28"/>
    </row>
    <row r="494" spans="1:6" ht="15.75" x14ac:dyDescent="0.25">
      <c r="A494" s="27" t="s">
        <v>1077</v>
      </c>
      <c r="B494" s="23" t="s">
        <v>1078</v>
      </c>
      <c r="C494" s="23"/>
      <c r="D494" s="23"/>
      <c r="E494" s="23">
        <v>740</v>
      </c>
      <c r="F494" s="28"/>
    </row>
    <row r="495" spans="1:6" ht="15.75" x14ac:dyDescent="0.25">
      <c r="A495" s="27" t="s">
        <v>1077</v>
      </c>
      <c r="B495" s="23" t="s">
        <v>1084</v>
      </c>
      <c r="C495" s="23"/>
      <c r="D495" s="23"/>
      <c r="E495" s="23">
        <v>946</v>
      </c>
      <c r="F495" s="28"/>
    </row>
    <row r="496" spans="1:6" ht="15.75" x14ac:dyDescent="0.25">
      <c r="A496" s="27" t="s">
        <v>1077</v>
      </c>
      <c r="B496" s="23" t="s">
        <v>211</v>
      </c>
      <c r="C496" s="23"/>
      <c r="D496" s="23"/>
      <c r="E496" s="23">
        <v>30</v>
      </c>
      <c r="F496" s="28">
        <v>500</v>
      </c>
    </row>
    <row r="497" spans="1:6" ht="15.75" x14ac:dyDescent="0.25">
      <c r="A497" s="27" t="s">
        <v>1077</v>
      </c>
      <c r="B497" s="23" t="s">
        <v>1081</v>
      </c>
      <c r="C497" s="23"/>
      <c r="D497" s="23"/>
      <c r="E497" s="23">
        <v>444</v>
      </c>
      <c r="F497" s="28">
        <v>450</v>
      </c>
    </row>
    <row r="498" spans="1:6" ht="15.75" x14ac:dyDescent="0.25">
      <c r="A498" s="27" t="s">
        <v>1077</v>
      </c>
      <c r="B498" s="23" t="s">
        <v>1086</v>
      </c>
      <c r="C498" s="23"/>
      <c r="D498" s="23"/>
      <c r="E498" s="23">
        <v>158</v>
      </c>
      <c r="F498" s="28"/>
    </row>
    <row r="499" spans="1:6" ht="15.75" x14ac:dyDescent="0.25">
      <c r="A499" s="27" t="s">
        <v>1077</v>
      </c>
      <c r="B499" s="23" t="s">
        <v>1079</v>
      </c>
      <c r="C499" s="23"/>
      <c r="D499" s="23"/>
      <c r="E499" s="23">
        <v>1762</v>
      </c>
      <c r="F499" s="28"/>
    </row>
    <row r="500" spans="1:6" ht="15.75" x14ac:dyDescent="0.25">
      <c r="A500" s="15" t="s">
        <v>1077</v>
      </c>
      <c r="B500" s="3" t="s">
        <v>1090</v>
      </c>
      <c r="C500" s="3" t="s">
        <v>1087</v>
      </c>
      <c r="D500" s="3"/>
      <c r="E500" s="3"/>
      <c r="F500" s="25"/>
    </row>
    <row r="501" spans="1:6" ht="15.75" x14ac:dyDescent="0.25">
      <c r="A501" s="27" t="s">
        <v>1077</v>
      </c>
      <c r="B501" s="23" t="s">
        <v>1091</v>
      </c>
      <c r="C501" s="23"/>
      <c r="D501" s="23"/>
      <c r="E501" s="23">
        <v>1693</v>
      </c>
      <c r="F501" s="28">
        <v>1900</v>
      </c>
    </row>
    <row r="502" spans="1:6" ht="15.75" x14ac:dyDescent="0.25">
      <c r="A502" s="27" t="s">
        <v>1077</v>
      </c>
      <c r="B502" s="23" t="s">
        <v>1088</v>
      </c>
      <c r="C502" s="23">
        <v>768</v>
      </c>
      <c r="D502" s="23"/>
      <c r="E502" s="23">
        <v>768</v>
      </c>
      <c r="F502" s="28">
        <v>1100</v>
      </c>
    </row>
    <row r="503" spans="1:6" ht="15.75" x14ac:dyDescent="0.25">
      <c r="A503" s="27" t="s">
        <v>1077</v>
      </c>
      <c r="B503" s="23" t="s">
        <v>1080</v>
      </c>
      <c r="C503" s="23"/>
      <c r="D503" s="23"/>
      <c r="E503" s="23">
        <v>326</v>
      </c>
      <c r="F503" s="28"/>
    </row>
    <row r="504" spans="1:6" ht="15.75" x14ac:dyDescent="0.25">
      <c r="A504" s="27" t="s">
        <v>1077</v>
      </c>
      <c r="B504" s="23" t="s">
        <v>1082</v>
      </c>
      <c r="C504" s="23"/>
      <c r="D504" s="23"/>
      <c r="E504" s="23" t="s">
        <v>1087</v>
      </c>
      <c r="F504" s="28"/>
    </row>
    <row r="505" spans="1:6" ht="15.75" x14ac:dyDescent="0.25">
      <c r="A505" s="15" t="s">
        <v>1077</v>
      </c>
      <c r="B505" s="3" t="s">
        <v>337</v>
      </c>
      <c r="C505" s="3"/>
      <c r="D505" s="3"/>
      <c r="E505" s="3">
        <v>1950</v>
      </c>
      <c r="F505" s="25">
        <v>3000</v>
      </c>
    </row>
    <row r="506" spans="1:6" ht="15.75" x14ac:dyDescent="0.25">
      <c r="A506" s="27" t="s">
        <v>1077</v>
      </c>
      <c r="B506" s="23" t="s">
        <v>327</v>
      </c>
      <c r="C506" s="23"/>
      <c r="D506" s="23"/>
      <c r="E506" s="23">
        <v>3720</v>
      </c>
      <c r="F506" s="28">
        <v>3500</v>
      </c>
    </row>
    <row r="507" spans="1:6" ht="15.75" x14ac:dyDescent="0.25">
      <c r="A507" s="27" t="s">
        <v>1077</v>
      </c>
      <c r="B507" s="23" t="s">
        <v>1089</v>
      </c>
      <c r="C507" s="23"/>
      <c r="D507" s="23"/>
      <c r="E507" s="23">
        <v>276</v>
      </c>
      <c r="F507" s="28">
        <v>300</v>
      </c>
    </row>
    <row r="508" spans="1:6" ht="15.75" x14ac:dyDescent="0.25">
      <c r="A508" s="27" t="s">
        <v>1077</v>
      </c>
      <c r="B508" s="23" t="s">
        <v>835</v>
      </c>
      <c r="C508" s="23"/>
      <c r="D508" s="23"/>
      <c r="E508" s="23">
        <v>2485</v>
      </c>
      <c r="F508" s="28">
        <v>3000</v>
      </c>
    </row>
    <row r="509" spans="1:6" ht="15.75" x14ac:dyDescent="0.25">
      <c r="A509" s="27" t="s">
        <v>1092</v>
      </c>
      <c r="B509" s="23">
        <v>62264</v>
      </c>
      <c r="C509" s="23"/>
      <c r="D509" s="23"/>
      <c r="E509" s="23">
        <v>915</v>
      </c>
      <c r="F509" s="28">
        <v>1080</v>
      </c>
    </row>
    <row r="510" spans="1:6" ht="15.75" x14ac:dyDescent="0.25">
      <c r="A510" s="27" t="s">
        <v>1092</v>
      </c>
      <c r="B510" s="23">
        <v>82250</v>
      </c>
      <c r="C510" s="23"/>
      <c r="D510" s="23"/>
      <c r="E510" s="23">
        <v>503</v>
      </c>
      <c r="F510" s="28">
        <v>625</v>
      </c>
    </row>
    <row r="511" spans="1:6" ht="15.75" x14ac:dyDescent="0.25">
      <c r="A511" s="27" t="s">
        <v>1092</v>
      </c>
      <c r="B511" s="23">
        <v>11516382</v>
      </c>
      <c r="C511" s="23"/>
      <c r="D511" s="23"/>
      <c r="E511" s="23">
        <v>450</v>
      </c>
      <c r="F511" s="28">
        <v>450</v>
      </c>
    </row>
    <row r="512" spans="1:6" ht="15.75" x14ac:dyDescent="0.25">
      <c r="A512" s="27" t="s">
        <v>1092</v>
      </c>
      <c r="B512" s="23">
        <v>11546379</v>
      </c>
      <c r="C512" s="23"/>
      <c r="D512" s="23"/>
      <c r="E512" s="23">
        <v>616</v>
      </c>
      <c r="F512" s="28">
        <v>700</v>
      </c>
    </row>
    <row r="513" spans="1:6" ht="15.75" x14ac:dyDescent="0.25">
      <c r="A513" s="15" t="s">
        <v>1092</v>
      </c>
      <c r="B513" s="3">
        <v>11546571</v>
      </c>
      <c r="C513" s="3"/>
      <c r="D513" s="3"/>
      <c r="E513" s="3">
        <v>868</v>
      </c>
      <c r="F513" s="25">
        <v>1500</v>
      </c>
    </row>
    <row r="514" spans="1:6" ht="15.75" x14ac:dyDescent="0.25">
      <c r="A514" s="15" t="s">
        <v>1092</v>
      </c>
      <c r="B514" s="3">
        <v>11547176</v>
      </c>
      <c r="C514" s="3"/>
      <c r="D514" s="3"/>
      <c r="E514" s="3">
        <v>600</v>
      </c>
      <c r="F514" s="25">
        <v>850</v>
      </c>
    </row>
    <row r="515" spans="1:6" ht="15.75" x14ac:dyDescent="0.25">
      <c r="A515" s="15" t="s">
        <v>1092</v>
      </c>
      <c r="B515" s="3">
        <v>11547349</v>
      </c>
      <c r="C515" s="3"/>
      <c r="D515" s="3"/>
      <c r="E515" s="3">
        <v>218</v>
      </c>
      <c r="F515" s="25">
        <v>350</v>
      </c>
    </row>
    <row r="516" spans="1:6" ht="15.75" x14ac:dyDescent="0.25">
      <c r="A516" s="27" t="s">
        <v>1092</v>
      </c>
      <c r="B516" s="23">
        <v>11547423</v>
      </c>
      <c r="C516" s="23"/>
      <c r="D516" s="23"/>
      <c r="E516" s="23">
        <v>595</v>
      </c>
      <c r="F516" s="28">
        <v>875</v>
      </c>
    </row>
    <row r="517" spans="1:6" ht="15.75" x14ac:dyDescent="0.25">
      <c r="A517" s="15" t="s">
        <v>1092</v>
      </c>
      <c r="B517" s="3">
        <v>11549170</v>
      </c>
      <c r="C517" s="3"/>
      <c r="D517" s="3"/>
      <c r="E517" s="3">
        <v>387</v>
      </c>
      <c r="F517" s="25">
        <v>400</v>
      </c>
    </row>
    <row r="518" spans="1:6" ht="15.75" x14ac:dyDescent="0.25">
      <c r="A518" s="27" t="s">
        <v>1092</v>
      </c>
      <c r="B518" s="23">
        <v>11604820</v>
      </c>
      <c r="C518" s="23"/>
      <c r="D518" s="23"/>
      <c r="E518" s="23">
        <v>313</v>
      </c>
      <c r="F518" s="28">
        <v>330</v>
      </c>
    </row>
    <row r="519" spans="1:6" ht="15.75" x14ac:dyDescent="0.25">
      <c r="A519" s="15" t="s">
        <v>1092</v>
      </c>
      <c r="B519" s="3">
        <v>11611548</v>
      </c>
      <c r="C519" s="3"/>
      <c r="D519" s="3"/>
      <c r="E519" s="3">
        <v>52</v>
      </c>
      <c r="F519" s="25">
        <v>100</v>
      </c>
    </row>
    <row r="520" spans="1:6" ht="15.75" x14ac:dyDescent="0.25">
      <c r="A520" s="15" t="s">
        <v>1092</v>
      </c>
      <c r="B520" s="3">
        <v>11611883</v>
      </c>
      <c r="C520" s="3"/>
      <c r="D520" s="3"/>
      <c r="E520" s="3" t="s">
        <v>1087</v>
      </c>
      <c r="F520" s="25">
        <v>5500</v>
      </c>
    </row>
    <row r="521" spans="1:6" ht="15.75" x14ac:dyDescent="0.25">
      <c r="A521" s="27" t="s">
        <v>1092</v>
      </c>
      <c r="B521" s="23">
        <v>40110160</v>
      </c>
      <c r="C521" s="23"/>
      <c r="D521" s="23"/>
      <c r="E521" s="23">
        <v>189</v>
      </c>
      <c r="F521" s="28">
        <v>200</v>
      </c>
    </row>
    <row r="522" spans="1:6" ht="15.75" x14ac:dyDescent="0.25">
      <c r="A522" s="15" t="s">
        <v>1092</v>
      </c>
      <c r="B522" s="3" t="s">
        <v>142</v>
      </c>
      <c r="C522" s="3"/>
      <c r="D522" s="3"/>
      <c r="E522" s="3">
        <v>311</v>
      </c>
      <c r="F522" s="25">
        <v>620</v>
      </c>
    </row>
    <row r="523" spans="1:6" ht="15.75" x14ac:dyDescent="0.25">
      <c r="A523" s="27" t="s">
        <v>1092</v>
      </c>
      <c r="B523" s="23" t="s">
        <v>1099</v>
      </c>
      <c r="C523" s="23"/>
      <c r="D523" s="23"/>
      <c r="E523" s="23">
        <v>332</v>
      </c>
      <c r="F523" s="28">
        <v>350</v>
      </c>
    </row>
    <row r="524" spans="1:6" ht="15.75" x14ac:dyDescent="0.25">
      <c r="A524" s="27" t="s">
        <v>1092</v>
      </c>
      <c r="B524" s="23" t="s">
        <v>1094</v>
      </c>
      <c r="C524" s="23"/>
      <c r="D524" s="23"/>
      <c r="E524" s="23">
        <v>684</v>
      </c>
      <c r="F524" s="28"/>
    </row>
    <row r="525" spans="1:6" ht="15.75" x14ac:dyDescent="0.25">
      <c r="A525" s="27" t="s">
        <v>1092</v>
      </c>
      <c r="B525" s="23" t="s">
        <v>9</v>
      </c>
      <c r="C525" s="23"/>
      <c r="D525" s="23"/>
      <c r="E525" s="23">
        <v>313</v>
      </c>
      <c r="F525" s="28"/>
    </row>
    <row r="526" spans="1:6" ht="15.75" x14ac:dyDescent="0.25">
      <c r="A526" s="27" t="s">
        <v>1092</v>
      </c>
      <c r="B526" s="23" t="s">
        <v>1506</v>
      </c>
      <c r="C526" s="23"/>
      <c r="D526" s="23"/>
      <c r="E526" s="23">
        <v>117</v>
      </c>
      <c r="F526" s="28"/>
    </row>
    <row r="527" spans="1:6" ht="15.75" x14ac:dyDescent="0.25">
      <c r="A527" s="27" t="s">
        <v>1092</v>
      </c>
      <c r="B527" s="23" t="s">
        <v>1100</v>
      </c>
      <c r="C527" s="23"/>
      <c r="D527" s="23"/>
      <c r="E527" s="23">
        <v>1320</v>
      </c>
      <c r="F527" s="28"/>
    </row>
    <row r="528" spans="1:6" ht="15.75" x14ac:dyDescent="0.25">
      <c r="A528" s="15" t="s">
        <v>1092</v>
      </c>
      <c r="B528" s="3" t="s">
        <v>1093</v>
      </c>
      <c r="C528" s="3"/>
      <c r="D528" s="3"/>
      <c r="E528" s="3">
        <v>450</v>
      </c>
      <c r="F528" s="25">
        <v>450</v>
      </c>
    </row>
    <row r="529" spans="1:6" ht="15.75" x14ac:dyDescent="0.25">
      <c r="A529" s="27" t="s">
        <v>1092</v>
      </c>
      <c r="B529" s="23" t="s">
        <v>460</v>
      </c>
      <c r="C529" s="23"/>
      <c r="D529" s="23"/>
      <c r="E529" s="23">
        <v>1112</v>
      </c>
      <c r="F529" s="28">
        <v>2500</v>
      </c>
    </row>
    <row r="530" spans="1:6" ht="15.75" x14ac:dyDescent="0.25">
      <c r="A530" s="27" t="s">
        <v>1092</v>
      </c>
      <c r="B530" s="23" t="s">
        <v>1101</v>
      </c>
      <c r="C530" s="23"/>
      <c r="D530" s="23"/>
      <c r="E530" s="23">
        <v>211</v>
      </c>
      <c r="F530" s="28">
        <v>250</v>
      </c>
    </row>
    <row r="531" spans="1:6" ht="15.75" x14ac:dyDescent="0.25">
      <c r="A531" s="15" t="s">
        <v>1092</v>
      </c>
      <c r="B531" s="3" t="s">
        <v>808</v>
      </c>
      <c r="C531" s="3"/>
      <c r="D531" s="3"/>
      <c r="E531" s="3" t="s">
        <v>1087</v>
      </c>
      <c r="F531" s="25">
        <v>700</v>
      </c>
    </row>
    <row r="532" spans="1:6" ht="15.75" x14ac:dyDescent="0.25">
      <c r="A532" s="15" t="s">
        <v>1092</v>
      </c>
      <c r="B532" s="3" t="s">
        <v>833</v>
      </c>
      <c r="C532" s="3"/>
      <c r="D532" s="3"/>
      <c r="E532" s="3">
        <v>1936</v>
      </c>
      <c r="F532" s="25">
        <v>2500</v>
      </c>
    </row>
    <row r="533" spans="1:6" ht="15.75" x14ac:dyDescent="0.25">
      <c r="A533" s="27" t="s">
        <v>1092</v>
      </c>
      <c r="B533" s="23" t="s">
        <v>896</v>
      </c>
      <c r="C533" s="23"/>
      <c r="D533" s="23"/>
      <c r="E533" s="23">
        <v>611</v>
      </c>
      <c r="F533" s="28"/>
    </row>
    <row r="534" spans="1:6" ht="15.75" x14ac:dyDescent="0.25">
      <c r="A534" s="27" t="s">
        <v>1092</v>
      </c>
      <c r="B534" s="23" t="s">
        <v>1095</v>
      </c>
      <c r="C534" s="23"/>
      <c r="D534" s="23"/>
      <c r="E534" s="23">
        <v>567</v>
      </c>
      <c r="F534" s="28"/>
    </row>
    <row r="535" spans="1:6" ht="15.75" x14ac:dyDescent="0.25">
      <c r="A535" s="27" t="s">
        <v>1092</v>
      </c>
      <c r="B535" s="23" t="s">
        <v>1098</v>
      </c>
      <c r="C535" s="23"/>
      <c r="D535" s="23"/>
      <c r="E535" s="23">
        <v>646</v>
      </c>
      <c r="F535" s="28">
        <v>800</v>
      </c>
    </row>
    <row r="536" spans="1:6" ht="15.75" x14ac:dyDescent="0.25">
      <c r="A536" s="27" t="s">
        <v>1092</v>
      </c>
      <c r="B536" s="23" t="s">
        <v>762</v>
      </c>
      <c r="C536" s="23"/>
      <c r="D536" s="23"/>
      <c r="E536" s="23">
        <v>2836</v>
      </c>
      <c r="F536" s="28">
        <v>3000</v>
      </c>
    </row>
    <row r="537" spans="1:6" ht="15.75" x14ac:dyDescent="0.25">
      <c r="A537" s="27" t="s">
        <v>1092</v>
      </c>
      <c r="B537" s="23" t="s">
        <v>1096</v>
      </c>
      <c r="C537" s="23"/>
      <c r="D537" s="23"/>
      <c r="E537" s="23">
        <v>989</v>
      </c>
      <c r="F537" s="28">
        <v>1100</v>
      </c>
    </row>
    <row r="538" spans="1:6" ht="15.75" x14ac:dyDescent="0.25">
      <c r="A538" s="27" t="s">
        <v>1092</v>
      </c>
      <c r="B538" s="23" t="s">
        <v>1097</v>
      </c>
      <c r="C538" s="23"/>
      <c r="D538" s="23"/>
      <c r="E538" s="23">
        <v>76</v>
      </c>
      <c r="F538" s="28">
        <v>100</v>
      </c>
    </row>
    <row r="539" spans="1:6" ht="15.75" x14ac:dyDescent="0.25">
      <c r="A539" s="27" t="s">
        <v>1102</v>
      </c>
      <c r="B539" s="23">
        <v>901657</v>
      </c>
      <c r="C539" s="23"/>
      <c r="D539" s="23"/>
      <c r="E539" s="23" t="s">
        <v>1087</v>
      </c>
      <c r="F539" s="28"/>
    </row>
    <row r="540" spans="1:6" ht="15.75" x14ac:dyDescent="0.25">
      <c r="A540" s="15" t="s">
        <v>1102</v>
      </c>
      <c r="B540" s="3">
        <v>11516076</v>
      </c>
      <c r="C540" s="3"/>
      <c r="D540" s="3"/>
      <c r="E540" s="3">
        <v>1555</v>
      </c>
      <c r="F540" s="25">
        <v>2200</v>
      </c>
    </row>
    <row r="541" spans="1:6" ht="15.75" x14ac:dyDescent="0.25">
      <c r="A541" s="27" t="s">
        <v>1102</v>
      </c>
      <c r="B541" s="23">
        <v>11546365</v>
      </c>
      <c r="C541" s="23" t="s">
        <v>1087</v>
      </c>
      <c r="D541" s="23"/>
      <c r="E541" s="23"/>
      <c r="F541" s="28"/>
    </row>
    <row r="542" spans="1:6" ht="15.75" x14ac:dyDescent="0.25">
      <c r="A542" s="27" t="s">
        <v>1102</v>
      </c>
      <c r="B542" s="23">
        <v>11546388</v>
      </c>
      <c r="C542" s="23"/>
      <c r="D542" s="23"/>
      <c r="E542" s="23" t="s">
        <v>1087</v>
      </c>
      <c r="F542" s="28">
        <v>6750</v>
      </c>
    </row>
    <row r="543" spans="1:6" ht="15.75" x14ac:dyDescent="0.25">
      <c r="A543" s="15" t="s">
        <v>1102</v>
      </c>
      <c r="B543" s="3">
        <v>11546456</v>
      </c>
      <c r="C543" s="3"/>
      <c r="D543" s="3"/>
      <c r="E543" s="3">
        <v>1512</v>
      </c>
      <c r="F543" s="25">
        <v>2700</v>
      </c>
    </row>
    <row r="544" spans="1:6" ht="15.75" x14ac:dyDescent="0.25">
      <c r="A544" s="15" t="s">
        <v>1102</v>
      </c>
      <c r="B544" s="3">
        <v>11546545</v>
      </c>
      <c r="C544" s="3"/>
      <c r="D544" s="3"/>
      <c r="E544" s="3">
        <v>1075</v>
      </c>
      <c r="F544" s="25"/>
    </row>
    <row r="545" spans="1:6" ht="15.75" x14ac:dyDescent="0.25">
      <c r="A545" s="27" t="s">
        <v>1102</v>
      </c>
      <c r="B545" s="23">
        <v>11548875</v>
      </c>
      <c r="C545" s="23"/>
      <c r="D545" s="23"/>
      <c r="E545" s="23" t="s">
        <v>1087</v>
      </c>
      <c r="F545" s="28">
        <v>1300</v>
      </c>
    </row>
    <row r="546" spans="1:6" ht="15.75" x14ac:dyDescent="0.25">
      <c r="A546" s="15" t="s">
        <v>1102</v>
      </c>
      <c r="B546" s="3">
        <v>11549204</v>
      </c>
      <c r="C546" s="3"/>
      <c r="D546" s="3"/>
      <c r="E546" s="3">
        <v>176</v>
      </c>
      <c r="F546" s="25">
        <v>210</v>
      </c>
    </row>
    <row r="547" spans="1:6" ht="15.75" x14ac:dyDescent="0.25">
      <c r="A547" s="27" t="s">
        <v>1102</v>
      </c>
      <c r="B547" s="23">
        <v>11561662</v>
      </c>
      <c r="C547" s="23"/>
      <c r="D547" s="23"/>
      <c r="E547" s="23" t="s">
        <v>1087</v>
      </c>
      <c r="F547" s="28">
        <v>1100</v>
      </c>
    </row>
    <row r="548" spans="1:6" ht="15.75" x14ac:dyDescent="0.25">
      <c r="A548" s="27" t="s">
        <v>1102</v>
      </c>
      <c r="B548" s="23">
        <v>11569605</v>
      </c>
      <c r="C548" s="23"/>
      <c r="D548" s="23"/>
      <c r="E548" s="23" t="s">
        <v>1087</v>
      </c>
      <c r="F548" s="28">
        <v>1500</v>
      </c>
    </row>
    <row r="549" spans="1:6" ht="15.75" x14ac:dyDescent="0.25">
      <c r="A549" s="27" t="s">
        <v>1102</v>
      </c>
      <c r="B549" s="23">
        <v>11588709</v>
      </c>
      <c r="C549" s="23"/>
      <c r="D549" s="23"/>
      <c r="E549" s="23">
        <v>1800</v>
      </c>
      <c r="F549" s="28">
        <v>2200</v>
      </c>
    </row>
    <row r="550" spans="1:6" ht="15.75" x14ac:dyDescent="0.25">
      <c r="A550" s="15" t="s">
        <v>1102</v>
      </c>
      <c r="B550" s="3">
        <v>11602031</v>
      </c>
      <c r="C550" s="3"/>
      <c r="D550" s="3"/>
      <c r="E550" s="3">
        <v>117</v>
      </c>
      <c r="F550" s="25">
        <v>145</v>
      </c>
    </row>
    <row r="551" spans="1:6" ht="15.75" x14ac:dyDescent="0.25">
      <c r="A551" s="27" t="s">
        <v>1102</v>
      </c>
      <c r="B551" s="23">
        <v>715150010</v>
      </c>
      <c r="C551" s="23"/>
      <c r="D551" s="23"/>
      <c r="E551" s="23">
        <v>2245</v>
      </c>
      <c r="F551" s="28">
        <v>2500</v>
      </c>
    </row>
    <row r="552" spans="1:6" ht="15.75" x14ac:dyDescent="0.25">
      <c r="A552" s="27" t="s">
        <v>1102</v>
      </c>
      <c r="B552" s="23" t="s">
        <v>1109</v>
      </c>
      <c r="C552" s="23"/>
      <c r="D552" s="23"/>
      <c r="E552" s="23" t="s">
        <v>1087</v>
      </c>
      <c r="F552" s="28"/>
    </row>
    <row r="553" spans="1:6" ht="15.75" x14ac:dyDescent="0.25">
      <c r="A553" s="15" t="s">
        <v>1102</v>
      </c>
      <c r="B553" s="3" t="s">
        <v>332</v>
      </c>
      <c r="C553" s="3"/>
      <c r="D553" s="3"/>
      <c r="E553" s="3">
        <v>347</v>
      </c>
      <c r="F553" s="25">
        <v>800</v>
      </c>
    </row>
    <row r="554" spans="1:6" ht="15.75" x14ac:dyDescent="0.25">
      <c r="A554" s="15" t="s">
        <v>1102</v>
      </c>
      <c r="B554" s="3" t="s">
        <v>286</v>
      </c>
      <c r="C554" s="3"/>
      <c r="D554" s="3"/>
      <c r="E554" s="3">
        <v>152</v>
      </c>
      <c r="F554" s="25">
        <v>750</v>
      </c>
    </row>
    <row r="555" spans="1:6" ht="15.75" x14ac:dyDescent="0.25">
      <c r="A555" s="27" t="s">
        <v>1102</v>
      </c>
      <c r="B555" s="23" t="s">
        <v>1111</v>
      </c>
      <c r="C555" s="23"/>
      <c r="D555" s="23"/>
      <c r="E555" s="23">
        <v>215</v>
      </c>
      <c r="F555" s="28"/>
    </row>
    <row r="556" spans="1:6" ht="15.75" x14ac:dyDescent="0.25">
      <c r="A556" s="27" t="s">
        <v>1102</v>
      </c>
      <c r="B556" s="23" t="s">
        <v>1108</v>
      </c>
      <c r="C556" s="23"/>
      <c r="D556" s="23"/>
      <c r="E556" s="23">
        <v>284</v>
      </c>
      <c r="F556" s="28">
        <v>550</v>
      </c>
    </row>
    <row r="557" spans="1:6" ht="15.75" x14ac:dyDescent="0.25">
      <c r="A557" s="27" t="s">
        <v>1102</v>
      </c>
      <c r="B557" s="23" t="s">
        <v>1106</v>
      </c>
      <c r="C557" s="23"/>
      <c r="D557" s="23"/>
      <c r="E557" s="23">
        <v>324</v>
      </c>
      <c r="F557" s="28"/>
    </row>
    <row r="558" spans="1:6" ht="15.75" x14ac:dyDescent="0.25">
      <c r="A558" s="27" t="s">
        <v>1102</v>
      </c>
      <c r="B558" s="23" t="s">
        <v>137</v>
      </c>
      <c r="C558" s="23"/>
      <c r="D558" s="23"/>
      <c r="E558" s="23">
        <v>1856</v>
      </c>
      <c r="F558" s="28">
        <v>2050</v>
      </c>
    </row>
    <row r="559" spans="1:6" ht="15.75" x14ac:dyDescent="0.25">
      <c r="A559" s="27" t="s">
        <v>1102</v>
      </c>
      <c r="B559" s="23" t="s">
        <v>1107</v>
      </c>
      <c r="C559" s="23"/>
      <c r="D559" s="23"/>
      <c r="E559" s="23">
        <v>278</v>
      </c>
      <c r="F559" s="28"/>
    </row>
    <row r="560" spans="1:6" ht="15.75" x14ac:dyDescent="0.25">
      <c r="A560" s="27" t="s">
        <v>1102</v>
      </c>
      <c r="B560" s="23" t="s">
        <v>1103</v>
      </c>
      <c r="C560" s="23"/>
      <c r="D560" s="23"/>
      <c r="E560" s="23" t="s">
        <v>1087</v>
      </c>
      <c r="F560" s="28"/>
    </row>
    <row r="561" spans="1:6" ht="15.75" x14ac:dyDescent="0.25">
      <c r="A561" s="15" t="s">
        <v>1102</v>
      </c>
      <c r="B561" s="3" t="s">
        <v>47</v>
      </c>
      <c r="C561" s="3"/>
      <c r="D561" s="3"/>
      <c r="E561" s="3">
        <v>1371</v>
      </c>
      <c r="F561" s="25">
        <v>1500</v>
      </c>
    </row>
    <row r="562" spans="1:6" ht="15.75" x14ac:dyDescent="0.25">
      <c r="A562" s="15" t="s">
        <v>1102</v>
      </c>
      <c r="B562" s="3" t="s">
        <v>208</v>
      </c>
      <c r="C562" s="3"/>
      <c r="D562" s="3"/>
      <c r="E562" s="3">
        <v>478</v>
      </c>
      <c r="F562" s="25">
        <v>700</v>
      </c>
    </row>
    <row r="563" spans="1:6" ht="15.75" x14ac:dyDescent="0.25">
      <c r="A563" s="27" t="s">
        <v>1102</v>
      </c>
      <c r="B563" s="23" t="s">
        <v>390</v>
      </c>
      <c r="C563" s="23"/>
      <c r="D563" s="23"/>
      <c r="E563" s="23">
        <v>4019</v>
      </c>
      <c r="F563" s="28">
        <v>4500</v>
      </c>
    </row>
    <row r="564" spans="1:6" ht="15.75" x14ac:dyDescent="0.25">
      <c r="A564" s="27" t="s">
        <v>1102</v>
      </c>
      <c r="B564" s="23" t="s">
        <v>1105</v>
      </c>
      <c r="C564" s="23"/>
      <c r="D564" s="23"/>
      <c r="E564" s="23">
        <v>652</v>
      </c>
      <c r="F564" s="28"/>
    </row>
    <row r="565" spans="1:6" ht="15.75" x14ac:dyDescent="0.25">
      <c r="A565" s="27" t="s">
        <v>1102</v>
      </c>
      <c r="B565" s="23">
        <v>715150010</v>
      </c>
      <c r="C565" s="23"/>
      <c r="D565" s="23"/>
      <c r="E565" s="23">
        <v>2248</v>
      </c>
      <c r="F565" s="28">
        <v>2500</v>
      </c>
    </row>
    <row r="566" spans="1:6" ht="15.75" x14ac:dyDescent="0.25">
      <c r="A566" s="15" t="s">
        <v>1102</v>
      </c>
      <c r="B566" s="3" t="s">
        <v>337</v>
      </c>
      <c r="C566" s="3"/>
      <c r="D566" s="3"/>
      <c r="E566" s="3">
        <v>2604</v>
      </c>
      <c r="F566" s="25">
        <v>3000</v>
      </c>
    </row>
    <row r="567" spans="1:6" ht="15.75" x14ac:dyDescent="0.25">
      <c r="A567" s="27" t="s">
        <v>1102</v>
      </c>
      <c r="B567" s="23" t="s">
        <v>1110</v>
      </c>
      <c r="C567" s="23"/>
      <c r="D567" s="23"/>
      <c r="E567" s="23">
        <v>3100</v>
      </c>
      <c r="F567" s="28">
        <v>3500</v>
      </c>
    </row>
    <row r="568" spans="1:6" ht="15.75" x14ac:dyDescent="0.25">
      <c r="A568" s="15" t="s">
        <v>1102</v>
      </c>
      <c r="B568" s="3" t="s">
        <v>141</v>
      </c>
      <c r="C568" s="3"/>
      <c r="D568" s="3"/>
      <c r="E568" s="3" t="s">
        <v>1087</v>
      </c>
      <c r="F568" s="25">
        <v>3500</v>
      </c>
    </row>
    <row r="569" spans="1:6" ht="15.75" x14ac:dyDescent="0.25">
      <c r="A569" s="15" t="s">
        <v>1102</v>
      </c>
      <c r="B569" s="3" t="s">
        <v>50</v>
      </c>
      <c r="C569" s="3"/>
      <c r="D569" s="3"/>
      <c r="E569" s="3">
        <v>820</v>
      </c>
      <c r="F569" s="25">
        <v>1050</v>
      </c>
    </row>
    <row r="570" spans="1:6" ht="15.75" x14ac:dyDescent="0.25">
      <c r="A570" s="15" t="s">
        <v>1102</v>
      </c>
      <c r="B570" s="3" t="s">
        <v>97</v>
      </c>
      <c r="C570" s="3"/>
      <c r="D570" s="3"/>
      <c r="E570" s="3">
        <v>1839</v>
      </c>
      <c r="F570" s="25">
        <v>1900</v>
      </c>
    </row>
    <row r="571" spans="1:6" ht="15.75" x14ac:dyDescent="0.25">
      <c r="A571" s="27" t="s">
        <v>1102</v>
      </c>
      <c r="B571" s="23" t="s">
        <v>1104</v>
      </c>
      <c r="C571" s="23"/>
      <c r="D571" s="23"/>
      <c r="E571" s="23">
        <v>304</v>
      </c>
      <c r="F571" s="28"/>
    </row>
    <row r="572" spans="1:6" ht="15.75" x14ac:dyDescent="0.25">
      <c r="A572" s="15" t="s">
        <v>1112</v>
      </c>
      <c r="B572" s="3">
        <v>61273</v>
      </c>
      <c r="C572" s="3"/>
      <c r="D572" s="3"/>
      <c r="E572" s="3">
        <v>218</v>
      </c>
      <c r="F572" s="26">
        <v>300</v>
      </c>
    </row>
    <row r="573" spans="1:6" ht="15.75" x14ac:dyDescent="0.25">
      <c r="A573" s="15" t="s">
        <v>1112</v>
      </c>
      <c r="B573" s="3">
        <v>82253</v>
      </c>
      <c r="C573" s="3"/>
      <c r="D573" s="3"/>
      <c r="E573" s="3">
        <v>1294</v>
      </c>
      <c r="F573" s="25">
        <v>1350</v>
      </c>
    </row>
    <row r="574" spans="1:6" ht="15.75" x14ac:dyDescent="0.25">
      <c r="A574" s="15" t="s">
        <v>1112</v>
      </c>
      <c r="B574" s="3">
        <v>3001150</v>
      </c>
      <c r="C574" s="3"/>
      <c r="D574" s="3"/>
      <c r="E574" s="3">
        <v>1379</v>
      </c>
      <c r="F574" s="25">
        <v>1575</v>
      </c>
    </row>
    <row r="575" spans="1:6" ht="15.75" x14ac:dyDescent="0.25">
      <c r="A575" s="27" t="s">
        <v>1112</v>
      </c>
      <c r="B575" s="23">
        <v>11546367</v>
      </c>
      <c r="C575" s="23"/>
      <c r="D575" s="23"/>
      <c r="E575" s="23">
        <v>631</v>
      </c>
      <c r="F575" s="28">
        <v>700</v>
      </c>
    </row>
    <row r="576" spans="1:6" ht="15.75" x14ac:dyDescent="0.25">
      <c r="A576" s="15" t="s">
        <v>1112</v>
      </c>
      <c r="B576" s="3">
        <v>11546378</v>
      </c>
      <c r="C576" s="3"/>
      <c r="D576" s="3"/>
      <c r="E576" s="3">
        <v>1070</v>
      </c>
      <c r="F576" s="25">
        <v>1250</v>
      </c>
    </row>
    <row r="577" spans="1:6" ht="15.75" x14ac:dyDescent="0.25">
      <c r="A577" s="15" t="s">
        <v>1112</v>
      </c>
      <c r="B577" s="3">
        <v>11546456</v>
      </c>
      <c r="C577" s="3"/>
      <c r="D577" s="3"/>
      <c r="E577" s="3">
        <v>2051</v>
      </c>
      <c r="F577" s="25">
        <v>2700</v>
      </c>
    </row>
    <row r="578" spans="1:6" ht="15.75" x14ac:dyDescent="0.25">
      <c r="A578" s="15" t="s">
        <v>1112</v>
      </c>
      <c r="B578" s="3">
        <v>11546703</v>
      </c>
      <c r="C578" s="3"/>
      <c r="D578" s="3"/>
      <c r="E578" s="3">
        <v>2540</v>
      </c>
      <c r="F578" s="25">
        <v>4000</v>
      </c>
    </row>
    <row r="579" spans="1:6" ht="15.75" x14ac:dyDescent="0.25">
      <c r="A579" s="15" t="s">
        <v>1112</v>
      </c>
      <c r="B579" s="3">
        <v>11547176</v>
      </c>
      <c r="C579" s="3"/>
      <c r="D579" s="3"/>
      <c r="E579" s="3">
        <v>570</v>
      </c>
      <c r="F579" s="25">
        <v>850</v>
      </c>
    </row>
    <row r="580" spans="1:6" ht="15.75" x14ac:dyDescent="0.25">
      <c r="A580" s="15" t="s">
        <v>1112</v>
      </c>
      <c r="B580" s="3">
        <v>11547349</v>
      </c>
      <c r="C580" s="3"/>
      <c r="D580" s="3"/>
      <c r="E580" s="3">
        <v>476</v>
      </c>
      <c r="F580" s="25">
        <v>350</v>
      </c>
    </row>
    <row r="581" spans="1:6" ht="15.75" x14ac:dyDescent="0.25">
      <c r="A581" s="15" t="s">
        <v>1112</v>
      </c>
      <c r="B581" s="3">
        <v>11548414</v>
      </c>
      <c r="C581" s="3"/>
      <c r="D581" s="3"/>
      <c r="E581" s="3">
        <v>404</v>
      </c>
      <c r="F581" s="26">
        <v>485</v>
      </c>
    </row>
    <row r="582" spans="1:6" ht="15.75" x14ac:dyDescent="0.25">
      <c r="A582" s="15" t="s">
        <v>1112</v>
      </c>
      <c r="B582" s="3">
        <v>11549168</v>
      </c>
      <c r="C582" s="3"/>
      <c r="D582" s="3"/>
      <c r="E582" s="3">
        <v>952</v>
      </c>
      <c r="F582" s="25">
        <v>1000</v>
      </c>
    </row>
    <row r="583" spans="1:6" ht="15.75" x14ac:dyDescent="0.25">
      <c r="A583" s="15" t="s">
        <v>1112</v>
      </c>
      <c r="B583" s="3">
        <v>11549168</v>
      </c>
      <c r="C583" s="3"/>
      <c r="D583" s="3"/>
      <c r="E583" s="3">
        <v>910</v>
      </c>
      <c r="F583" s="25">
        <v>1000</v>
      </c>
    </row>
    <row r="584" spans="1:6" ht="15.75" x14ac:dyDescent="0.25">
      <c r="A584" s="15" t="s">
        <v>1112</v>
      </c>
      <c r="B584" s="3">
        <v>11549168</v>
      </c>
      <c r="C584" s="3"/>
      <c r="D584" s="3"/>
      <c r="E584" s="3">
        <v>780</v>
      </c>
      <c r="F584" s="25">
        <v>1000</v>
      </c>
    </row>
    <row r="585" spans="1:6" ht="15.75" x14ac:dyDescent="0.25">
      <c r="A585" s="27" t="s">
        <v>1112</v>
      </c>
      <c r="B585" s="23">
        <v>11603904</v>
      </c>
      <c r="C585" s="23"/>
      <c r="D585" s="23"/>
      <c r="E585" s="23">
        <v>493</v>
      </c>
      <c r="F585" s="28">
        <v>600</v>
      </c>
    </row>
    <row r="586" spans="1:6" ht="15.75" x14ac:dyDescent="0.25">
      <c r="A586" s="15" t="s">
        <v>1112</v>
      </c>
      <c r="B586" s="3">
        <v>11609280</v>
      </c>
      <c r="C586" s="3"/>
      <c r="D586" s="3"/>
      <c r="E586" s="3">
        <v>1245</v>
      </c>
      <c r="F586" s="25">
        <v>2000</v>
      </c>
    </row>
    <row r="587" spans="1:6" ht="15.75" x14ac:dyDescent="0.25">
      <c r="A587" s="15" t="s">
        <v>1112</v>
      </c>
      <c r="B587" s="3">
        <v>40073474</v>
      </c>
      <c r="C587" s="3"/>
      <c r="D587" s="3"/>
      <c r="E587" s="3">
        <v>114</v>
      </c>
      <c r="F587" s="25">
        <v>150</v>
      </c>
    </row>
    <row r="588" spans="1:6" ht="15.75" x14ac:dyDescent="0.25">
      <c r="A588" s="15" t="s">
        <v>1112</v>
      </c>
      <c r="B588" s="3">
        <v>40204491</v>
      </c>
      <c r="C588" s="3"/>
      <c r="D588" s="3"/>
      <c r="E588" s="3">
        <v>552</v>
      </c>
      <c r="F588" s="25">
        <v>625</v>
      </c>
    </row>
    <row r="589" spans="1:6" ht="15.75" x14ac:dyDescent="0.25">
      <c r="A589" s="27" t="s">
        <v>1112</v>
      </c>
      <c r="B589" s="23">
        <v>89055704</v>
      </c>
      <c r="C589" s="23"/>
      <c r="D589" s="23"/>
      <c r="E589" s="23" t="s">
        <v>1087</v>
      </c>
      <c r="F589" s="28"/>
    </row>
    <row r="590" spans="1:6" ht="15.75" x14ac:dyDescent="0.25">
      <c r="A590" s="15" t="s">
        <v>1112</v>
      </c>
      <c r="B590" s="3">
        <v>94012078</v>
      </c>
      <c r="C590" s="3"/>
      <c r="D590" s="3"/>
      <c r="E590" s="3">
        <v>40</v>
      </c>
      <c r="F590" s="25">
        <v>100</v>
      </c>
    </row>
    <row r="591" spans="1:6" ht="15.75" x14ac:dyDescent="0.25">
      <c r="A591" s="15" t="s">
        <v>1112</v>
      </c>
      <c r="B591" s="3" t="s">
        <v>12</v>
      </c>
      <c r="C591" s="3"/>
      <c r="D591" s="3"/>
      <c r="E591" s="3">
        <v>1041</v>
      </c>
      <c r="F591" s="25">
        <v>1500</v>
      </c>
    </row>
    <row r="592" spans="1:6" ht="15.75" x14ac:dyDescent="0.25">
      <c r="A592" s="15" t="s">
        <v>1112</v>
      </c>
      <c r="B592" s="3" t="s">
        <v>12</v>
      </c>
      <c r="C592" s="3"/>
      <c r="D592" s="3"/>
      <c r="E592" s="3">
        <v>1214</v>
      </c>
      <c r="F592" s="25">
        <v>1500</v>
      </c>
    </row>
    <row r="593" spans="1:6" ht="15.75" x14ac:dyDescent="0.25">
      <c r="A593" s="15" t="s">
        <v>1112</v>
      </c>
      <c r="B593" s="3" t="s">
        <v>392</v>
      </c>
      <c r="C593" s="3"/>
      <c r="D593" s="3"/>
      <c r="E593" s="3">
        <v>3996</v>
      </c>
      <c r="F593" s="25">
        <v>4800</v>
      </c>
    </row>
    <row r="594" spans="1:6" ht="15.75" x14ac:dyDescent="0.25">
      <c r="A594" s="15" t="s">
        <v>1112</v>
      </c>
      <c r="B594" s="3" t="s">
        <v>393</v>
      </c>
      <c r="C594" s="3">
        <v>564</v>
      </c>
      <c r="D594" s="3"/>
      <c r="E594" s="3">
        <v>960</v>
      </c>
      <c r="F594" s="25"/>
    </row>
    <row r="595" spans="1:6" ht="15.75" x14ac:dyDescent="0.25">
      <c r="A595" s="15" t="s">
        <v>1112</v>
      </c>
      <c r="B595" s="3" t="s">
        <v>393</v>
      </c>
      <c r="C595" s="3">
        <v>625</v>
      </c>
      <c r="D595" s="3"/>
      <c r="E595" s="3">
        <v>960</v>
      </c>
      <c r="F595" s="25"/>
    </row>
    <row r="596" spans="1:6" ht="15.75" x14ac:dyDescent="0.25">
      <c r="A596" s="15" t="s">
        <v>1112</v>
      </c>
      <c r="B596" s="3" t="s">
        <v>46</v>
      </c>
      <c r="C596" s="3"/>
      <c r="D596" s="3"/>
      <c r="E596" s="3">
        <v>2250</v>
      </c>
      <c r="F596" s="25">
        <v>2300</v>
      </c>
    </row>
    <row r="597" spans="1:6" ht="15.75" x14ac:dyDescent="0.25">
      <c r="A597" s="15" t="s">
        <v>1112</v>
      </c>
      <c r="B597" s="3" t="s">
        <v>832</v>
      </c>
      <c r="C597" s="3"/>
      <c r="D597" s="3"/>
      <c r="E597" s="3">
        <v>547</v>
      </c>
      <c r="F597" s="25">
        <v>750</v>
      </c>
    </row>
    <row r="598" spans="1:6" ht="15.75" x14ac:dyDescent="0.25">
      <c r="A598" s="15" t="s">
        <v>1112</v>
      </c>
      <c r="B598" s="3" t="s">
        <v>404</v>
      </c>
      <c r="C598" s="3"/>
      <c r="D598" s="3"/>
      <c r="E598" s="3">
        <v>1255</v>
      </c>
      <c r="F598" s="25">
        <v>1300</v>
      </c>
    </row>
    <row r="599" spans="1:6" ht="15.75" x14ac:dyDescent="0.25">
      <c r="A599" s="15" t="s">
        <v>1112</v>
      </c>
      <c r="B599" s="3" t="s">
        <v>49</v>
      </c>
      <c r="C599" s="3"/>
      <c r="D599" s="3"/>
      <c r="E599" s="3">
        <v>947</v>
      </c>
      <c r="F599" s="25">
        <v>1000</v>
      </c>
    </row>
    <row r="600" spans="1:6" ht="15.75" x14ac:dyDescent="0.25">
      <c r="A600" s="15" t="s">
        <v>1112</v>
      </c>
      <c r="B600" s="3" t="s">
        <v>145</v>
      </c>
      <c r="C600" s="3"/>
      <c r="D600" s="3"/>
      <c r="E600" s="3">
        <v>325</v>
      </c>
      <c r="F600" s="25">
        <v>450</v>
      </c>
    </row>
    <row r="601" spans="1:6" ht="15.75" x14ac:dyDescent="0.25">
      <c r="A601" s="15" t="s">
        <v>1112</v>
      </c>
      <c r="B601" s="3" t="s">
        <v>386</v>
      </c>
      <c r="C601" s="3"/>
      <c r="D601" s="3"/>
      <c r="E601" s="3">
        <v>220</v>
      </c>
      <c r="F601" s="25">
        <v>220</v>
      </c>
    </row>
    <row r="602" spans="1:6" ht="15.75" x14ac:dyDescent="0.25">
      <c r="A602" s="15" t="s">
        <v>1112</v>
      </c>
      <c r="B602" s="3" t="s">
        <v>391</v>
      </c>
      <c r="C602" s="3"/>
      <c r="D602" s="3"/>
      <c r="E602" s="3">
        <v>245</v>
      </c>
      <c r="F602" s="25"/>
    </row>
    <row r="603" spans="1:6" ht="15.75" x14ac:dyDescent="0.25">
      <c r="A603" s="27" t="s">
        <v>1112</v>
      </c>
      <c r="B603" s="23" t="s">
        <v>1113</v>
      </c>
      <c r="C603" s="23"/>
      <c r="D603" s="23"/>
      <c r="E603" s="23">
        <v>80</v>
      </c>
      <c r="F603" s="28">
        <v>150</v>
      </c>
    </row>
    <row r="604" spans="1:6" ht="15.75" x14ac:dyDescent="0.25">
      <c r="A604" s="15" t="s">
        <v>1112</v>
      </c>
      <c r="B604" s="3" t="s">
        <v>532</v>
      </c>
      <c r="C604" s="3"/>
      <c r="D604" s="3"/>
      <c r="E604" s="3">
        <v>477</v>
      </c>
      <c r="F604" s="25">
        <v>750</v>
      </c>
    </row>
    <row r="605" spans="1:6" ht="15.75" x14ac:dyDescent="0.25">
      <c r="A605" s="15" t="s">
        <v>1112</v>
      </c>
      <c r="B605" s="3" t="s">
        <v>96</v>
      </c>
      <c r="C605" s="3"/>
      <c r="D605" s="3"/>
      <c r="E605" s="3">
        <v>317</v>
      </c>
      <c r="F605" s="25">
        <v>600</v>
      </c>
    </row>
    <row r="606" spans="1:6" ht="15.75" x14ac:dyDescent="0.25">
      <c r="A606" s="15" t="s">
        <v>1112</v>
      </c>
      <c r="B606" s="3" t="s">
        <v>13</v>
      </c>
      <c r="C606" s="3"/>
      <c r="D606" s="3"/>
      <c r="E606" s="3">
        <v>1398</v>
      </c>
      <c r="F606" s="25">
        <v>1600</v>
      </c>
    </row>
    <row r="607" spans="1:6" ht="15.75" x14ac:dyDescent="0.25">
      <c r="A607" s="18" t="s">
        <v>1509</v>
      </c>
      <c r="B607" s="19" t="s">
        <v>339</v>
      </c>
      <c r="C607" s="3"/>
      <c r="D607" s="3"/>
      <c r="E607" s="19">
        <v>1140</v>
      </c>
      <c r="F607" s="25">
        <v>2200</v>
      </c>
    </row>
    <row r="608" spans="1:6" ht="15.75" x14ac:dyDescent="0.25">
      <c r="A608" s="18" t="s">
        <v>1512</v>
      </c>
      <c r="B608" s="19" t="s">
        <v>624</v>
      </c>
      <c r="C608" s="3"/>
      <c r="D608" s="3"/>
      <c r="E608" s="19">
        <v>330</v>
      </c>
      <c r="F608" s="25">
        <v>750</v>
      </c>
    </row>
  </sheetData>
  <autoFilter ref="A5:F5" xr:uid="{CBEF796F-0747-4824-A308-8692FAD2185E}">
    <sortState xmlns:xlrd2="http://schemas.microsoft.com/office/spreadsheetml/2017/richdata2" ref="A6:F898">
      <sortCondition ref="A5"/>
    </sortState>
  </autoFilter>
  <mergeCells count="1">
    <mergeCell ref="A1:F3"/>
  </mergeCells>
  <conditionalFormatting sqref="A1 B4:B1048576">
    <cfRule type="duplicateValues" dxfId="113" priority="44"/>
    <cfRule type="duplicateValues" dxfId="112" priority="37"/>
  </conditionalFormatting>
  <conditionalFormatting sqref="B5:B67">
    <cfRule type="duplicateValues" dxfId="111" priority="48"/>
  </conditionalFormatting>
  <conditionalFormatting sqref="B68:B339 B4 A1 B341:B1048576">
    <cfRule type="duplicateValues" dxfId="110" priority="47"/>
  </conditionalFormatting>
  <conditionalFormatting sqref="B340">
    <cfRule type="duplicateValues" dxfId="109" priority="4"/>
  </conditionalFormatting>
  <conditionalFormatting sqref="B345">
    <cfRule type="duplicateValues" dxfId="108" priority="1"/>
  </conditionalFormatting>
  <conditionalFormatting sqref="C72:C73">
    <cfRule type="duplicateValues" dxfId="107" priority="39"/>
    <cfRule type="duplicateValues" dxfId="106" priority="38"/>
  </conditionalFormatting>
  <conditionalFormatting sqref="C341:C344 C68:C71 C4 C74:C339 C346:C1048576">
    <cfRule type="duplicateValues" dxfId="105" priority="45"/>
    <cfRule type="duplicateValues" dxfId="104" priority="46"/>
  </conditionalFormatting>
  <conditionalFormatting sqref="C6:D51">
    <cfRule type="duplicateValues" dxfId="103" priority="50"/>
    <cfRule type="duplicateValues" dxfId="102" priority="49"/>
  </conditionalFormatting>
  <conditionalFormatting sqref="C52:D67">
    <cfRule type="duplicateValues" dxfId="101" priority="43"/>
    <cfRule type="duplicateValues" dxfId="100" priority="42"/>
  </conditionalFormatting>
  <conditionalFormatting sqref="C340:D340">
    <cfRule type="duplicateValues" dxfId="99" priority="5"/>
    <cfRule type="duplicateValues" dxfId="98" priority="6"/>
  </conditionalFormatting>
  <conditionalFormatting sqref="C345:D345">
    <cfRule type="duplicateValues" dxfId="97" priority="2"/>
    <cfRule type="duplicateValues" dxfId="96" priority="3"/>
  </conditionalFormatting>
  <conditionalFormatting sqref="C5:E5">
    <cfRule type="duplicateValues" dxfId="95" priority="41"/>
    <cfRule type="duplicateValues" dxfId="94" priority="40"/>
  </conditionalFormatting>
  <conditionalFormatting sqref="E6">
    <cfRule type="duplicateValues" dxfId="93" priority="31"/>
    <cfRule type="duplicateValues" dxfId="92" priority="32"/>
  </conditionalFormatting>
  <conditionalFormatting sqref="E23:E24">
    <cfRule type="duplicateValues" dxfId="91" priority="33"/>
    <cfRule type="duplicateValues" dxfId="90" priority="34"/>
  </conditionalFormatting>
  <conditionalFormatting sqref="E39:E40">
    <cfRule type="duplicateValues" dxfId="89" priority="36"/>
    <cfRule type="duplicateValues" dxfId="88" priority="35"/>
  </conditionalFormatting>
  <conditionalFormatting sqref="E187:E188">
    <cfRule type="duplicateValues" dxfId="87" priority="29"/>
    <cfRule type="duplicateValues" dxfId="86" priority="30"/>
  </conditionalFormatting>
  <conditionalFormatting sqref="E199:E201">
    <cfRule type="duplicateValues" dxfId="85" priority="28"/>
    <cfRule type="duplicateValues" dxfId="84" priority="27"/>
  </conditionalFormatting>
  <conditionalFormatting sqref="E270:E272">
    <cfRule type="duplicateValues" dxfId="83" priority="25"/>
    <cfRule type="duplicateValues" dxfId="82" priority="26"/>
  </conditionalFormatting>
  <conditionalFormatting sqref="E308">
    <cfRule type="duplicateValues" dxfId="81" priority="24"/>
    <cfRule type="duplicateValues" dxfId="80" priority="23"/>
  </conditionalFormatting>
  <conditionalFormatting sqref="E311">
    <cfRule type="duplicateValues" dxfId="79" priority="22"/>
    <cfRule type="duplicateValues" dxfId="78" priority="21"/>
  </conditionalFormatting>
  <conditionalFormatting sqref="E320:E321">
    <cfRule type="duplicateValues" dxfId="77" priority="20"/>
    <cfRule type="duplicateValues" dxfId="76" priority="19"/>
  </conditionalFormatting>
  <conditionalFormatting sqref="E374:E375">
    <cfRule type="duplicateValues" dxfId="75" priority="17"/>
    <cfRule type="duplicateValues" dxfId="74" priority="18"/>
  </conditionalFormatting>
  <conditionalFormatting sqref="E396:E397">
    <cfRule type="duplicateValues" dxfId="73" priority="15"/>
    <cfRule type="duplicateValues" dxfId="72" priority="16"/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B0A2-5E2B-4737-9BDF-766E24865294}">
  <dimension ref="A1:F78"/>
  <sheetViews>
    <sheetView topLeftCell="A52" workbookViewId="0">
      <selection activeCell="L73" sqref="L73"/>
    </sheetView>
  </sheetViews>
  <sheetFormatPr defaultRowHeight="15" x14ac:dyDescent="0.25"/>
  <cols>
    <col min="1" max="1" width="9.7109375" bestFit="1" customWidth="1"/>
    <col min="2" max="2" width="23.28515625" bestFit="1" customWidth="1"/>
    <col min="3" max="3" width="10.42578125" bestFit="1" customWidth="1"/>
    <col min="4" max="4" width="10.7109375" hidden="1" customWidth="1"/>
    <col min="5" max="5" width="18" bestFit="1" customWidth="1"/>
    <col min="6" max="6" width="20.7109375" style="24" bestFit="1" customWidth="1"/>
  </cols>
  <sheetData>
    <row r="1" spans="1:6" x14ac:dyDescent="0.25">
      <c r="A1" s="46" t="s">
        <v>6</v>
      </c>
      <c r="B1" s="46"/>
      <c r="C1" s="46"/>
      <c r="D1" s="46"/>
      <c r="E1" s="46"/>
      <c r="F1" s="46"/>
    </row>
    <row r="2" spans="1:6" x14ac:dyDescent="0.25">
      <c r="A2" s="46"/>
      <c r="B2" s="46"/>
      <c r="C2" s="46"/>
      <c r="D2" s="46"/>
      <c r="E2" s="46"/>
      <c r="F2" s="46"/>
    </row>
    <row r="3" spans="1:6" x14ac:dyDescent="0.25">
      <c r="A3" s="47"/>
      <c r="B3" s="47"/>
      <c r="C3" s="47"/>
      <c r="D3" s="47"/>
      <c r="E3" s="47"/>
      <c r="F3" s="47"/>
    </row>
    <row r="4" spans="1:6" x14ac:dyDescent="0.25">
      <c r="A4" s="34" t="s">
        <v>1535</v>
      </c>
      <c r="B4" s="4" t="s">
        <v>5</v>
      </c>
      <c r="C4" s="4" t="s">
        <v>4</v>
      </c>
      <c r="D4" s="4" t="s">
        <v>3</v>
      </c>
      <c r="E4" s="4" t="s">
        <v>1511</v>
      </c>
      <c r="F4" s="35" t="s">
        <v>1510</v>
      </c>
    </row>
    <row r="5" spans="1:6" x14ac:dyDescent="0.25">
      <c r="A5" s="36">
        <v>46255</v>
      </c>
      <c r="B5" t="s">
        <v>1536</v>
      </c>
      <c r="E5">
        <v>1680</v>
      </c>
      <c r="F5" s="24">
        <v>2500</v>
      </c>
    </row>
    <row r="6" spans="1:6" x14ac:dyDescent="0.25">
      <c r="A6" s="36">
        <v>46255</v>
      </c>
      <c r="B6" t="s">
        <v>1537</v>
      </c>
      <c r="E6">
        <v>191</v>
      </c>
      <c r="F6" s="24">
        <v>215</v>
      </c>
    </row>
    <row r="7" spans="1:6" x14ac:dyDescent="0.25">
      <c r="A7" s="36">
        <v>46255</v>
      </c>
      <c r="B7" t="s">
        <v>52</v>
      </c>
      <c r="E7">
        <v>612</v>
      </c>
      <c r="F7" s="24">
        <v>660</v>
      </c>
    </row>
    <row r="8" spans="1:6" x14ac:dyDescent="0.25">
      <c r="A8" s="36">
        <v>46255</v>
      </c>
      <c r="B8" t="s">
        <v>52</v>
      </c>
      <c r="E8">
        <v>285</v>
      </c>
      <c r="F8" s="24">
        <v>660</v>
      </c>
    </row>
    <row r="9" spans="1:6" x14ac:dyDescent="0.25">
      <c r="A9" s="36">
        <v>46255</v>
      </c>
      <c r="B9">
        <v>11546463</v>
      </c>
      <c r="E9">
        <v>413</v>
      </c>
      <c r="F9" s="24">
        <v>450</v>
      </c>
    </row>
    <row r="10" spans="1:6" x14ac:dyDescent="0.25">
      <c r="A10" s="36">
        <v>46255</v>
      </c>
      <c r="B10" t="s">
        <v>1538</v>
      </c>
      <c r="E10">
        <v>1100</v>
      </c>
      <c r="F10" s="24">
        <v>1500</v>
      </c>
    </row>
    <row r="11" spans="1:6" x14ac:dyDescent="0.25">
      <c r="A11" s="36">
        <v>46255</v>
      </c>
      <c r="B11" t="s">
        <v>359</v>
      </c>
      <c r="E11">
        <v>1000</v>
      </c>
      <c r="F11" s="24">
        <v>2050</v>
      </c>
    </row>
    <row r="12" spans="1:6" x14ac:dyDescent="0.25">
      <c r="A12" s="36">
        <v>46256</v>
      </c>
      <c r="B12" t="s">
        <v>78</v>
      </c>
      <c r="E12">
        <v>239</v>
      </c>
      <c r="F12" s="24">
        <v>250</v>
      </c>
    </row>
    <row r="13" spans="1:6" x14ac:dyDescent="0.25">
      <c r="A13" s="36">
        <v>46256</v>
      </c>
      <c r="B13" t="s">
        <v>78</v>
      </c>
      <c r="E13">
        <v>250</v>
      </c>
      <c r="F13" s="24">
        <v>250</v>
      </c>
    </row>
    <row r="14" spans="1:6" x14ac:dyDescent="0.25">
      <c r="A14" s="36">
        <v>46256</v>
      </c>
      <c r="B14" t="s">
        <v>332</v>
      </c>
      <c r="E14">
        <v>725</v>
      </c>
      <c r="F14" s="24">
        <v>800</v>
      </c>
    </row>
    <row r="15" spans="1:6" x14ac:dyDescent="0.25">
      <c r="A15" s="36">
        <v>46256</v>
      </c>
      <c r="B15">
        <v>11546463</v>
      </c>
      <c r="E15">
        <v>267</v>
      </c>
      <c r="F15" s="24">
        <v>450</v>
      </c>
    </row>
    <row r="16" spans="1:6" x14ac:dyDescent="0.25">
      <c r="A16" s="36">
        <v>46256</v>
      </c>
      <c r="B16">
        <v>11588293</v>
      </c>
      <c r="E16">
        <v>1038</v>
      </c>
      <c r="F16" s="24">
        <v>1150</v>
      </c>
    </row>
    <row r="17" spans="1:6" x14ac:dyDescent="0.25">
      <c r="A17" s="36">
        <v>46256</v>
      </c>
      <c r="B17" t="s">
        <v>1539</v>
      </c>
      <c r="E17">
        <v>178</v>
      </c>
      <c r="F17" s="24">
        <v>200</v>
      </c>
    </row>
    <row r="18" spans="1:6" x14ac:dyDescent="0.25">
      <c r="A18" s="36">
        <v>46256</v>
      </c>
      <c r="B18">
        <v>11604000</v>
      </c>
      <c r="E18">
        <v>247</v>
      </c>
      <c r="F18" s="24">
        <v>585</v>
      </c>
    </row>
    <row r="19" spans="1:6" x14ac:dyDescent="0.25">
      <c r="A19" s="36">
        <v>46256</v>
      </c>
      <c r="B19">
        <v>11604000</v>
      </c>
      <c r="E19">
        <v>340</v>
      </c>
      <c r="F19" s="24">
        <v>585</v>
      </c>
    </row>
    <row r="20" spans="1:6" x14ac:dyDescent="0.25">
      <c r="A20" s="36">
        <v>46256</v>
      </c>
      <c r="B20" t="s">
        <v>1</v>
      </c>
      <c r="E20">
        <v>385</v>
      </c>
      <c r="F20" s="24">
        <v>670</v>
      </c>
    </row>
    <row r="21" spans="1:6" x14ac:dyDescent="0.25">
      <c r="A21" s="36">
        <v>46256</v>
      </c>
      <c r="B21" t="s">
        <v>17</v>
      </c>
      <c r="E21">
        <v>2509</v>
      </c>
      <c r="F21" s="24">
        <v>3000</v>
      </c>
    </row>
    <row r="22" spans="1:6" x14ac:dyDescent="0.25">
      <c r="A22" s="36">
        <v>46256</v>
      </c>
      <c r="B22">
        <v>11610091</v>
      </c>
      <c r="E22">
        <v>1478</v>
      </c>
      <c r="F22" s="24">
        <v>2500</v>
      </c>
    </row>
    <row r="23" spans="1:6" x14ac:dyDescent="0.25">
      <c r="A23" s="36">
        <v>46256</v>
      </c>
      <c r="B23" t="s">
        <v>208</v>
      </c>
      <c r="E23">
        <v>416</v>
      </c>
      <c r="F23" s="24">
        <v>700</v>
      </c>
    </row>
    <row r="24" spans="1:6" x14ac:dyDescent="0.25">
      <c r="A24" s="36">
        <v>46258</v>
      </c>
      <c r="B24" t="s">
        <v>258</v>
      </c>
      <c r="E24">
        <v>278</v>
      </c>
      <c r="F24" s="24">
        <v>290</v>
      </c>
    </row>
    <row r="25" spans="1:6" x14ac:dyDescent="0.25">
      <c r="A25" s="36">
        <v>46258</v>
      </c>
      <c r="B25" t="s">
        <v>179</v>
      </c>
      <c r="E25">
        <v>682</v>
      </c>
      <c r="F25" s="24">
        <v>820</v>
      </c>
    </row>
    <row r="26" spans="1:6" x14ac:dyDescent="0.25">
      <c r="A26" s="36">
        <v>46258</v>
      </c>
      <c r="B26" t="s">
        <v>1540</v>
      </c>
      <c r="E26">
        <v>712</v>
      </c>
      <c r="F26" s="24">
        <v>820</v>
      </c>
    </row>
    <row r="27" spans="1:6" x14ac:dyDescent="0.25">
      <c r="A27" s="36">
        <v>46258</v>
      </c>
      <c r="B27">
        <v>90280051</v>
      </c>
      <c r="E27">
        <v>3647</v>
      </c>
      <c r="F27" s="24">
        <v>4000</v>
      </c>
    </row>
    <row r="28" spans="1:6" x14ac:dyDescent="0.25">
      <c r="A28" s="36">
        <v>46258</v>
      </c>
      <c r="B28">
        <v>11546774</v>
      </c>
      <c r="E28">
        <v>322</v>
      </c>
      <c r="F28" s="24">
        <v>450</v>
      </c>
    </row>
    <row r="29" spans="1:6" x14ac:dyDescent="0.25">
      <c r="A29" s="36">
        <v>46258</v>
      </c>
      <c r="B29">
        <v>11546449</v>
      </c>
      <c r="E29">
        <v>2454</v>
      </c>
      <c r="F29" s="24">
        <v>250</v>
      </c>
    </row>
    <row r="30" spans="1:6" x14ac:dyDescent="0.25">
      <c r="A30" s="36">
        <v>46258</v>
      </c>
      <c r="B30" t="s">
        <v>212</v>
      </c>
      <c r="E30">
        <v>982</v>
      </c>
      <c r="F30" s="24">
        <v>1250</v>
      </c>
    </row>
    <row r="31" spans="1:6" x14ac:dyDescent="0.25">
      <c r="A31" s="36">
        <v>46258</v>
      </c>
      <c r="B31" t="s">
        <v>212</v>
      </c>
      <c r="E31">
        <v>710</v>
      </c>
      <c r="F31" s="24">
        <v>1250</v>
      </c>
    </row>
    <row r="32" spans="1:6" x14ac:dyDescent="0.25">
      <c r="A32" s="36">
        <v>46258</v>
      </c>
      <c r="B32" t="s">
        <v>1541</v>
      </c>
      <c r="E32">
        <v>364</v>
      </c>
      <c r="F32" s="24">
        <v>520</v>
      </c>
    </row>
    <row r="33" spans="1:6" x14ac:dyDescent="0.25">
      <c r="A33" s="36">
        <v>46258</v>
      </c>
      <c r="B33" t="s">
        <v>1538</v>
      </c>
      <c r="E33">
        <v>1218</v>
      </c>
      <c r="F33" s="24">
        <v>1500</v>
      </c>
    </row>
    <row r="34" spans="1:6" x14ac:dyDescent="0.25">
      <c r="A34" s="36">
        <v>46258</v>
      </c>
      <c r="B34">
        <v>11549170</v>
      </c>
      <c r="E34">
        <v>286</v>
      </c>
      <c r="F34" s="24">
        <v>400</v>
      </c>
    </row>
    <row r="35" spans="1:6" x14ac:dyDescent="0.25">
      <c r="A35" s="36">
        <v>46258</v>
      </c>
      <c r="B35" t="s">
        <v>1542</v>
      </c>
      <c r="E35">
        <v>222</v>
      </c>
      <c r="F35" s="24">
        <v>250</v>
      </c>
    </row>
    <row r="36" spans="1:6" x14ac:dyDescent="0.25">
      <c r="A36" s="36">
        <v>46258</v>
      </c>
      <c r="B36">
        <v>11549170</v>
      </c>
      <c r="E36">
        <v>450</v>
      </c>
      <c r="F36" s="24">
        <v>450</v>
      </c>
    </row>
    <row r="37" spans="1:6" x14ac:dyDescent="0.25">
      <c r="A37" s="36">
        <v>46258</v>
      </c>
      <c r="B37">
        <v>11609280</v>
      </c>
      <c r="E37">
        <v>1626</v>
      </c>
      <c r="F37" s="24">
        <v>2000</v>
      </c>
    </row>
    <row r="38" spans="1:6" x14ac:dyDescent="0.25">
      <c r="A38" s="36">
        <v>46258</v>
      </c>
      <c r="B38" t="s">
        <v>212</v>
      </c>
      <c r="E38">
        <v>739</v>
      </c>
      <c r="F38" s="24">
        <v>1250</v>
      </c>
    </row>
    <row r="39" spans="1:6" x14ac:dyDescent="0.25">
      <c r="A39" s="36">
        <v>46258</v>
      </c>
      <c r="B39">
        <v>11547059</v>
      </c>
      <c r="E39">
        <v>481</v>
      </c>
      <c r="F39" s="24">
        <v>550</v>
      </c>
    </row>
    <row r="40" spans="1:6" x14ac:dyDescent="0.25">
      <c r="A40" s="36">
        <v>46258</v>
      </c>
      <c r="B40">
        <v>6101736</v>
      </c>
      <c r="E40">
        <v>2600</v>
      </c>
      <c r="F40" s="24">
        <v>3200</v>
      </c>
    </row>
    <row r="41" spans="1:6" x14ac:dyDescent="0.25">
      <c r="A41" s="36">
        <v>46258</v>
      </c>
      <c r="B41">
        <v>11546463</v>
      </c>
      <c r="E41">
        <v>462</v>
      </c>
      <c r="F41" s="24">
        <v>1300</v>
      </c>
    </row>
    <row r="42" spans="1:6" x14ac:dyDescent="0.25">
      <c r="A42" s="36">
        <v>46258</v>
      </c>
      <c r="B42" t="s">
        <v>136</v>
      </c>
      <c r="E42">
        <v>120</v>
      </c>
      <c r="F42" s="24">
        <v>135</v>
      </c>
    </row>
    <row r="43" spans="1:6" x14ac:dyDescent="0.25">
      <c r="A43" s="36">
        <v>46258</v>
      </c>
      <c r="B43">
        <v>11546463</v>
      </c>
      <c r="E43">
        <v>359</v>
      </c>
      <c r="F43" s="24">
        <v>450</v>
      </c>
    </row>
    <row r="44" spans="1:6" x14ac:dyDescent="0.25">
      <c r="A44" s="36">
        <v>46259</v>
      </c>
      <c r="B44" t="s">
        <v>1543</v>
      </c>
      <c r="E44">
        <v>302</v>
      </c>
      <c r="F44" s="24">
        <v>450</v>
      </c>
    </row>
    <row r="45" spans="1:6" x14ac:dyDescent="0.25">
      <c r="A45" s="36">
        <v>46259</v>
      </c>
      <c r="B45" t="s">
        <v>1543</v>
      </c>
      <c r="E45">
        <v>326</v>
      </c>
      <c r="F45" s="24">
        <v>480</v>
      </c>
    </row>
    <row r="46" spans="1:6" x14ac:dyDescent="0.25">
      <c r="A46" s="36">
        <v>46259</v>
      </c>
      <c r="B46" t="s">
        <v>1543</v>
      </c>
      <c r="E46">
        <v>370</v>
      </c>
      <c r="F46" s="24">
        <v>450</v>
      </c>
    </row>
    <row r="47" spans="1:6" x14ac:dyDescent="0.25">
      <c r="A47" s="36">
        <v>46259</v>
      </c>
      <c r="B47">
        <v>94012078</v>
      </c>
      <c r="C47" t="s">
        <v>1547</v>
      </c>
      <c r="E47">
        <v>73</v>
      </c>
      <c r="F47" s="24">
        <v>100</v>
      </c>
    </row>
    <row r="48" spans="1:6" x14ac:dyDescent="0.25">
      <c r="A48" s="36">
        <v>46259</v>
      </c>
      <c r="B48">
        <v>11602031</v>
      </c>
      <c r="E48">
        <v>56</v>
      </c>
      <c r="F48" s="24">
        <v>145</v>
      </c>
    </row>
    <row r="49" spans="1:6" x14ac:dyDescent="0.25">
      <c r="A49" s="36">
        <v>46259</v>
      </c>
      <c r="B49">
        <v>11547059</v>
      </c>
      <c r="E49">
        <v>657</v>
      </c>
      <c r="F49" s="24">
        <v>550</v>
      </c>
    </row>
    <row r="50" spans="1:6" x14ac:dyDescent="0.25">
      <c r="A50" s="36">
        <v>46259</v>
      </c>
      <c r="B50" t="s">
        <v>15</v>
      </c>
      <c r="C50" t="s">
        <v>1548</v>
      </c>
      <c r="E50">
        <v>680</v>
      </c>
      <c r="F50" s="24">
        <v>700</v>
      </c>
    </row>
    <row r="51" spans="1:6" x14ac:dyDescent="0.25">
      <c r="A51" s="36">
        <v>46259</v>
      </c>
      <c r="B51" t="s">
        <v>96</v>
      </c>
      <c r="E51">
        <v>311</v>
      </c>
      <c r="F51" s="24">
        <v>600</v>
      </c>
    </row>
    <row r="52" spans="1:6" x14ac:dyDescent="0.25">
      <c r="A52" s="36">
        <v>46259</v>
      </c>
      <c r="B52" t="s">
        <v>337</v>
      </c>
      <c r="E52">
        <v>1640</v>
      </c>
      <c r="F52" s="24">
        <v>3000</v>
      </c>
    </row>
    <row r="53" spans="1:6" x14ac:dyDescent="0.25">
      <c r="A53" s="36">
        <v>46259</v>
      </c>
      <c r="B53" t="s">
        <v>1538</v>
      </c>
      <c r="E53">
        <v>1338</v>
      </c>
      <c r="F53" s="24">
        <v>1500</v>
      </c>
    </row>
    <row r="54" spans="1:6" x14ac:dyDescent="0.25">
      <c r="A54" s="36">
        <v>46259</v>
      </c>
      <c r="B54" t="s">
        <v>459</v>
      </c>
      <c r="E54">
        <v>1250</v>
      </c>
      <c r="F54" s="24">
        <v>1250</v>
      </c>
    </row>
    <row r="55" spans="1:6" x14ac:dyDescent="0.25">
      <c r="A55" s="36">
        <v>46259</v>
      </c>
      <c r="B55" t="s">
        <v>15</v>
      </c>
      <c r="E55">
        <v>622</v>
      </c>
      <c r="F55" s="24">
        <v>700</v>
      </c>
    </row>
    <row r="56" spans="1:6" x14ac:dyDescent="0.25">
      <c r="A56" s="36">
        <v>46259</v>
      </c>
      <c r="B56" t="s">
        <v>1538</v>
      </c>
      <c r="C56" t="s">
        <v>1549</v>
      </c>
      <c r="E56">
        <v>855</v>
      </c>
      <c r="F56" s="24">
        <v>1500</v>
      </c>
    </row>
    <row r="57" spans="1:6" x14ac:dyDescent="0.25">
      <c r="A57" s="36">
        <v>46259</v>
      </c>
      <c r="B57">
        <v>11546462</v>
      </c>
      <c r="E57">
        <v>330</v>
      </c>
      <c r="F57" s="24">
        <v>650</v>
      </c>
    </row>
    <row r="58" spans="1:6" x14ac:dyDescent="0.25">
      <c r="A58" s="36">
        <v>46259</v>
      </c>
      <c r="B58" t="s">
        <v>98</v>
      </c>
      <c r="E58">
        <v>2129</v>
      </c>
      <c r="F58" s="24">
        <v>2800</v>
      </c>
    </row>
    <row r="59" spans="1:6" x14ac:dyDescent="0.25">
      <c r="A59" s="36">
        <v>46259</v>
      </c>
      <c r="B59" t="s">
        <v>98</v>
      </c>
      <c r="E59">
        <v>1990</v>
      </c>
      <c r="F59" s="24">
        <v>2800</v>
      </c>
    </row>
    <row r="60" spans="1:6" x14ac:dyDescent="0.25">
      <c r="A60" s="36">
        <v>46259</v>
      </c>
      <c r="B60" t="s">
        <v>899</v>
      </c>
      <c r="C60" t="s">
        <v>1550</v>
      </c>
      <c r="E60">
        <v>607</v>
      </c>
      <c r="F60" s="24">
        <v>750</v>
      </c>
    </row>
    <row r="61" spans="1:6" x14ac:dyDescent="0.25">
      <c r="A61" s="36">
        <v>46259</v>
      </c>
      <c r="B61">
        <v>94012078</v>
      </c>
      <c r="C61" t="s">
        <v>1551</v>
      </c>
      <c r="E61">
        <v>93</v>
      </c>
      <c r="F61" s="24">
        <v>100</v>
      </c>
    </row>
    <row r="62" spans="1:6" x14ac:dyDescent="0.25">
      <c r="A62" s="36">
        <v>46259</v>
      </c>
      <c r="B62" t="s">
        <v>15</v>
      </c>
      <c r="C62" t="s">
        <v>1552</v>
      </c>
      <c r="E62">
        <v>534</v>
      </c>
      <c r="F62" s="24">
        <v>700</v>
      </c>
    </row>
    <row r="63" spans="1:6" x14ac:dyDescent="0.25">
      <c r="A63" s="36">
        <v>46259</v>
      </c>
      <c r="B63">
        <v>94012078</v>
      </c>
      <c r="C63" t="s">
        <v>1553</v>
      </c>
      <c r="E63">
        <v>50</v>
      </c>
      <c r="F63" s="24">
        <v>100</v>
      </c>
    </row>
    <row r="64" spans="1:6" x14ac:dyDescent="0.25">
      <c r="A64" s="36">
        <v>46259</v>
      </c>
      <c r="B64">
        <v>61273</v>
      </c>
      <c r="E64">
        <v>248</v>
      </c>
      <c r="F64" s="24">
        <v>300</v>
      </c>
    </row>
    <row r="65" spans="1:6" x14ac:dyDescent="0.25">
      <c r="A65" s="36">
        <v>46259</v>
      </c>
      <c r="B65" t="s">
        <v>47</v>
      </c>
      <c r="E65">
        <v>1260</v>
      </c>
      <c r="F65" s="24">
        <v>1900</v>
      </c>
    </row>
    <row r="66" spans="1:6" x14ac:dyDescent="0.25">
      <c r="A66" s="36">
        <v>46260</v>
      </c>
      <c r="B66" t="s">
        <v>1544</v>
      </c>
      <c r="C66" t="s">
        <v>1554</v>
      </c>
      <c r="E66">
        <v>121</v>
      </c>
      <c r="F66" s="24">
        <v>135</v>
      </c>
    </row>
    <row r="67" spans="1:6" x14ac:dyDescent="0.25">
      <c r="A67" s="36">
        <v>46260</v>
      </c>
      <c r="B67" t="s">
        <v>100</v>
      </c>
      <c r="C67" t="s">
        <v>1555</v>
      </c>
      <c r="E67">
        <v>580</v>
      </c>
      <c r="F67" s="24">
        <v>580</v>
      </c>
    </row>
    <row r="68" spans="1:6" x14ac:dyDescent="0.25">
      <c r="A68" s="36">
        <v>46260</v>
      </c>
      <c r="B68" t="s">
        <v>389</v>
      </c>
      <c r="E68">
        <v>209</v>
      </c>
      <c r="F68" s="24">
        <v>280</v>
      </c>
    </row>
    <row r="69" spans="1:6" x14ac:dyDescent="0.25">
      <c r="A69" s="36">
        <v>46260</v>
      </c>
      <c r="B69">
        <v>11561114</v>
      </c>
      <c r="E69">
        <v>219</v>
      </c>
      <c r="F69" s="24">
        <v>400</v>
      </c>
    </row>
    <row r="70" spans="1:6" x14ac:dyDescent="0.25">
      <c r="A70" s="36">
        <v>46260</v>
      </c>
      <c r="B70">
        <v>11546437</v>
      </c>
      <c r="E70">
        <v>1044</v>
      </c>
      <c r="F70" s="24">
        <v>1500</v>
      </c>
    </row>
    <row r="71" spans="1:6" x14ac:dyDescent="0.25">
      <c r="A71" s="36">
        <v>46260</v>
      </c>
      <c r="B71">
        <v>22800396</v>
      </c>
      <c r="E71">
        <v>1115</v>
      </c>
      <c r="F71" s="24">
        <v>1300</v>
      </c>
    </row>
    <row r="72" spans="1:6" x14ac:dyDescent="0.25">
      <c r="A72" s="36">
        <v>46260</v>
      </c>
      <c r="B72" t="s">
        <v>1545</v>
      </c>
      <c r="E72">
        <v>2894</v>
      </c>
      <c r="F72" s="24">
        <v>4000</v>
      </c>
    </row>
    <row r="73" spans="1:6" x14ac:dyDescent="0.25">
      <c r="A73" s="36">
        <v>46260</v>
      </c>
      <c r="B73">
        <v>40109770</v>
      </c>
      <c r="E73">
        <v>139</v>
      </c>
      <c r="F73" s="24">
        <v>250</v>
      </c>
    </row>
    <row r="74" spans="1:6" x14ac:dyDescent="0.25">
      <c r="A74" s="36">
        <v>46260</v>
      </c>
      <c r="B74">
        <v>40109770</v>
      </c>
      <c r="E74">
        <v>138</v>
      </c>
      <c r="F74" s="24">
        <v>250</v>
      </c>
    </row>
    <row r="75" spans="1:6" x14ac:dyDescent="0.25">
      <c r="A75" s="36">
        <v>46260</v>
      </c>
      <c r="B75">
        <v>82253</v>
      </c>
      <c r="C75" t="s">
        <v>1556</v>
      </c>
      <c r="E75">
        <v>974</v>
      </c>
      <c r="F75" s="24">
        <v>1350</v>
      </c>
    </row>
    <row r="76" spans="1:6" x14ac:dyDescent="0.25">
      <c r="A76" s="36">
        <v>46260</v>
      </c>
      <c r="B76" t="s">
        <v>1546</v>
      </c>
      <c r="E76">
        <v>1166</v>
      </c>
      <c r="F76" s="24">
        <v>1300</v>
      </c>
    </row>
    <row r="77" spans="1:6" x14ac:dyDescent="0.25">
      <c r="A77" s="36">
        <v>46260</v>
      </c>
      <c r="B77">
        <v>11546463</v>
      </c>
      <c r="E77">
        <v>274</v>
      </c>
      <c r="F77" s="24">
        <v>450</v>
      </c>
    </row>
    <row r="78" spans="1:6" x14ac:dyDescent="0.25">
      <c r="A78" s="36">
        <v>46260</v>
      </c>
      <c r="B78" t="s">
        <v>55</v>
      </c>
      <c r="C78" t="s">
        <v>1557</v>
      </c>
      <c r="E78">
        <v>703</v>
      </c>
      <c r="F78" s="24">
        <v>825</v>
      </c>
    </row>
  </sheetData>
  <mergeCells count="1">
    <mergeCell ref="A1:F3"/>
  </mergeCells>
  <conditionalFormatting sqref="A1 B4:B1048576">
    <cfRule type="duplicateValues" dxfId="71" priority="29"/>
    <cfRule type="duplicateValues" dxfId="70" priority="36"/>
    <cfRule type="duplicateValues" dxfId="69" priority="247"/>
  </conditionalFormatting>
  <conditionalFormatting sqref="C4 E5:E27 C44:C1048576 E34:E78">
    <cfRule type="duplicateValues" dxfId="68" priority="251"/>
    <cfRule type="duplicateValues" dxfId="67" priority="252"/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63B1-7EFF-4490-BEBF-DE0420F59B91}">
  <sheetPr>
    <pageSetUpPr fitToPage="1"/>
  </sheetPr>
  <dimension ref="A1:D50"/>
  <sheetViews>
    <sheetView topLeftCell="A2" zoomScaleNormal="100" workbookViewId="0">
      <selection activeCell="F37" sqref="F37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46259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>
        <v>90158</v>
      </c>
      <c r="B25" s="3" t="s">
        <v>1513</v>
      </c>
      <c r="C25" s="3"/>
      <c r="D25" s="3">
        <v>1</v>
      </c>
    </row>
    <row r="26" spans="1:4" ht="26.25" customHeight="1" x14ac:dyDescent="0.25">
      <c r="A26" s="3">
        <v>10083390</v>
      </c>
      <c r="B26" s="3" t="s">
        <v>1140</v>
      </c>
      <c r="C26" s="3"/>
      <c r="D26" s="3">
        <v>2</v>
      </c>
    </row>
    <row r="27" spans="1:4" ht="26.25" customHeight="1" x14ac:dyDescent="0.25">
      <c r="A27" s="3">
        <v>92468</v>
      </c>
      <c r="B27" s="3" t="s">
        <v>1164</v>
      </c>
      <c r="C27" s="3"/>
      <c r="D27" s="3">
        <v>1</v>
      </c>
    </row>
    <row r="28" spans="1:4" ht="26.25" customHeight="1" x14ac:dyDescent="0.25">
      <c r="A28" s="3">
        <v>61525</v>
      </c>
      <c r="B28" s="3" t="s">
        <v>1514</v>
      </c>
      <c r="C28" s="3"/>
      <c r="D28" s="3">
        <v>1</v>
      </c>
    </row>
    <row r="29" spans="1:4" ht="26.25" customHeight="1" x14ac:dyDescent="0.25">
      <c r="A29" s="3">
        <v>91054</v>
      </c>
      <c r="B29" s="3" t="s">
        <v>1151</v>
      </c>
      <c r="C29" s="3"/>
      <c r="D29" s="3">
        <v>1</v>
      </c>
    </row>
    <row r="30" spans="1:4" ht="26.25" customHeight="1" x14ac:dyDescent="0.25">
      <c r="A30" s="3">
        <v>3001150</v>
      </c>
      <c r="B30" s="3" t="s">
        <v>1515</v>
      </c>
      <c r="C30" s="3"/>
      <c r="D30" s="3">
        <v>1</v>
      </c>
    </row>
    <row r="31" spans="1:4" ht="26.25" customHeight="1" x14ac:dyDescent="0.25">
      <c r="A31" s="3">
        <v>7320491</v>
      </c>
      <c r="B31" s="3" t="s">
        <v>1516</v>
      </c>
      <c r="C31" s="3"/>
      <c r="D31" s="3">
        <v>1</v>
      </c>
    </row>
    <row r="32" spans="1:4" ht="26.25" customHeight="1" x14ac:dyDescent="0.25">
      <c r="A32" s="3">
        <v>11546377</v>
      </c>
      <c r="B32" s="3" t="s">
        <v>1517</v>
      </c>
      <c r="C32" s="3"/>
      <c r="D32" s="3">
        <v>3</v>
      </c>
    </row>
    <row r="33" spans="1:4" ht="26.25" customHeight="1" x14ac:dyDescent="0.25">
      <c r="A33" s="3">
        <v>11546389</v>
      </c>
      <c r="B33" s="3" t="s">
        <v>1518</v>
      </c>
      <c r="C33" s="3"/>
      <c r="D33" s="3">
        <v>1</v>
      </c>
    </row>
    <row r="34" spans="1:4" ht="26.25" customHeight="1" x14ac:dyDescent="0.25">
      <c r="A34" s="3">
        <v>11516076</v>
      </c>
      <c r="B34" s="3" t="s">
        <v>1519</v>
      </c>
      <c r="C34" s="3"/>
      <c r="D34" s="3">
        <v>2</v>
      </c>
    </row>
    <row r="35" spans="1:4" ht="26.25" customHeight="1" x14ac:dyDescent="0.25">
      <c r="A35" s="3">
        <v>82253</v>
      </c>
      <c r="B35" s="3" t="s">
        <v>1121</v>
      </c>
      <c r="C35" s="3"/>
      <c r="D35" s="3">
        <v>1</v>
      </c>
    </row>
    <row r="36" spans="1:4" ht="26.25" customHeight="1" x14ac:dyDescent="0.25">
      <c r="A36" s="3">
        <v>61273</v>
      </c>
      <c r="B36" s="3" t="s">
        <v>1124</v>
      </c>
      <c r="C36" s="3"/>
      <c r="D36" s="3">
        <v>1</v>
      </c>
    </row>
    <row r="37" spans="1:4" ht="26.25" customHeight="1" x14ac:dyDescent="0.25">
      <c r="A37" s="3">
        <v>11546566</v>
      </c>
      <c r="B37" s="3" t="s">
        <v>1520</v>
      </c>
      <c r="C37" s="3"/>
      <c r="D37" s="3">
        <v>2</v>
      </c>
    </row>
    <row r="38" spans="1:4" ht="26.25" customHeight="1" x14ac:dyDescent="0.25">
      <c r="A38" s="3">
        <v>11546545</v>
      </c>
      <c r="B38" s="3" t="s">
        <v>1521</v>
      </c>
      <c r="C38" s="3"/>
      <c r="D38" s="3">
        <v>1</v>
      </c>
    </row>
    <row r="39" spans="1:4" ht="26.25" customHeight="1" x14ac:dyDescent="0.25">
      <c r="A39" s="3">
        <v>11546456</v>
      </c>
      <c r="B39" s="3" t="s">
        <v>1522</v>
      </c>
      <c r="C39" s="3"/>
      <c r="D39" s="3">
        <v>3</v>
      </c>
    </row>
    <row r="40" spans="1:4" ht="26.25" customHeight="1" x14ac:dyDescent="0.25">
      <c r="A40" s="3">
        <v>11546449</v>
      </c>
      <c r="B40" s="3" t="s">
        <v>1523</v>
      </c>
      <c r="C40" s="3"/>
      <c r="D40" s="3">
        <v>5</v>
      </c>
    </row>
    <row r="41" spans="1:4" ht="26.25" customHeight="1" x14ac:dyDescent="0.25">
      <c r="A41" s="3">
        <v>11546463</v>
      </c>
      <c r="B41" s="3" t="s">
        <v>1525</v>
      </c>
      <c r="C41" s="3"/>
      <c r="D41" s="3">
        <v>1</v>
      </c>
    </row>
    <row r="42" spans="1:4" ht="26.25" customHeight="1" x14ac:dyDescent="0.25">
      <c r="A42" s="3">
        <v>11546703</v>
      </c>
      <c r="B42" s="3" t="s">
        <v>1524</v>
      </c>
      <c r="C42" s="3"/>
      <c r="D42" s="3">
        <v>8</v>
      </c>
    </row>
    <row r="43" spans="1:4" ht="26.25" customHeight="1" x14ac:dyDescent="0.25">
      <c r="A43" s="3"/>
      <c r="B43" s="3"/>
      <c r="C43" s="3"/>
      <c r="D43" s="3"/>
    </row>
    <row r="44" spans="1:4" ht="26.25" customHeight="1" x14ac:dyDescent="0.25">
      <c r="A44" s="3"/>
      <c r="B44" s="3"/>
      <c r="C44" s="3"/>
      <c r="D44" s="3"/>
    </row>
    <row r="45" spans="1:4" ht="26.25" customHeight="1" x14ac:dyDescent="0.25">
      <c r="A45" s="3"/>
      <c r="B45" s="3"/>
      <c r="C45" s="3"/>
      <c r="D45" s="3"/>
    </row>
    <row r="46" spans="1:4" ht="26.25" customHeight="1" x14ac:dyDescent="0.25">
      <c r="A46" s="3"/>
      <c r="B46" s="3"/>
      <c r="C46" s="3"/>
      <c r="D46" s="3"/>
    </row>
    <row r="47" spans="1:4" ht="26.25" customHeight="1" x14ac:dyDescent="0.25">
      <c r="A47" s="3"/>
      <c r="B47" s="3"/>
      <c r="C47" s="3"/>
      <c r="D47" s="3"/>
    </row>
    <row r="48" spans="1:4" ht="26.25" customHeight="1" x14ac:dyDescent="0.25">
      <c r="A48" s="40" t="s">
        <v>777</v>
      </c>
      <c r="B48" s="41"/>
      <c r="C48" s="42"/>
      <c r="D48" s="42"/>
    </row>
    <row r="49" spans="1:4" ht="26.25" customHeight="1" thickBot="1" x14ac:dyDescent="0.3">
      <c r="A49" s="39" t="s">
        <v>0</v>
      </c>
      <c r="B49" s="39"/>
      <c r="C49" s="2"/>
      <c r="D49" s="1">
        <f>+SUM(D5:D47)</f>
        <v>36</v>
      </c>
    </row>
    <row r="50" spans="1:4" ht="15.75" thickTop="1" x14ac:dyDescent="0.25"/>
  </sheetData>
  <mergeCells count="4">
    <mergeCell ref="A1:D1"/>
    <mergeCell ref="A2:D2"/>
    <mergeCell ref="A48:D48"/>
    <mergeCell ref="A49:B49"/>
  </mergeCells>
  <conditionalFormatting sqref="A1:A1048576">
    <cfRule type="duplicateValues" dxfId="66" priority="7"/>
  </conditionalFormatting>
  <conditionalFormatting sqref="A5:A42">
    <cfRule type="duplicateValues" dxfId="65" priority="11"/>
  </conditionalFormatting>
  <conditionalFormatting sqref="A43:A1048576 A1:A4">
    <cfRule type="duplicateValues" dxfId="64" priority="10"/>
  </conditionalFormatting>
  <conditionalFormatting sqref="B43:B1048576 B1:B4">
    <cfRule type="duplicateValues" dxfId="63" priority="8"/>
    <cfRule type="duplicateValues" dxfId="62" priority="9"/>
  </conditionalFormatting>
  <conditionalFormatting sqref="B5:C5">
    <cfRule type="duplicateValues" dxfId="61" priority="3"/>
    <cfRule type="duplicateValues" dxfId="60" priority="4"/>
  </conditionalFormatting>
  <conditionalFormatting sqref="B6:C33">
    <cfRule type="duplicateValues" dxfId="59" priority="1"/>
    <cfRule type="duplicateValues" dxfId="58" priority="2"/>
  </conditionalFormatting>
  <conditionalFormatting sqref="B34:C42">
    <cfRule type="duplicateValues" dxfId="57" priority="5"/>
    <cfRule type="duplicateValues" dxfId="56" priority="6"/>
  </conditionalFormatting>
  <printOptions horizontalCentered="1"/>
  <pageMargins left="0.11811023622047245" right="0.11811023622047245" top="0.15748031496062992" bottom="0.15748031496062992" header="0.11811023622047245" footer="0.11811023622047245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6C6D-FBE6-440F-B2B0-4F810FE34E3C}">
  <sheetPr>
    <pageSetUpPr fitToPage="1"/>
  </sheetPr>
  <dimension ref="A1:D50"/>
  <sheetViews>
    <sheetView workbookViewId="0">
      <selection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46260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>
        <v>11546571</v>
      </c>
      <c r="B25" s="3" t="s">
        <v>1137</v>
      </c>
      <c r="C25" s="3"/>
      <c r="D25" s="3">
        <v>4</v>
      </c>
    </row>
    <row r="26" spans="1:4" ht="26.25" customHeight="1" x14ac:dyDescent="0.25">
      <c r="A26" s="3">
        <v>11547369</v>
      </c>
      <c r="B26" s="3" t="s">
        <v>1526</v>
      </c>
      <c r="C26" s="3"/>
      <c r="D26" s="3">
        <v>3</v>
      </c>
    </row>
    <row r="27" spans="1:4" ht="26.25" customHeight="1" x14ac:dyDescent="0.25">
      <c r="A27" s="3">
        <v>11548147</v>
      </c>
      <c r="B27" s="3" t="s">
        <v>1527</v>
      </c>
      <c r="C27" s="3"/>
      <c r="D27" s="3">
        <v>1</v>
      </c>
    </row>
    <row r="28" spans="1:4" ht="26.25" customHeight="1" x14ac:dyDescent="0.25">
      <c r="A28" s="3">
        <v>11548535</v>
      </c>
      <c r="B28" s="3" t="s">
        <v>1528</v>
      </c>
      <c r="C28" s="3"/>
      <c r="D28" s="3">
        <v>1</v>
      </c>
    </row>
    <row r="29" spans="1:4" ht="26.25" customHeight="1" x14ac:dyDescent="0.25">
      <c r="A29" s="3">
        <v>11548414</v>
      </c>
      <c r="B29" s="3" t="s">
        <v>1529</v>
      </c>
      <c r="C29" s="3"/>
      <c r="D29" s="3">
        <v>2</v>
      </c>
    </row>
    <row r="30" spans="1:4" ht="26.25" customHeight="1" x14ac:dyDescent="0.25">
      <c r="A30" s="3">
        <v>11547349</v>
      </c>
      <c r="B30" s="3" t="s">
        <v>1530</v>
      </c>
      <c r="C30" s="3"/>
      <c r="D30" s="3">
        <v>1</v>
      </c>
    </row>
    <row r="31" spans="1:4" ht="26.25" customHeight="1" x14ac:dyDescent="0.25">
      <c r="A31" s="3">
        <v>11547176</v>
      </c>
      <c r="B31" s="3" t="s">
        <v>1531</v>
      </c>
      <c r="C31" s="3"/>
      <c r="D31" s="3">
        <v>2</v>
      </c>
    </row>
    <row r="32" spans="1:4" ht="26.25" customHeight="1" x14ac:dyDescent="0.25">
      <c r="A32" s="3">
        <v>11549168</v>
      </c>
      <c r="B32" s="3" t="s">
        <v>1532</v>
      </c>
      <c r="C32" s="3"/>
      <c r="D32" s="3">
        <v>10</v>
      </c>
    </row>
    <row r="33" spans="1:4" ht="26.25" customHeight="1" x14ac:dyDescent="0.25">
      <c r="A33" s="3">
        <v>11549204</v>
      </c>
      <c r="B33" s="3" t="s">
        <v>1533</v>
      </c>
      <c r="C33" s="3"/>
      <c r="D33" s="3">
        <v>4</v>
      </c>
    </row>
    <row r="34" spans="1:4" ht="26.25" customHeight="1" x14ac:dyDescent="0.25">
      <c r="A34" s="3">
        <v>11549170</v>
      </c>
      <c r="B34" s="3" t="s">
        <v>1534</v>
      </c>
      <c r="C34" s="3"/>
      <c r="D34" s="3">
        <v>8</v>
      </c>
    </row>
    <row r="35" spans="1:4" ht="26.25" customHeight="1" x14ac:dyDescent="0.25">
      <c r="A35" s="3"/>
      <c r="B35" s="3"/>
      <c r="C35" s="3"/>
      <c r="D35" s="3"/>
    </row>
    <row r="36" spans="1:4" ht="26.25" customHeight="1" x14ac:dyDescent="0.25">
      <c r="A36" s="3"/>
      <c r="B36" s="3"/>
      <c r="C36" s="3"/>
      <c r="D36" s="3"/>
    </row>
    <row r="37" spans="1:4" ht="26.25" customHeight="1" x14ac:dyDescent="0.25">
      <c r="A37" s="3"/>
      <c r="B37" s="3"/>
      <c r="C37" s="3"/>
      <c r="D37" s="3"/>
    </row>
    <row r="38" spans="1:4" ht="26.25" customHeight="1" x14ac:dyDescent="0.25">
      <c r="A38" s="3"/>
      <c r="B38" s="3"/>
      <c r="C38" s="3"/>
      <c r="D38" s="3"/>
    </row>
    <row r="39" spans="1:4" ht="26.25" customHeight="1" x14ac:dyDescent="0.25">
      <c r="A39" s="3"/>
      <c r="B39" s="3"/>
      <c r="C39" s="3"/>
      <c r="D39" s="3"/>
    </row>
    <row r="40" spans="1:4" ht="26.25" customHeight="1" x14ac:dyDescent="0.25">
      <c r="A40" s="3"/>
      <c r="B40" s="3"/>
      <c r="C40" s="3"/>
      <c r="D40" s="3"/>
    </row>
    <row r="41" spans="1:4" ht="26.25" customHeight="1" x14ac:dyDescent="0.25">
      <c r="A41" s="3"/>
      <c r="B41" s="3"/>
      <c r="C41" s="3"/>
      <c r="D41" s="3"/>
    </row>
    <row r="42" spans="1:4" ht="26.25" customHeight="1" x14ac:dyDescent="0.25">
      <c r="A42" s="3"/>
      <c r="B42" s="3"/>
      <c r="C42" s="3"/>
      <c r="D42" s="3"/>
    </row>
    <row r="43" spans="1:4" ht="26.25" customHeight="1" x14ac:dyDescent="0.25">
      <c r="A43" s="3"/>
      <c r="B43" s="3"/>
      <c r="C43" s="3"/>
      <c r="D43" s="3"/>
    </row>
    <row r="44" spans="1:4" ht="26.25" customHeight="1" x14ac:dyDescent="0.25">
      <c r="A44" s="3"/>
      <c r="B44" s="3"/>
      <c r="C44" s="3"/>
      <c r="D44" s="3"/>
    </row>
    <row r="45" spans="1:4" ht="26.25" customHeight="1" x14ac:dyDescent="0.25">
      <c r="A45" s="3"/>
      <c r="B45" s="3"/>
      <c r="C45" s="3"/>
      <c r="D45" s="3"/>
    </row>
    <row r="46" spans="1:4" ht="26.25" customHeight="1" x14ac:dyDescent="0.25">
      <c r="A46" s="3"/>
      <c r="B46" s="3"/>
      <c r="C46" s="3"/>
      <c r="D46" s="3"/>
    </row>
    <row r="47" spans="1:4" ht="26.25" customHeight="1" x14ac:dyDescent="0.25">
      <c r="A47" s="3"/>
      <c r="B47" s="3"/>
      <c r="C47" s="3"/>
      <c r="D47" s="3"/>
    </row>
    <row r="48" spans="1:4" ht="26.25" customHeight="1" x14ac:dyDescent="0.25">
      <c r="A48" s="40" t="s">
        <v>777</v>
      </c>
      <c r="B48" s="41"/>
      <c r="C48" s="42"/>
      <c r="D48" s="42"/>
    </row>
    <row r="49" spans="1:4" ht="26.25" customHeight="1" thickBot="1" x14ac:dyDescent="0.3">
      <c r="A49" s="39" t="s">
        <v>0</v>
      </c>
      <c r="B49" s="39"/>
      <c r="C49" s="2"/>
      <c r="D49" s="1">
        <f>+SUM(D5:D47)</f>
        <v>36</v>
      </c>
    </row>
    <row r="50" spans="1:4" ht="15.75" thickTop="1" x14ac:dyDescent="0.25"/>
  </sheetData>
  <mergeCells count="4">
    <mergeCell ref="A1:D1"/>
    <mergeCell ref="A2:D2"/>
    <mergeCell ref="A48:D48"/>
    <mergeCell ref="A49:B49"/>
  </mergeCells>
  <conditionalFormatting sqref="A1:A1048576">
    <cfRule type="duplicateValues" dxfId="55" priority="7"/>
  </conditionalFormatting>
  <conditionalFormatting sqref="A5:A42">
    <cfRule type="duplicateValues" dxfId="54" priority="11"/>
  </conditionalFormatting>
  <conditionalFormatting sqref="A43:A1048576 A1:A4">
    <cfRule type="duplicateValues" dxfId="53" priority="10"/>
  </conditionalFormatting>
  <conditionalFormatting sqref="B43:B1048576 B1:B4">
    <cfRule type="duplicateValues" dxfId="52" priority="8"/>
    <cfRule type="duplicateValues" dxfId="51" priority="9"/>
  </conditionalFormatting>
  <conditionalFormatting sqref="B5:C5">
    <cfRule type="duplicateValues" dxfId="50" priority="3"/>
    <cfRule type="duplicateValues" dxfId="49" priority="4"/>
  </conditionalFormatting>
  <conditionalFormatting sqref="B6:C33">
    <cfRule type="duplicateValues" dxfId="48" priority="1"/>
    <cfRule type="duplicateValues" dxfId="47" priority="2"/>
  </conditionalFormatting>
  <conditionalFormatting sqref="B34:C42">
    <cfRule type="duplicateValues" dxfId="46" priority="5"/>
    <cfRule type="duplicateValues" dxfId="45" priority="6"/>
  </conditionalFormatting>
  <pageMargins left="0.70866141732283472" right="0.70866141732283472" top="0.74803149606299213" bottom="0.74803149606299213" header="0.31496062992125984" footer="0.31496062992125984"/>
  <pageSetup scale="91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73BA-BDFC-409E-B74C-F96E8678F9AA}">
  <sheetPr>
    <pageSetUpPr fitToPage="1"/>
  </sheetPr>
  <dimension ref="A1:D50"/>
  <sheetViews>
    <sheetView workbookViewId="0">
      <selection sqref="A1:XFD1048576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46261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>
        <v>11549170</v>
      </c>
      <c r="B25" s="3" t="s">
        <v>1558</v>
      </c>
      <c r="C25" s="3"/>
      <c r="D25" s="3">
        <v>4</v>
      </c>
    </row>
    <row r="26" spans="1:4" ht="26.25" customHeight="1" x14ac:dyDescent="0.25">
      <c r="A26" s="3">
        <v>11562515</v>
      </c>
      <c r="B26" s="3" t="s">
        <v>1559</v>
      </c>
      <c r="C26" s="3"/>
      <c r="D26" s="3">
        <v>1</v>
      </c>
    </row>
    <row r="27" spans="1:4" ht="26.25" customHeight="1" x14ac:dyDescent="0.25">
      <c r="A27" s="3">
        <v>11602031</v>
      </c>
      <c r="B27" s="3" t="s">
        <v>1560</v>
      </c>
      <c r="C27" s="3"/>
      <c r="D27" s="3">
        <v>3</v>
      </c>
    </row>
    <row r="28" spans="1:4" ht="26.25" customHeight="1" x14ac:dyDescent="0.25">
      <c r="A28" s="3">
        <v>11602659</v>
      </c>
      <c r="B28" s="3" t="s">
        <v>1561</v>
      </c>
      <c r="C28" s="3"/>
      <c r="D28" s="3">
        <v>1</v>
      </c>
    </row>
    <row r="29" spans="1:4" ht="26.25" customHeight="1" x14ac:dyDescent="0.25">
      <c r="A29" s="3">
        <v>11604852</v>
      </c>
      <c r="B29" s="3" t="s">
        <v>1562</v>
      </c>
      <c r="C29" s="3"/>
      <c r="D29" s="3">
        <v>1</v>
      </c>
    </row>
    <row r="30" spans="1:4" ht="26.25" customHeight="1" x14ac:dyDescent="0.25">
      <c r="A30" s="3">
        <v>11588714</v>
      </c>
      <c r="B30" s="3" t="s">
        <v>1563</v>
      </c>
      <c r="C30" s="3"/>
      <c r="D30" s="3">
        <v>3</v>
      </c>
    </row>
    <row r="31" spans="1:4" ht="26.25" customHeight="1" x14ac:dyDescent="0.25">
      <c r="A31" s="3">
        <v>11588293</v>
      </c>
      <c r="B31" s="3" t="s">
        <v>1564</v>
      </c>
      <c r="C31" s="3"/>
      <c r="D31" s="3">
        <v>1</v>
      </c>
    </row>
    <row r="32" spans="1:4" ht="26.25" customHeight="1" x14ac:dyDescent="0.25">
      <c r="A32" s="3">
        <v>11561645</v>
      </c>
      <c r="B32" s="3" t="s">
        <v>1565</v>
      </c>
      <c r="C32" s="3"/>
      <c r="D32" s="3">
        <v>2</v>
      </c>
    </row>
    <row r="33" spans="1:4" ht="26.25" customHeight="1" x14ac:dyDescent="0.25">
      <c r="A33" s="3">
        <v>11546437</v>
      </c>
      <c r="B33" s="3" t="s">
        <v>1566</v>
      </c>
      <c r="C33" s="3"/>
      <c r="D33" s="3">
        <v>5</v>
      </c>
    </row>
    <row r="34" spans="1:4" ht="26.25" customHeight="1" x14ac:dyDescent="0.25">
      <c r="A34" s="3">
        <v>40073474</v>
      </c>
      <c r="B34" s="3" t="s">
        <v>1567</v>
      </c>
      <c r="C34" s="3"/>
      <c r="D34" s="3">
        <v>1</v>
      </c>
    </row>
    <row r="35" spans="1:4" ht="26.25" customHeight="1" x14ac:dyDescent="0.25">
      <c r="A35" s="3">
        <v>11611548</v>
      </c>
      <c r="B35" s="3" t="s">
        <v>1568</v>
      </c>
      <c r="C35" s="3"/>
      <c r="D35" s="3">
        <v>2</v>
      </c>
    </row>
    <row r="36" spans="1:4" ht="26.25" customHeight="1" x14ac:dyDescent="0.25">
      <c r="A36" s="3">
        <v>40109770</v>
      </c>
      <c r="B36" s="3" t="s">
        <v>1569</v>
      </c>
      <c r="C36" s="3"/>
      <c r="D36" s="3">
        <v>1</v>
      </c>
    </row>
    <row r="37" spans="1:4" ht="26.25" customHeight="1" x14ac:dyDescent="0.25">
      <c r="A37" s="3">
        <v>40161567</v>
      </c>
      <c r="B37" s="3" t="s">
        <v>1570</v>
      </c>
      <c r="C37" s="3"/>
      <c r="D37" s="3">
        <v>1</v>
      </c>
    </row>
    <row r="38" spans="1:4" ht="26.25" customHeight="1" x14ac:dyDescent="0.25">
      <c r="A38" s="3">
        <v>11610126</v>
      </c>
      <c r="B38" s="3" t="s">
        <v>1571</v>
      </c>
      <c r="C38" s="3"/>
      <c r="D38" s="3">
        <v>1</v>
      </c>
    </row>
    <row r="39" spans="1:4" ht="26.25" customHeight="1" x14ac:dyDescent="0.25">
      <c r="A39" s="3">
        <v>11610128</v>
      </c>
      <c r="B39" s="3" t="s">
        <v>1572</v>
      </c>
      <c r="C39" s="3"/>
      <c r="D39" s="3">
        <v>1</v>
      </c>
    </row>
    <row r="40" spans="1:4" ht="26.25" customHeight="1" x14ac:dyDescent="0.25">
      <c r="A40" s="3">
        <v>11610091</v>
      </c>
      <c r="B40" s="3" t="s">
        <v>1573</v>
      </c>
      <c r="C40" s="3"/>
      <c r="D40" s="3">
        <v>1</v>
      </c>
    </row>
    <row r="41" spans="1:4" ht="26.25" customHeight="1" x14ac:dyDescent="0.25">
      <c r="A41" s="3">
        <v>94012078</v>
      </c>
      <c r="B41" s="3" t="s">
        <v>1574</v>
      </c>
      <c r="C41" s="3"/>
      <c r="D41" s="3">
        <v>3</v>
      </c>
    </row>
    <row r="42" spans="1:4" ht="26.25" customHeight="1" x14ac:dyDescent="0.25">
      <c r="A42" s="3" t="s">
        <v>12</v>
      </c>
      <c r="B42" s="3" t="s">
        <v>1575</v>
      </c>
      <c r="C42" s="3"/>
      <c r="D42" s="3">
        <v>2</v>
      </c>
    </row>
    <row r="43" spans="1:4" ht="26.25" customHeight="1" x14ac:dyDescent="0.25">
      <c r="A43" s="3">
        <v>500009297</v>
      </c>
      <c r="B43" s="3" t="s">
        <v>1576</v>
      </c>
      <c r="C43" s="3"/>
      <c r="D43" s="3">
        <v>1</v>
      </c>
    </row>
    <row r="44" spans="1:4" ht="26.25" customHeight="1" x14ac:dyDescent="0.25">
      <c r="A44" s="3">
        <v>94012039</v>
      </c>
      <c r="B44" s="3" t="s">
        <v>1577</v>
      </c>
      <c r="C44" s="3"/>
      <c r="D44" s="3">
        <v>1</v>
      </c>
    </row>
    <row r="45" spans="1:4" ht="26.25" customHeight="1" x14ac:dyDescent="0.25">
      <c r="A45" s="3"/>
      <c r="B45" s="3"/>
      <c r="C45" s="3"/>
      <c r="D45" s="3"/>
    </row>
    <row r="46" spans="1:4" ht="26.25" customHeight="1" x14ac:dyDescent="0.25">
      <c r="A46" s="3"/>
      <c r="B46" s="3"/>
      <c r="C46" s="3"/>
      <c r="D46" s="3"/>
    </row>
    <row r="47" spans="1:4" ht="26.25" customHeight="1" x14ac:dyDescent="0.25">
      <c r="A47" s="3"/>
      <c r="B47" s="3"/>
      <c r="C47" s="3"/>
      <c r="D47" s="3"/>
    </row>
    <row r="48" spans="1:4" ht="26.25" customHeight="1" x14ac:dyDescent="0.25">
      <c r="A48" s="40" t="s">
        <v>777</v>
      </c>
      <c r="B48" s="41"/>
      <c r="C48" s="42"/>
      <c r="D48" s="42"/>
    </row>
    <row r="49" spans="1:4" ht="26.25" customHeight="1" thickBot="1" x14ac:dyDescent="0.3">
      <c r="A49" s="39" t="s">
        <v>0</v>
      </c>
      <c r="B49" s="39"/>
      <c r="C49" s="2"/>
      <c r="D49" s="1">
        <f>+SUM(D5:D47)</f>
        <v>36</v>
      </c>
    </row>
    <row r="50" spans="1:4" ht="15.75" thickTop="1" x14ac:dyDescent="0.25"/>
  </sheetData>
  <mergeCells count="4">
    <mergeCell ref="A1:D1"/>
    <mergeCell ref="A2:D2"/>
    <mergeCell ref="A48:D48"/>
    <mergeCell ref="A49:B49"/>
  </mergeCells>
  <conditionalFormatting sqref="A1:A1048576">
    <cfRule type="duplicateValues" dxfId="44" priority="7"/>
  </conditionalFormatting>
  <conditionalFormatting sqref="A5:A42">
    <cfRule type="duplicateValues" dxfId="43" priority="11"/>
  </conditionalFormatting>
  <conditionalFormatting sqref="A43:A1048576 A1:A4">
    <cfRule type="duplicateValues" dxfId="42" priority="10"/>
  </conditionalFormatting>
  <conditionalFormatting sqref="B43:B1048576 B1:B4">
    <cfRule type="duplicateValues" dxfId="41" priority="8"/>
    <cfRule type="duplicateValues" dxfId="40" priority="9"/>
  </conditionalFormatting>
  <conditionalFormatting sqref="B5:C5">
    <cfRule type="duplicateValues" dxfId="39" priority="3"/>
    <cfRule type="duplicateValues" dxfId="38" priority="4"/>
  </conditionalFormatting>
  <conditionalFormatting sqref="B6:C33">
    <cfRule type="duplicateValues" dxfId="37" priority="1"/>
    <cfRule type="duplicateValues" dxfId="36" priority="2"/>
  </conditionalFormatting>
  <conditionalFormatting sqref="B34:C42">
    <cfRule type="duplicateValues" dxfId="35" priority="5"/>
    <cfRule type="duplicateValues" dxfId="34" priority="6"/>
  </conditionalFormatting>
  <pageMargins left="0.70866141732283472" right="0.70866141732283472" top="0.74803149606299213" bottom="0.74803149606299213" header="0.31496062992125984" footer="0.31496062992125984"/>
  <pageSetup scale="91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2E19-9439-4B0E-BE36-CFFA20832E6B}">
  <dimension ref="A1:D47"/>
  <sheetViews>
    <sheetView topLeftCell="A28" workbookViewId="0">
      <selection activeCell="H45" sqref="H45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>
        <v>46262</v>
      </c>
      <c r="B2" s="38"/>
      <c r="C2" s="38"/>
      <c r="D2" s="38"/>
    </row>
    <row r="3" spans="1:4" ht="17.25" x14ac:dyDescent="0.25">
      <c r="A3" s="5"/>
      <c r="B3" s="5"/>
      <c r="C3" s="5"/>
      <c r="D3" s="5"/>
    </row>
    <row r="4" spans="1:4" ht="26.25" customHeight="1" x14ac:dyDescent="0.25">
      <c r="A4" s="4" t="s">
        <v>5</v>
      </c>
      <c r="B4" s="4" t="s">
        <v>4</v>
      </c>
      <c r="C4" s="4" t="s">
        <v>3</v>
      </c>
      <c r="D4" s="4" t="s">
        <v>2</v>
      </c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hidden="1" customHeight="1" x14ac:dyDescent="0.25">
      <c r="A24" s="3"/>
      <c r="B24" s="3"/>
      <c r="C24" s="3"/>
      <c r="D24" s="3"/>
    </row>
    <row r="25" spans="1:4" ht="26.25" customHeight="1" x14ac:dyDescent="0.25">
      <c r="A25" s="3" t="s">
        <v>92</v>
      </c>
      <c r="B25" s="3" t="s">
        <v>1581</v>
      </c>
      <c r="C25" s="3"/>
      <c r="D25" s="3">
        <v>5</v>
      </c>
    </row>
    <row r="26" spans="1:4" ht="26.25" customHeight="1" x14ac:dyDescent="0.25">
      <c r="A26" s="3" t="s">
        <v>1579</v>
      </c>
      <c r="B26" s="3" t="s">
        <v>1582</v>
      </c>
      <c r="C26" s="3"/>
      <c r="D26" s="3">
        <v>1</v>
      </c>
    </row>
    <row r="27" spans="1:4" ht="26.25" customHeight="1" x14ac:dyDescent="0.25">
      <c r="A27" s="3" t="s">
        <v>52</v>
      </c>
      <c r="B27" s="3" t="s">
        <v>1583</v>
      </c>
      <c r="C27" s="3"/>
      <c r="D27" s="3">
        <v>3</v>
      </c>
    </row>
    <row r="28" spans="1:4" ht="26.25" customHeight="1" x14ac:dyDescent="0.25">
      <c r="A28" s="3" t="s">
        <v>341</v>
      </c>
      <c r="B28" s="3" t="s">
        <v>1584</v>
      </c>
      <c r="C28" s="3"/>
      <c r="D28" s="3">
        <v>1</v>
      </c>
    </row>
    <row r="29" spans="1:4" ht="26.25" customHeight="1" x14ac:dyDescent="0.25">
      <c r="A29" s="3">
        <v>42068967</v>
      </c>
      <c r="B29" s="3" t="s">
        <v>1585</v>
      </c>
      <c r="C29" s="3"/>
      <c r="D29" s="3">
        <v>2</v>
      </c>
    </row>
    <row r="30" spans="1:4" ht="26.25" customHeight="1" x14ac:dyDescent="0.25">
      <c r="A30" s="3" t="s">
        <v>142</v>
      </c>
      <c r="B30" s="3" t="s">
        <v>962</v>
      </c>
      <c r="C30" s="3"/>
      <c r="D30" s="3">
        <v>3</v>
      </c>
    </row>
    <row r="31" spans="1:4" ht="26.25" customHeight="1" x14ac:dyDescent="0.25">
      <c r="A31" s="3" t="s">
        <v>1</v>
      </c>
      <c r="B31" s="3" t="s">
        <v>1586</v>
      </c>
      <c r="C31" s="3"/>
      <c r="D31" s="3">
        <v>5</v>
      </c>
    </row>
    <row r="32" spans="1:4" ht="26.25" customHeight="1" x14ac:dyDescent="0.25">
      <c r="A32" s="3" t="s">
        <v>286</v>
      </c>
      <c r="B32" s="3" t="s">
        <v>1587</v>
      </c>
      <c r="C32" s="3"/>
      <c r="D32" s="3">
        <v>1</v>
      </c>
    </row>
    <row r="33" spans="1:4" ht="26.25" customHeight="1" x14ac:dyDescent="0.25">
      <c r="A33" s="3" t="s">
        <v>332</v>
      </c>
      <c r="B33" s="3" t="s">
        <v>1588</v>
      </c>
      <c r="C33" s="3"/>
      <c r="D33" s="3">
        <v>2</v>
      </c>
    </row>
    <row r="34" spans="1:4" ht="26.25" customHeight="1" x14ac:dyDescent="0.25">
      <c r="A34" s="3" t="s">
        <v>98</v>
      </c>
      <c r="B34" s="3" t="s">
        <v>1589</v>
      </c>
      <c r="C34" s="3"/>
      <c r="D34" s="3">
        <v>2</v>
      </c>
    </row>
    <row r="35" spans="1:4" ht="26.25" customHeight="1" x14ac:dyDescent="0.25">
      <c r="A35" s="3" t="s">
        <v>1580</v>
      </c>
      <c r="B35" s="3" t="s">
        <v>1590</v>
      </c>
      <c r="C35" s="3"/>
      <c r="D35" s="3">
        <v>1</v>
      </c>
    </row>
    <row r="36" spans="1:4" ht="26.25" customHeight="1" x14ac:dyDescent="0.25">
      <c r="A36" s="3" t="s">
        <v>1043</v>
      </c>
      <c r="B36" s="3" t="s">
        <v>1591</v>
      </c>
      <c r="C36" s="3"/>
      <c r="D36" s="3">
        <v>2</v>
      </c>
    </row>
    <row r="37" spans="1:4" ht="26.25" customHeight="1" x14ac:dyDescent="0.25">
      <c r="A37" s="3" t="s">
        <v>55</v>
      </c>
      <c r="B37" s="3" t="s">
        <v>1592</v>
      </c>
      <c r="C37" s="3"/>
      <c r="D37" s="3">
        <v>1</v>
      </c>
    </row>
    <row r="38" spans="1:4" ht="26.25" customHeight="1" x14ac:dyDescent="0.25">
      <c r="A38" s="3" t="s">
        <v>46</v>
      </c>
      <c r="B38" s="3" t="s">
        <v>1593</v>
      </c>
      <c r="C38" s="3"/>
      <c r="D38" s="3">
        <v>2</v>
      </c>
    </row>
    <row r="39" spans="1:4" ht="26.25" customHeight="1" x14ac:dyDescent="0.25">
      <c r="A39" s="3" t="s">
        <v>94</v>
      </c>
      <c r="B39" s="3" t="s">
        <v>1594</v>
      </c>
      <c r="C39" s="3"/>
      <c r="D39" s="3">
        <v>2</v>
      </c>
    </row>
    <row r="40" spans="1:4" ht="26.25" customHeight="1" x14ac:dyDescent="0.25">
      <c r="A40" s="3" t="s">
        <v>138</v>
      </c>
      <c r="B40" s="3" t="s">
        <v>1595</v>
      </c>
      <c r="C40" s="3"/>
      <c r="D40" s="3">
        <v>1</v>
      </c>
    </row>
    <row r="41" spans="1:4" ht="26.25" customHeight="1" x14ac:dyDescent="0.25">
      <c r="A41" s="3" t="s">
        <v>393</v>
      </c>
      <c r="B41" s="3" t="s">
        <v>1596</v>
      </c>
      <c r="C41" s="3"/>
      <c r="D41" s="3">
        <v>2</v>
      </c>
    </row>
    <row r="42" spans="1:4" ht="26.25" customHeight="1" x14ac:dyDescent="0.25">
      <c r="A42" s="3"/>
      <c r="B42" s="3"/>
      <c r="C42" s="3"/>
      <c r="D42" s="3"/>
    </row>
    <row r="43" spans="1:4" ht="26.25" customHeight="1" x14ac:dyDescent="0.25">
      <c r="A43" s="3"/>
      <c r="B43" s="3"/>
      <c r="C43" s="3"/>
      <c r="D43" s="3"/>
    </row>
    <row r="44" spans="1:4" ht="26.25" customHeight="1" x14ac:dyDescent="0.25">
      <c r="A44" s="3"/>
      <c r="B44" s="3"/>
      <c r="C44" s="3"/>
      <c r="D44" s="3"/>
    </row>
    <row r="45" spans="1:4" ht="26.25" customHeight="1" x14ac:dyDescent="0.25">
      <c r="A45" s="40" t="s">
        <v>777</v>
      </c>
      <c r="B45" s="41"/>
      <c r="C45" s="42"/>
      <c r="D45" s="42"/>
    </row>
    <row r="46" spans="1:4" ht="26.25" customHeight="1" thickBot="1" x14ac:dyDescent="0.3">
      <c r="A46" s="39" t="s">
        <v>0</v>
      </c>
      <c r="B46" s="39"/>
      <c r="C46" s="2"/>
      <c r="D46" s="1">
        <f>+SUM(D5:D44)</f>
        <v>36</v>
      </c>
    </row>
    <row r="47" spans="1:4" ht="15.75" thickTop="1" x14ac:dyDescent="0.25"/>
  </sheetData>
  <mergeCells count="4">
    <mergeCell ref="A1:D1"/>
    <mergeCell ref="A2:D2"/>
    <mergeCell ref="A45:D45"/>
    <mergeCell ref="A46:B46"/>
  </mergeCells>
  <conditionalFormatting sqref="A1:A1048576">
    <cfRule type="duplicateValues" dxfId="33" priority="7"/>
  </conditionalFormatting>
  <conditionalFormatting sqref="A5:A41">
    <cfRule type="duplicateValues" dxfId="32" priority="256"/>
  </conditionalFormatting>
  <conditionalFormatting sqref="A42:A1048576 A1:A4">
    <cfRule type="duplicateValues" dxfId="31" priority="257"/>
  </conditionalFormatting>
  <conditionalFormatting sqref="B42:B1048576 B1:B4">
    <cfRule type="duplicateValues" dxfId="30" priority="260"/>
    <cfRule type="duplicateValues" dxfId="29" priority="261"/>
  </conditionalFormatting>
  <conditionalFormatting sqref="B5:C5">
    <cfRule type="duplicateValues" dxfId="28" priority="3"/>
    <cfRule type="duplicateValues" dxfId="27" priority="4"/>
  </conditionalFormatting>
  <conditionalFormatting sqref="B6:C33">
    <cfRule type="duplicateValues" dxfId="26" priority="1"/>
    <cfRule type="duplicateValues" dxfId="25" priority="2"/>
  </conditionalFormatting>
  <conditionalFormatting sqref="B34:C41">
    <cfRule type="duplicateValues" dxfId="24" priority="266"/>
    <cfRule type="duplicateValues" dxfId="23" priority="267"/>
  </conditionalFormatting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E896-77C9-40E9-B481-AF162EFAC9B6}">
  <dimension ref="A1:D47"/>
  <sheetViews>
    <sheetView tabSelected="1" workbookViewId="0">
      <selection activeCell="M43" sqref="M43"/>
    </sheetView>
  </sheetViews>
  <sheetFormatPr defaultRowHeight="15" x14ac:dyDescent="0.25"/>
  <cols>
    <col min="1" max="2" width="26.140625" customWidth="1"/>
    <col min="3" max="3" width="10.140625" hidden="1" customWidth="1"/>
    <col min="4" max="4" width="26.140625" customWidth="1"/>
  </cols>
  <sheetData>
    <row r="1" spans="1:4" ht="22.5" x14ac:dyDescent="0.25">
      <c r="A1" s="37" t="s">
        <v>6</v>
      </c>
      <c r="B1" s="37"/>
      <c r="C1" s="37"/>
      <c r="D1" s="37"/>
    </row>
    <row r="2" spans="1:4" ht="17.25" x14ac:dyDescent="0.25">
      <c r="A2" s="38" t="s">
        <v>1597</v>
      </c>
      <c r="B2" s="38"/>
      <c r="C2" s="38"/>
      <c r="D2" s="38"/>
    </row>
    <row r="3" spans="1:4" ht="26.25" customHeight="1" x14ac:dyDescent="0.25">
      <c r="A3" s="4" t="s">
        <v>5</v>
      </c>
      <c r="B3" s="4" t="s">
        <v>4</v>
      </c>
      <c r="C3" s="4" t="s">
        <v>3</v>
      </c>
      <c r="D3" s="4" t="s">
        <v>2</v>
      </c>
    </row>
    <row r="4" spans="1:4" ht="26.25" hidden="1" customHeight="1" x14ac:dyDescent="0.25">
      <c r="A4" s="3"/>
      <c r="B4" s="3"/>
      <c r="C4" s="3"/>
      <c r="D4" s="3"/>
    </row>
    <row r="5" spans="1:4" ht="26.25" hidden="1" customHeight="1" x14ac:dyDescent="0.25">
      <c r="A5" s="3"/>
      <c r="B5" s="3"/>
      <c r="C5" s="3"/>
      <c r="D5" s="3"/>
    </row>
    <row r="6" spans="1:4" ht="26.25" hidden="1" customHeight="1" x14ac:dyDescent="0.25">
      <c r="A6" s="3"/>
      <c r="B6" s="3"/>
      <c r="C6" s="3"/>
      <c r="D6" s="3"/>
    </row>
    <row r="7" spans="1:4" ht="26.25" hidden="1" customHeight="1" x14ac:dyDescent="0.25">
      <c r="A7" s="3"/>
      <c r="B7" s="3"/>
      <c r="C7" s="3"/>
      <c r="D7" s="3"/>
    </row>
    <row r="8" spans="1:4" ht="26.25" hidden="1" customHeight="1" x14ac:dyDescent="0.25">
      <c r="A8" s="3"/>
      <c r="B8" s="3"/>
      <c r="C8" s="3"/>
      <c r="D8" s="3"/>
    </row>
    <row r="9" spans="1:4" ht="26.25" hidden="1" customHeight="1" x14ac:dyDescent="0.25">
      <c r="A9" s="3"/>
      <c r="B9" s="3"/>
      <c r="C9" s="3"/>
      <c r="D9" s="3"/>
    </row>
    <row r="10" spans="1:4" ht="26.25" hidden="1" customHeight="1" x14ac:dyDescent="0.25">
      <c r="A10" s="3"/>
      <c r="B10" s="3"/>
      <c r="C10" s="3"/>
      <c r="D10" s="3"/>
    </row>
    <row r="11" spans="1:4" ht="26.25" hidden="1" customHeight="1" x14ac:dyDescent="0.25">
      <c r="A11" s="3"/>
      <c r="B11" s="3"/>
      <c r="C11" s="3"/>
      <c r="D11" s="3"/>
    </row>
    <row r="12" spans="1:4" ht="26.25" hidden="1" customHeight="1" x14ac:dyDescent="0.25">
      <c r="A12" s="3"/>
      <c r="B12" s="3"/>
      <c r="C12" s="3"/>
      <c r="D12" s="3"/>
    </row>
    <row r="13" spans="1:4" ht="26.25" hidden="1" customHeight="1" x14ac:dyDescent="0.25">
      <c r="A13" s="3"/>
      <c r="B13" s="3"/>
      <c r="C13" s="3"/>
      <c r="D13" s="3"/>
    </row>
    <row r="14" spans="1:4" ht="26.25" hidden="1" customHeight="1" x14ac:dyDescent="0.25">
      <c r="A14" s="3"/>
      <c r="B14" s="3"/>
      <c r="C14" s="3"/>
      <c r="D14" s="3"/>
    </row>
    <row r="15" spans="1:4" ht="26.25" hidden="1" customHeight="1" x14ac:dyDescent="0.25">
      <c r="A15" s="3"/>
      <c r="B15" s="3"/>
      <c r="C15" s="3"/>
      <c r="D15" s="3"/>
    </row>
    <row r="16" spans="1:4" ht="26.25" hidden="1" customHeight="1" x14ac:dyDescent="0.25">
      <c r="A16" s="3"/>
      <c r="B16" s="3"/>
      <c r="C16" s="3"/>
      <c r="D16" s="3"/>
    </row>
    <row r="17" spans="1:4" ht="26.25" hidden="1" customHeight="1" x14ac:dyDescent="0.25">
      <c r="A17" s="3"/>
      <c r="B17" s="3"/>
      <c r="C17" s="3"/>
      <c r="D17" s="3"/>
    </row>
    <row r="18" spans="1:4" ht="26.25" hidden="1" customHeight="1" x14ac:dyDescent="0.25">
      <c r="A18" s="3"/>
      <c r="B18" s="3"/>
      <c r="C18" s="3"/>
      <c r="D18" s="3"/>
    </row>
    <row r="19" spans="1:4" ht="26.25" hidden="1" customHeight="1" x14ac:dyDescent="0.25">
      <c r="A19" s="3"/>
      <c r="B19" s="3"/>
      <c r="C19" s="3"/>
      <c r="D19" s="3"/>
    </row>
    <row r="20" spans="1:4" ht="26.25" hidden="1" customHeight="1" x14ac:dyDescent="0.25">
      <c r="A20" s="3"/>
      <c r="B20" s="3"/>
      <c r="C20" s="3"/>
      <c r="D20" s="3"/>
    </row>
    <row r="21" spans="1:4" ht="26.25" hidden="1" customHeight="1" x14ac:dyDescent="0.25">
      <c r="A21" s="3"/>
      <c r="B21" s="3"/>
      <c r="C21" s="3"/>
      <c r="D21" s="3"/>
    </row>
    <row r="22" spans="1:4" ht="26.25" hidden="1" customHeight="1" x14ac:dyDescent="0.25">
      <c r="A22" s="3"/>
      <c r="B22" s="3"/>
      <c r="C22" s="3"/>
      <c r="D22" s="3"/>
    </row>
    <row r="23" spans="1:4" ht="26.25" hidden="1" customHeight="1" x14ac:dyDescent="0.25">
      <c r="A23" s="3"/>
      <c r="B23" s="3"/>
      <c r="C23" s="3"/>
      <c r="D23" s="3"/>
    </row>
    <row r="24" spans="1:4" ht="26.25" customHeight="1" x14ac:dyDescent="0.25">
      <c r="A24" s="3" t="s">
        <v>1598</v>
      </c>
      <c r="B24" s="3"/>
      <c r="C24" s="3"/>
      <c r="D24" s="3">
        <v>5</v>
      </c>
    </row>
    <row r="25" spans="1:4" ht="26.25" customHeight="1" x14ac:dyDescent="0.25">
      <c r="A25" s="3" t="s">
        <v>1599</v>
      </c>
      <c r="B25" s="3"/>
      <c r="C25" s="3"/>
      <c r="D25" s="3">
        <v>4</v>
      </c>
    </row>
    <row r="26" spans="1:4" ht="26.25" customHeight="1" x14ac:dyDescent="0.25">
      <c r="A26" s="3">
        <v>11549170</v>
      </c>
      <c r="B26" s="3"/>
      <c r="C26" s="3"/>
      <c r="D26" s="3">
        <v>2</v>
      </c>
    </row>
    <row r="27" spans="1:4" ht="26.25" customHeight="1" x14ac:dyDescent="0.25">
      <c r="A27" s="3" t="s">
        <v>145</v>
      </c>
      <c r="B27" s="3"/>
      <c r="C27" s="3"/>
      <c r="D27" s="3">
        <v>1</v>
      </c>
    </row>
    <row r="28" spans="1:4" ht="26.25" customHeight="1" x14ac:dyDescent="0.25">
      <c r="A28" s="3" t="s">
        <v>208</v>
      </c>
      <c r="B28" s="3"/>
      <c r="C28" s="3"/>
      <c r="D28" s="3">
        <v>5</v>
      </c>
    </row>
    <row r="29" spans="1:4" ht="26.25" customHeight="1" x14ac:dyDescent="0.25">
      <c r="A29" s="3" t="s">
        <v>102</v>
      </c>
      <c r="B29" s="3"/>
      <c r="C29" s="3"/>
      <c r="D29" s="3">
        <v>2</v>
      </c>
    </row>
    <row r="30" spans="1:4" ht="26.25" customHeight="1" x14ac:dyDescent="0.25">
      <c r="A30" s="3" t="s">
        <v>333</v>
      </c>
      <c r="B30" s="3"/>
      <c r="C30" s="3"/>
      <c r="D30" s="3">
        <v>3</v>
      </c>
    </row>
    <row r="31" spans="1:4" ht="26.25" customHeight="1" x14ac:dyDescent="0.25">
      <c r="A31" s="3" t="s">
        <v>531</v>
      </c>
      <c r="B31" s="3"/>
      <c r="C31" s="3"/>
      <c r="D31" s="3">
        <v>1</v>
      </c>
    </row>
    <row r="32" spans="1:4" ht="26.25" customHeight="1" x14ac:dyDescent="0.25">
      <c r="A32" s="3" t="s">
        <v>459</v>
      </c>
      <c r="B32" s="3"/>
      <c r="C32" s="3"/>
      <c r="D32" s="3">
        <v>4</v>
      </c>
    </row>
    <row r="33" spans="1:4" ht="26.25" customHeight="1" x14ac:dyDescent="0.25">
      <c r="A33" s="3" t="s">
        <v>1600</v>
      </c>
      <c r="B33" s="3"/>
      <c r="C33" s="3"/>
      <c r="D33" s="3">
        <v>1</v>
      </c>
    </row>
    <row r="34" spans="1:4" ht="26.25" customHeight="1" x14ac:dyDescent="0.25">
      <c r="A34" s="3" t="s">
        <v>436</v>
      </c>
      <c r="B34" s="3"/>
      <c r="C34" s="3"/>
      <c r="D34" s="3">
        <v>2</v>
      </c>
    </row>
    <row r="35" spans="1:4" ht="26.25" customHeight="1" x14ac:dyDescent="0.25">
      <c r="A35" s="3" t="s">
        <v>386</v>
      </c>
      <c r="B35" s="3"/>
      <c r="C35" s="3"/>
      <c r="D35" s="3">
        <v>3</v>
      </c>
    </row>
    <row r="36" spans="1:4" ht="26.25" customHeight="1" x14ac:dyDescent="0.25">
      <c r="A36" s="3">
        <v>11546545</v>
      </c>
      <c r="B36" s="3"/>
      <c r="C36" s="3"/>
      <c r="D36" s="3">
        <v>1</v>
      </c>
    </row>
    <row r="37" spans="1:4" ht="26.25" customHeight="1" x14ac:dyDescent="0.25">
      <c r="A37" s="3">
        <v>11561645</v>
      </c>
      <c r="B37" s="3"/>
      <c r="C37" s="3"/>
      <c r="D37" s="3">
        <v>1</v>
      </c>
    </row>
    <row r="38" spans="1:4" ht="26.25" customHeight="1" x14ac:dyDescent="0.25">
      <c r="A38" s="3">
        <v>42068967</v>
      </c>
      <c r="B38" s="3"/>
      <c r="C38" s="3"/>
      <c r="D38" s="3">
        <v>1</v>
      </c>
    </row>
    <row r="39" spans="1:4" ht="26.25" customHeight="1" x14ac:dyDescent="0.25">
      <c r="A39" s="3"/>
      <c r="B39" s="3"/>
      <c r="C39" s="3"/>
      <c r="D39" s="3"/>
    </row>
    <row r="40" spans="1:4" ht="26.25" customHeight="1" x14ac:dyDescent="0.25">
      <c r="A40" s="3"/>
      <c r="B40" s="3"/>
      <c r="C40" s="3"/>
      <c r="D40" s="3"/>
    </row>
    <row r="41" spans="1:4" ht="26.25" customHeight="1" x14ac:dyDescent="0.25">
      <c r="A41" s="3"/>
      <c r="B41" s="3"/>
      <c r="C41" s="3"/>
      <c r="D41" s="3"/>
    </row>
    <row r="42" spans="1:4" ht="26.25" customHeight="1" x14ac:dyDescent="0.25">
      <c r="A42" s="3"/>
      <c r="B42" s="3"/>
      <c r="C42" s="3"/>
      <c r="D42" s="3"/>
    </row>
    <row r="43" spans="1:4" ht="26.25" customHeight="1" x14ac:dyDescent="0.25">
      <c r="A43" s="3"/>
      <c r="B43" s="3"/>
      <c r="C43" s="3"/>
      <c r="D43" s="3"/>
    </row>
    <row r="44" spans="1:4" ht="26.25" customHeight="1" x14ac:dyDescent="0.25">
      <c r="A44" s="3"/>
      <c r="B44" s="3"/>
      <c r="C44" s="3"/>
      <c r="D44" s="3"/>
    </row>
    <row r="45" spans="1:4" ht="26.25" customHeight="1" x14ac:dyDescent="0.25">
      <c r="A45" s="40" t="s">
        <v>777</v>
      </c>
      <c r="B45" s="41"/>
      <c r="C45" s="42"/>
      <c r="D45" s="42"/>
    </row>
    <row r="46" spans="1:4" ht="26.25" customHeight="1" thickBot="1" x14ac:dyDescent="0.3">
      <c r="A46" s="39" t="s">
        <v>0</v>
      </c>
      <c r="B46" s="39"/>
      <c r="C46" s="2"/>
      <c r="D46" s="1">
        <f>SUM(D24:D38)</f>
        <v>36</v>
      </c>
    </row>
    <row r="47" spans="1:4" ht="15.75" thickTop="1" x14ac:dyDescent="0.25"/>
  </sheetData>
  <mergeCells count="4">
    <mergeCell ref="A1:D1"/>
    <mergeCell ref="A2:D2"/>
    <mergeCell ref="A46:B46"/>
    <mergeCell ref="A45:D45"/>
  </mergeCells>
  <conditionalFormatting sqref="A1:A43 A47:A1048576">
    <cfRule type="duplicateValues" dxfId="22" priority="9"/>
  </conditionalFormatting>
  <conditionalFormatting sqref="A4:A40">
    <cfRule type="duplicateValues" dxfId="21" priority="10"/>
  </conditionalFormatting>
  <conditionalFormatting sqref="A41:A43 A1:A3 A47:A1048576">
    <cfRule type="duplicateValues" dxfId="20" priority="11"/>
  </conditionalFormatting>
  <conditionalFormatting sqref="B41:B43 B1:B3 B47:B1048576">
    <cfRule type="duplicateValues" dxfId="19" priority="12"/>
    <cfRule type="duplicateValues" dxfId="18" priority="13"/>
  </conditionalFormatting>
  <conditionalFormatting sqref="B4:C4">
    <cfRule type="duplicateValues" dxfId="17" priority="7"/>
    <cfRule type="duplicateValues" dxfId="16" priority="8"/>
  </conditionalFormatting>
  <conditionalFormatting sqref="B5:C32">
    <cfRule type="duplicateValues" dxfId="15" priority="5"/>
    <cfRule type="duplicateValues" dxfId="14" priority="6"/>
  </conditionalFormatting>
  <conditionalFormatting sqref="B33:C40">
    <cfRule type="duplicateValues" dxfId="13" priority="14"/>
    <cfRule type="duplicateValues" dxfId="12" priority="15"/>
  </conditionalFormatting>
  <conditionalFormatting sqref="A44:A46">
    <cfRule type="duplicateValues" dxfId="3" priority="1"/>
  </conditionalFormatting>
  <conditionalFormatting sqref="A44:A46">
    <cfRule type="duplicateValues" dxfId="2" priority="2"/>
  </conditionalFormatting>
  <conditionalFormatting sqref="B44:B46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9E1-C814-4695-8E4E-50F98519B9E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JAN 1</vt:lpstr>
      <vt:lpstr>JAN 2</vt:lpstr>
      <vt:lpstr>JAN 3</vt:lpstr>
      <vt:lpstr>JAN 4</vt:lpstr>
      <vt:lpstr>JAN 5</vt:lpstr>
      <vt:lpstr>JAN 6</vt:lpstr>
      <vt:lpstr>MAR 6</vt:lpstr>
      <vt:lpstr>MAR</vt:lpstr>
      <vt:lpstr>MAR 7</vt:lpstr>
      <vt:lpstr>Apr 06</vt:lpstr>
      <vt:lpstr>Arp 6</vt:lpstr>
      <vt:lpstr>apr6</vt:lpstr>
      <vt:lpstr>Apr (4)</vt:lpstr>
      <vt:lpstr>Apr (5)</vt:lpstr>
      <vt:lpstr>Apr (6)</vt:lpstr>
      <vt:lpstr>Apr (7)</vt:lpstr>
      <vt:lpstr>Apr (8)</vt:lpstr>
      <vt:lpstr>MAY 1</vt:lpstr>
      <vt:lpstr>MAY 2</vt:lpstr>
      <vt:lpstr>MAY 3</vt:lpstr>
      <vt:lpstr>MAY 4</vt:lpstr>
      <vt:lpstr>MAY 5</vt:lpstr>
      <vt:lpstr>MAY 6</vt:lpstr>
      <vt:lpstr>MAY 7</vt:lpstr>
      <vt:lpstr>MAY 8</vt:lpstr>
      <vt:lpstr>JUNE 1</vt:lpstr>
      <vt:lpstr>JUNE 2</vt:lpstr>
      <vt:lpstr>JUNE 3</vt:lpstr>
      <vt:lpstr>JUNE 4</vt:lpstr>
      <vt:lpstr>JUNE 5</vt:lpstr>
      <vt:lpstr>JUNE 6</vt:lpstr>
      <vt:lpstr>July 24 2026</vt:lpstr>
      <vt:lpstr>July 23, 2026</vt:lpstr>
      <vt:lpstr>July 27, 2026</vt:lpstr>
      <vt:lpstr>July 28, 2026</vt:lpstr>
      <vt:lpstr>july-29</vt:lpstr>
      <vt:lpstr>INVENTORY</vt:lpstr>
      <vt:lpstr>Inventory1</vt:lpstr>
      <vt:lpstr>Sheet2</vt:lpstr>
      <vt:lpstr>AUG 25</vt:lpstr>
      <vt:lpstr>Aug 26</vt:lpstr>
      <vt:lpstr>Aug 27</vt:lpstr>
      <vt:lpstr>Aug 28</vt:lpstr>
      <vt:lpstr>Aug 31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Thai</dc:creator>
  <cp:lastModifiedBy>Charlie Thai</cp:lastModifiedBy>
  <cp:lastPrinted>2026-08-29T13:15:35Z</cp:lastPrinted>
  <dcterms:created xsi:type="dcterms:W3CDTF">2026-02-12T19:34:37Z</dcterms:created>
  <dcterms:modified xsi:type="dcterms:W3CDTF">2026-08-31T12:52:18Z</dcterms:modified>
</cp:coreProperties>
</file>